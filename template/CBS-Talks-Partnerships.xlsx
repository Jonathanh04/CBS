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ork Queue" sheetId="2" state="visible" r:id="rId4"/>
    <sheet name="Dashboard" sheetId="3" state="visible" r:id="rId5"/>
    <sheet name="CBS Talks" sheetId="4" state="visible" r:id="rId6"/>
    <sheet name="Team" sheetId="5" state="visible" r:id="rId7"/>
    <sheet name="Packages" sheetId="6" state="visible" r:id="rId8"/>
    <sheet name="Themes" sheetId="7" state="visible" r:id="rId9"/>
    <sheet name="Events" sheetId="8" state="visible" r:id="rId10"/>
    <sheet name="Companies" sheetId="9" state="visible" r:id="rId11"/>
    <sheet name="Commercial Evidence" sheetId="10" state="visible" r:id="rId12"/>
    <sheet name="Contacts" sheetId="11" state="visible" r:id="rId13"/>
    <sheet name="Opportunities" sheetId="12" state="visible" r:id="rId14"/>
    <sheet name="Interactions" sheetId="13" state="visible" r:id="rId15"/>
    <sheet name="Evidence" sheetId="14" state="visible" r:id="rId16"/>
    <sheet name="Lists" sheetId="15" state="visible" r:id="rId17"/>
  </sheets>
  <definedNames>
    <definedName function="false" hidden="false" name="L_Channel" vbProcedure="false">Lists!$O$3:$O$8</definedName>
    <definedName function="false" hidden="false" name="L_Criterion" vbProcedure="false">Lists!$H$3:$H$8</definedName>
    <definedName function="false" hidden="false" name="L_Direction" vbProcedure="false">Lists!$P$3:$P$5</definedName>
    <definedName function="false" hidden="false" name="L_EvidenceType" vbProcedure="false">Lists!$F$3:$F$8</definedName>
    <definedName function="false" hidden="false" name="L_Fit" vbProcedure="false">Lists!$C$3:$C$5</definedName>
    <definedName function="false" hidden="false" name="L_Industry" vbProcedure="false">Lists!$A$3:$A$15</definedName>
    <definedName function="false" hidden="false" name="L_Kind" vbProcedure="false">Lists!$L$3:$L$5</definedName>
    <definedName function="false" hidden="false" name="L_Label" vbProcedure="false">Lists!$G$3:$G$5</definedName>
    <definedName function="false" hidden="false" name="L_Lost" vbProcedure="false">Lists!$N$3:$N$10</definedName>
    <definedName function="false" hidden="false" name="L_Outcome" vbProcedure="false">Lists!$Q$3:$Q$6</definedName>
    <definedName function="false" hidden="false" name="L_Relationship" vbProcedure="false">Lists!$I$3:$I$4</definedName>
    <definedName function="false" hidden="false" name="L_RoleName" vbProcedure="false">Lists!$R$3:$R$18</definedName>
    <definedName function="false" hidden="false" name="L_RoleOK" vbProcedure="false">Lists!$S$3:$S$18</definedName>
    <definedName function="false" hidden="false" name="L_Satisfaction" vbProcedure="false">Lists!$M$3:$M$6</definedName>
    <definedName function="false" hidden="false" name="L_Size" vbProcedure="false">Lists!$B$3:$B$7</definedName>
    <definedName function="false" hidden="false" name="L_Stage" vbProcedure="false">Lists!$K$3:$K$10</definedName>
    <definedName function="false" hidden="false" name="L_Type" vbProcedure="false">Lists!$J$3:$J$11</definedName>
    <definedName function="false" hidden="false" name="L_YesNo" vbProcedure="false">Lists!$D$3:$D$4</definedName>
    <definedName function="false" hidden="false" name="L_YesNoUnknown" vbProcedure="false">Lists!$E$3:$E$5</definedName>
    <definedName function="false" hidden="false" name="R_Company" vbProcedure="false">Companies!$A$3:$A$502</definedName>
    <definedName function="false" hidden="false" name="R_ContactName" vbProcedure="false">Contacts!$B$3:$B$502</definedName>
    <definedName function="false" hidden="false" name="R_Package" vbProcedure="false">Packages!$A$3:$A$502</definedName>
    <definedName function="false" hidden="false" name="R_TeamActive" vbProcedure="false">Team!$D$3:$D$502</definedName>
    <definedName function="false" hidden="false" name="R_TeamName" vbProcedure="false">Team!$A$3:$A$502</definedName>
    <definedName function="false" hidden="false" name="R_Theme" vbProcedure="false">Themes!$A$3:$A$502</definedName>
    <definedName function="false" hidden="false" name="S_AccessHigh" vbProcedure="false">'CBS Talks'!$B$22</definedName>
    <definedName function="false" hidden="false" name="S_FitHigh" vbProcedure="false">'CBS Talks'!$B$21</definedName>
    <definedName function="false" hidden="false" name="S_Mission" vbProcedure="false">'CBS Talks'!$B$5</definedName>
    <definedName function="false" hidden="false" name="S_NoReplyDays" vbProcedure="false">'CBS Talks'!$B$25</definedName>
    <definedName function="false" hidden="false" name="S_PathCap" vbProcedure="false">'CBS Talks'!$B$23</definedName>
    <definedName function="false" hidden="false" name="S_RecheckDays" vbProcedure="false">'CBS Talks'!$B$27</definedName>
    <definedName function="false" hidden="false" name="S_RenewalDays" vbProcedure="false">'CBS Talks'!$B$24</definedName>
    <definedName function="false" hidden="false" name="S_SemEnd" vbProcedure="false">'CBS Talks'!$B$17</definedName>
    <definedName function="false" hidden="false" name="S_SemesterLabel" vbProcedure="false">'CBS Talks'!$B$15</definedName>
    <definedName function="false" hidden="false" name="S_SemStart" vbProcedure="false">'CBS Talks'!$B$16</definedName>
    <definedName function="false" hidden="false" name="S_Target" vbProcedure="false">'CBS Talks'!$B$18</definedName>
    <definedName function="false" hidden="false" name="S_Today" vbProcedure="false">'CBS Talks'!$B$19</definedName>
    <definedName function="false" hidden="false" name="S_WarmDays" vbProcedure="false">'CBS Talks'!$B$26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Unique name. Used as the key in all other tabs.</t>
        </r>
      </text>
    </comment>
    <comment ref="E2" authorId="0">
      <text>
        <r>
          <rPr>
            <sz val="10"/>
            <rFont val="Arial"/>
            <family val="2"/>
          </rPr>
          <t xml:space="preserve">Descriptive only. Not used in any rule.</t>
        </r>
      </text>
    </comment>
    <comment ref="G2" authorId="0">
      <text>
        <r>
          <rPr>
            <sz val="10"/>
            <rFont val="Arial"/>
            <family val="2"/>
          </rPr>
          <t xml:space="preserve">0 checked, no sign students care · 1 some study lines / moderate interest · 2 clear demand (our attendance data, poll, student requests). Source required for 2.</t>
        </r>
      </text>
    </comment>
    <comment ref="J2" authorId="0">
      <text>
        <r>
          <rPr>
            <sz val="10"/>
            <rFont val="Arial"/>
            <family val="2"/>
          </rPr>
          <t xml:space="preserve">0 no link to a current theme · 1 relevant topic, no named speaker or idea · 2 named person or concrete event idea for a current theme. Source required for 2.</t>
        </r>
      </text>
    </comment>
    <comment ref="M2" authorId="0">
      <text>
        <r>
          <rPr>
            <sz val="10"/>
            <rFont val="Arial"/>
            <family val="2"/>
          </rPr>
          <t xml:space="preserve">0 checked, nothing we offer helps them · 1 some hiring of business profiles or interest in our topics · 2 clear recurring hiring of CBS-type profiles or an active agenda on our themes. Source required for 2.</t>
        </r>
      </text>
    </comment>
    <comment ref="P2" authorId="0">
      <text>
        <r>
          <rPr>
            <sz val="10"/>
            <rFont val="Arial"/>
            <family val="2"/>
          </rPr>
          <t xml:space="preserve">0 one-off reason only · 1 could plausibly repeat · 2 recurring need across years or past multi-year partnership. Source required for 2.</t>
        </r>
      </text>
    </comment>
    <comment ref="T2" authorId="0">
      <text>
        <r>
          <rPr>
            <sz val="10"/>
            <rFont val="Arial"/>
            <family val="2"/>
          </rPr>
          <t xml:space="preserve">Who can introduce us, and whether they agreed. Filled = Access 2.</t>
        </r>
      </text>
    </comment>
    <comment ref="U2" authorId="0">
      <text>
        <r>
          <rPr>
            <sz val="10"/>
            <rFont val="Arial"/>
            <family val="2"/>
          </rPr>
          <t xml:space="preserve">e.g. 'venue for 19 Nov'. Quick Wins only appear in the work queue when this is filled.</t>
        </r>
      </text>
    </comment>
    <comment ref="AB2" authorId="0">
      <text>
        <r>
          <rPr>
            <sz val="10"/>
            <rFont val="Arial"/>
            <family val="2"/>
          </rPr>
          <t xml:space="preserve">From Commercial Evidence: 2 = previous CBS Talks spend or sponsors student orgs · 1 = university activities, similar events or previous non-cash partner · 0 = only 'none found' · blank = no evidence recorded yet.</t>
        </r>
      </text>
    </comment>
    <comment ref="AD2" authorId="0">
      <text>
        <r>
          <rPr>
            <sz val="10"/>
            <rFont val="Arial"/>
            <family val="2"/>
          </rPr>
          <t xml:space="preserve">4 champion or satisfied past partner · 3 positive reply within a year · 2 intro path · 1 named contact in a suitable role · 0 no path.</t>
        </r>
      </text>
    </comment>
    <comment ref="AI2" authorId="0">
      <text>
        <r>
          <rPr>
            <sz val="10"/>
            <rFont val="Arial"/>
            <family val="2"/>
          </rPr>
          <t xml:space="preserve">Sort key for the work queue (helper column).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Required except for 'Previous CBS Talks …' (write the opportunity instead).</t>
        </r>
      </text>
    </comment>
    <comment ref="E2" authorId="0">
      <text>
        <r>
          <rPr>
            <sz val="10"/>
            <rFont val="Arial"/>
            <family val="2"/>
          </rPr>
          <t xml:space="preserve">Only amounts CBS Talks actually received, from our own records. Never an estimate.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Unique. Used to link interactions.</t>
        </r>
      </text>
    </comment>
    <comment ref="E2" authorId="0">
      <text>
        <r>
          <rPr>
            <sz val="10"/>
            <rFont val="Arial"/>
            <family val="2"/>
          </rPr>
          <t xml:space="preserve">Champion = actively pushes for us inside the company.</t>
        </r>
      </text>
    </comment>
  </commentList>
</comments>
</file>

<file path=xl/sharedStrings.xml><?xml version="1.0" encoding="utf-8"?>
<sst xmlns="http://schemas.openxmlformats.org/spreadsheetml/2006/main" count="709" uniqueCount="410">
  <si>
    <t xml:space="preserve">CBS Talks Partnerships</t>
  </si>
  <si>
    <t xml:space="preserve">Spreadsheet MVP of docs/lean-spec.md. Two scores only: Fit (0–10) and Access (0–4). No budget estimates.</t>
  </si>
  <si>
    <t xml:space="preserve">How to use it</t>
  </si>
  <si>
    <t xml:space="preserve">1. Delete the example rows: every row whose company or name ends in '(example)', in all tabs.</t>
  </si>
  <si>
    <t xml:space="preserve">2. Fill in the 'CBS Talks' tab: semester dates and target, then Team, Packages, Themes and Events.</t>
  </si>
  <si>
    <t xml:space="preserve">3. Import past and current partners: Companies + Opportunities (Won, with renewal date and satisfaction) + Commercial Evidence.</t>
  </si>
  <si>
    <t xml:space="preserve">4. Rate companies in 'Companies' (F1, F2, F3, F5 with a reason; a source for every 2) and add at least one Commercial Evidence row.</t>
  </si>
  <si>
    <t xml:space="preserve">5. Every week (30 min): open 'Work Queue', work it top to bottom, log contacts in 'Interactions', update stages and next actions.</t>
  </si>
  <si>
    <t xml:space="preserve">Colours</t>
  </si>
  <si>
    <t xml:space="preserve">Yellow cells: type here.   Grey cells: calculated, don't edit.   Dark-blue headers: input columns.   Grey headers: calculated columns.</t>
  </si>
  <si>
    <t xml:space="preserve">Hover a header in 'Companies' to see the rating anchors.</t>
  </si>
  <si>
    <t xml:space="preserve">The rules in one place</t>
  </si>
  <si>
    <t xml:space="preserve">Fit = F1 Student pull + F2 Content fit + F3 Reason to work with us + F4 Track record + F5 Long-term (each 0–2). F4 comes from Commercial Evidence.</t>
  </si>
  <si>
    <t xml:space="preserve">Access: 4 champion / satisfied past partner · 3 positive reply within a year · 2 intro path · 1 named contact in a suitable role · 0 no path.</t>
  </si>
  <si>
    <t xml:space="preserve">Matrix: Priority (Fit ≥ 6, Access ≥ 2) · Build a Path (Fit ≥ 6, Access &lt; 2; max 5 at a time) · Quick Win (Fit &lt; 6, Access ≥ 2; only for a specific need) · Low Priority.</t>
  </si>
  <si>
    <t xml:space="preserve">Work queue order: renewals → overdue → no reply → due this week → missing next action → Priority without a deal → paths in progress → quick wins → path candidates.</t>
  </si>
  <si>
    <t xml:space="preserve">Labels for researched or AI-drafted information (Evidence tab)</t>
  </si>
  <si>
    <t xml:space="preserve">Verified fact = a person opened the source and confirmed it.  Source-backed inference = a conclusion from a cited source, with the reasoning written down.  Unknown = an open question.</t>
  </si>
  <si>
    <t xml:space="preserve">AI-drafted items stay 'Unchecked AI draft: do not use' until a team member has checked the source.</t>
  </si>
  <si>
    <t xml:space="preserve">Cheat sheets (in the repository, docs/cheat-sheets/)</t>
  </si>
  <si>
    <t xml:space="preserve">partnership-type.md: what to propose  ·  who-to-contact.md: which role  ·  conversations-and-outreach.md: questions, objections, outreach and GDPR rules</t>
  </si>
  <si>
    <t xml:space="preserve">All example companies, people and amounts are fictional.</t>
  </si>
  <si>
    <t xml:space="preserve">Work Queue</t>
  </si>
  <si>
    <t xml:space="preserve">1–2 · Renewals and follow-ups (from Opportunities)</t>
  </si>
  <si>
    <t xml:space="preserve">#</t>
  </si>
  <si>
    <t xml:space="preserve">Why it's here</t>
  </si>
  <si>
    <t xml:space="preserve">Company</t>
  </si>
  <si>
    <t xml:space="preserve">Type</t>
  </si>
  <si>
    <t xml:space="preserve">Stage</t>
  </si>
  <si>
    <t xml:space="preserve">Owner</t>
  </si>
  <si>
    <t xml:space="preserve">Next action</t>
  </si>
  <si>
    <t xml:space="preserve">Due</t>
  </si>
  <si>
    <t xml:space="preserve">Renewal date</t>
  </si>
  <si>
    <t xml:space="preserve">key</t>
  </si>
  <si>
    <t xml:space="preserve">3–4 · Priority prospects, building paths and quick wins (from Companies)</t>
  </si>
  <si>
    <t xml:space="preserve">Fit</t>
  </si>
  <si>
    <t xml:space="preserve">Access</t>
  </si>
  <si>
    <t xml:space="preserve">Next step</t>
  </si>
  <si>
    <t xml:space="preserve">Quadrant</t>
  </si>
  <si>
    <t xml:space="preserve">Last contact</t>
  </si>
  <si>
    <t xml:space="preserve">Dashboard</t>
  </si>
  <si>
    <t xml:space="preserve">Matrix (companies)</t>
  </si>
  <si>
    <t xml:space="preserve">Won this semester</t>
  </si>
  <si>
    <t xml:space="preserve">Priority</t>
  </si>
  <si>
    <t xml:space="preserve">Agreed (DKK)</t>
  </si>
  <si>
    <t xml:space="preserve">Non-cash / in-kind</t>
  </si>
  <si>
    <t xml:space="preserve">Satisfaction</t>
  </si>
  <si>
    <t xml:space="preserve">Build a Path</t>
  </si>
  <si>
    <t xml:space="preserve">Quick Win</t>
  </si>
  <si>
    <t xml:space="preserve">Low Priority</t>
  </si>
  <si>
    <t xml:space="preserve">Research</t>
  </si>
  <si>
    <t xml:space="preserve">Paths in progress (max)</t>
  </si>
  <si>
    <t xml:space="preserve">Semester money (recorded amounts only, no estimates)</t>
  </si>
  <si>
    <t xml:space="preserve">Cash won this semester</t>
  </si>
  <si>
    <t xml:space="preserve">Semester target</t>
  </si>
  <si>
    <t xml:space="preserve">Progress</t>
  </si>
  <si>
    <t xml:space="preserve">Cash proposed, not committed (Proposal sent + Negotiation)</t>
  </si>
  <si>
    <t xml:space="preserve">Lost this semester</t>
  </si>
  <si>
    <t xml:space="preserve">Open opportunities by stage</t>
  </si>
  <si>
    <t xml:space="preserve">Lost reason</t>
  </si>
  <si>
    <t xml:space="preserve">Closed on</t>
  </si>
  <si>
    <t xml:space="preserve">Planned</t>
  </si>
  <si>
    <t xml:space="preserve">Contacted</t>
  </si>
  <si>
    <t xml:space="preserve">Meeting</t>
  </si>
  <si>
    <t xml:space="preserve">Proposal sent</t>
  </si>
  <si>
    <t xml:space="preserve">Negotiation</t>
  </si>
  <si>
    <t xml:space="preserve">Nurture</t>
  </si>
  <si>
    <t xml:space="preserve">Non-cash and in-kind (counted, not summed in DKK)</t>
  </si>
  <si>
    <t xml:space="preserve">Non-cash won this semester</t>
  </si>
  <si>
    <t xml:space="preserve">In-kind won this semester</t>
  </si>
  <si>
    <t xml:space="preserve">Non-cash or in-kind open</t>
  </si>
  <si>
    <t xml:space="preserve">Lost reasons this semester</t>
  </si>
  <si>
    <t xml:space="preserve">Data health</t>
  </si>
  <si>
    <t xml:space="preserve">No budget</t>
  </si>
  <si>
    <t xml:space="preserve">Open opportunities without a next action</t>
  </si>
  <si>
    <t xml:space="preserve">Chose another organisation</t>
  </si>
  <si>
    <t xml:space="preserve">Companies with a check to fix</t>
  </si>
  <si>
    <t xml:space="preserve">Not relevant for them</t>
  </si>
  <si>
    <t xml:space="preserve">Opportunities with a check to fix</t>
  </si>
  <si>
    <t xml:space="preserve">Bad timing</t>
  </si>
  <si>
    <t xml:space="preserve">Contacts to re-check</t>
  </si>
  <si>
    <t xml:space="preserve">No response</t>
  </si>
  <si>
    <t xml:space="preserve">Unchecked AI evidence</t>
  </si>
  <si>
    <t xml:space="preserve">Terms not agreed</t>
  </si>
  <si>
    <t xml:space="preserve">Paths over the cap</t>
  </si>
  <si>
    <t xml:space="preserve">We withdrew</t>
  </si>
  <si>
    <t xml:space="preserve">Other</t>
  </si>
  <si>
    <t xml:space="preserve">CBS Talks settings</t>
  </si>
  <si>
    <t xml:space="preserve">Fill in the yellow cells. The semester dates and target drive the dashboard. Rules (rows 21-27) come from the lean specification; change them only after the back-test.</t>
  </si>
  <si>
    <t xml:space="preserve">About CBS Talks</t>
  </si>
  <si>
    <t xml:space="preserve">Mission (one paragraph)</t>
  </si>
  <si>
    <t xml:space="preserve">Audience summary</t>
  </si>
  <si>
    <t xml:space="preserve">Typical attendance per event</t>
  </si>
  <si>
    <t xml:space="preserve">Study-line mix (e.g. BSc IB 22%, MSc FIN 15%)</t>
  </si>
  <si>
    <t xml:space="preserve">Social and newsletter reach (with date)</t>
  </si>
  <si>
    <t xml:space="preserve">Editorial independence policy</t>
  </si>
  <si>
    <t xml:space="preserve">CBS rules for sponsorships: what is allowed</t>
  </si>
  <si>
    <t xml:space="preserve">CBS rules checked on / with whom</t>
  </si>
  <si>
    <t xml:space="preserve">Category exclusivities currently granted</t>
  </si>
  <si>
    <t xml:space="preserve">Current semester</t>
  </si>
  <si>
    <t xml:space="preserve">Semester name</t>
  </si>
  <si>
    <t xml:space="preserve">Example semester</t>
  </si>
  <si>
    <t xml:space="preserve">Semester start</t>
  </si>
  <si>
    <t xml:space="preserve">Example values: replace with the real semester dates.</t>
  </si>
  <si>
    <t xml:space="preserve">Semester end</t>
  </si>
  <si>
    <t xml:space="preserve">Semester cash target (DKK)</t>
  </si>
  <si>
    <t xml:space="preserve">Example placeholder target: replace with the real target.</t>
  </si>
  <si>
    <t xml:space="preserve">Date used for all flags</t>
  </si>
  <si>
    <t xml:space="preserve">Keep =TODAY(). Type a fixed date only to review the sheet as of that day.</t>
  </si>
  <si>
    <t xml:space="preserve">Rules (from the lean specification)</t>
  </si>
  <si>
    <t xml:space="preserve">High Fit threshold (Fit ≥)</t>
  </si>
  <si>
    <t xml:space="preserve">High Access threshold (Access level ≥)</t>
  </si>
  <si>
    <t xml:space="preserve">Max companies with a path in progress</t>
  </si>
  <si>
    <t xml:space="preserve">Renewal window (days before renewal date)</t>
  </si>
  <si>
    <t xml:space="preserve">No-reply flag after (days)</t>
  </si>
  <si>
    <t xml:space="preserve">Warm contact counts for (days)</t>
  </si>
  <si>
    <t xml:space="preserve">Contact re-check after (days)</t>
  </si>
  <si>
    <t xml:space="preserve">Board members who can own companies and opportunities. Set Active = No at handover; their items then show 'needs new owner'.</t>
  </si>
  <si>
    <t xml:space="preserve">Name</t>
  </si>
  <si>
    <t xml:space="preserve">Role</t>
  </si>
  <si>
    <t xml:space="preserve">Email</t>
  </si>
  <si>
    <t xml:space="preserve">Active</t>
  </si>
  <si>
    <t xml:space="preserve">Term start</t>
  </si>
  <si>
    <t xml:space="preserve">Term end</t>
  </si>
  <si>
    <t xml:space="preserve">A.K. (example)</t>
  </si>
  <si>
    <t xml:space="preserve">Partnerships Manager</t>
  </si>
  <si>
    <t xml:space="preserve">Yes</t>
  </si>
  <si>
    <t xml:space="preserve">J.H. (example)</t>
  </si>
  <si>
    <t xml:space="preserve">Partnerships Associate</t>
  </si>
  <si>
    <t xml:space="preserve">M.S. (example)</t>
  </si>
  <si>
    <t xml:space="preserve">L.M. (example)</t>
  </si>
  <si>
    <t xml:space="preserve">Board member (left)</t>
  </si>
  <si>
    <t xml:space="preserve">No</t>
  </si>
  <si>
    <t xml:space="preserve">CBS Talks packages and prices. Proposals use these, never a guess of a company's budget.</t>
  </si>
  <si>
    <t xml:space="preserve">Package</t>
  </si>
  <si>
    <t xml:space="preserve">Price (DKK)</t>
  </si>
  <si>
    <t xml:space="preserve">What's included</t>
  </si>
  <si>
    <t xml:space="preserve">Capacity per semester</t>
  </si>
  <si>
    <t xml:space="preserve">Entry package (example)</t>
  </si>
  <si>
    <t xml:space="preserve">Logo on one event, a short company intro on stage</t>
  </si>
  <si>
    <t xml:space="preserve">Standard package (example)</t>
  </si>
  <si>
    <t xml:space="preserve">One sponsored event: intro talk, logo, partner report</t>
  </si>
  <si>
    <t xml:space="preserve">Strategic package (example)</t>
  </si>
  <si>
    <t xml:space="preserve">Event series over a semester, case workshop, partner report</t>
  </si>
  <si>
    <t xml:space="preserve">This year's editorial themes. Used when rating F2 Content fit.</t>
  </si>
  <si>
    <t xml:space="preserve">Theme</t>
  </si>
  <si>
    <t xml:space="preserve">Year</t>
  </si>
  <si>
    <t xml:space="preserve">Work after AI (example)</t>
  </si>
  <si>
    <t xml:space="preserve">2026/27</t>
  </si>
  <si>
    <t xml:space="preserve">Fragile Systems (example)</t>
  </si>
  <si>
    <t xml:space="preserve">Every CBS Talks event with attendance. This is the evidence for F1 Student pull and for every pitch.</t>
  </si>
  <si>
    <t xml:space="preserve">Event</t>
  </si>
  <si>
    <t xml:space="preserve">Date</t>
  </si>
  <si>
    <t xml:space="preserve">Attendance</t>
  </si>
  <si>
    <t xml:space="preserve">Study-line mix</t>
  </si>
  <si>
    <t xml:space="preserve">Partner company</t>
  </si>
  <si>
    <t xml:space="preserve">Partner report sent on</t>
  </si>
  <si>
    <t xml:space="preserve">The future of graduate work (example)</t>
  </si>
  <si>
    <t xml:space="preserve">BSc IB 25%, MSc FIN 15%, other 60%</t>
  </si>
  <si>
    <t xml:space="preserve">ProServ (example)</t>
  </si>
  <si>
    <t xml:space="preserve">One row per company. Yellow = type here; grey = calculated (don't edit). Hover a header for the rating anchors. A company enters the matrix only when F1, F2, F3, F5 are rated and Commercial Evidence has at least one row.</t>
  </si>
  <si>
    <t xml:space="preserve">Website</t>
  </si>
  <si>
    <t xml:space="preserve">CVR</t>
  </si>
  <si>
    <t xml:space="preserve">Industry</t>
  </si>
  <si>
    <t xml:space="preserve">Size band (DK, info only)</t>
  </si>
  <si>
    <t xml:space="preserve">F1 Student pull</t>
  </si>
  <si>
    <t xml:space="preserve">F1 reason</t>
  </si>
  <si>
    <t xml:space="preserve">F1 source</t>
  </si>
  <si>
    <t xml:space="preserve">F2 Content fit</t>
  </si>
  <si>
    <t xml:space="preserve">F2 reason</t>
  </si>
  <si>
    <t xml:space="preserve">F2 source</t>
  </si>
  <si>
    <t xml:space="preserve">F3 Reason to work with us</t>
  </si>
  <si>
    <t xml:space="preserve">F3 reason</t>
  </si>
  <si>
    <t xml:space="preserve">F3 source</t>
  </si>
  <si>
    <t xml:space="preserve">F5 Long-term potential</t>
  </si>
  <si>
    <t xml:space="preserve">F5 reason</t>
  </si>
  <si>
    <t xml:space="preserve">F5 source</t>
  </si>
  <si>
    <t xml:space="preserve">Fit reviewed on</t>
  </si>
  <si>
    <t xml:space="preserve">Intro path</t>
  </si>
  <si>
    <t xml:space="preserve">Specific need (Quick Win)</t>
  </si>
  <si>
    <t xml:space="preserve">Path in progress</t>
  </si>
  <si>
    <t xml:space="preserve">Path action</t>
  </si>
  <si>
    <t xml:space="preserve">Path started on</t>
  </si>
  <si>
    <t xml:space="preserve">Notes (≤500 chars, nothing personal)</t>
  </si>
  <si>
    <t xml:space="preserve">Do not contact</t>
  </si>
  <si>
    <t xml:space="preserve">Do-not-contact reason</t>
  </si>
  <si>
    <t xml:space="preserve">F4 Track record</t>
  </si>
  <si>
    <t xml:space="preserve">Fit (0-10)</t>
  </si>
  <si>
    <t xml:space="preserve">Access (0-4)</t>
  </si>
  <si>
    <t xml:space="preserve">Open opportunities</t>
  </si>
  <si>
    <t xml:space="preserve">Checks</t>
  </si>
  <si>
    <t xml:space="preserve">Queue key</t>
  </si>
  <si>
    <t xml:space="preserve">proserv.example</t>
  </si>
  <si>
    <t xml:space="preserve">Professional services &amp; consulting</t>
  </si>
  <si>
    <t xml:space="preserve">1000+</t>
  </si>
  <si>
    <t xml:space="preserve">180 attended our event with them</t>
  </si>
  <si>
    <t xml:space="preserve">Events tab</t>
  </si>
  <si>
    <t xml:space="preserve">Partner on stage for Work after AI series</t>
  </si>
  <si>
    <t xml:space="preserve">Talk recording</t>
  </si>
  <si>
    <t xml:space="preserve">Graduate programme, recurring hiring</t>
  </si>
  <si>
    <t xml:space="preserve">careers page</t>
  </si>
  <si>
    <t xml:space="preserve">Partnered two years running</t>
  </si>
  <si>
    <t xml:space="preserve">Opportunities tab</t>
  </si>
  <si>
    <t xml:space="preserve">MegaBrand A/S (example)</t>
  </si>
  <si>
    <t xml:space="preserve">megabrand.example</t>
  </si>
  <si>
    <t xml:space="preserve">Consumer goods &amp; retail</t>
  </si>
  <si>
    <t xml:space="preserve">Top result in our audience poll</t>
  </si>
  <si>
    <t xml:space="preserve">Poll results</t>
  </si>
  <si>
    <t xml:space="preserve">Relevant topic, no named speaker</t>
  </si>
  <si>
    <t xml:space="preserve">Hires business graduates, already well known</t>
  </si>
  <si>
    <t xml:space="preserve">Could repeat</t>
  </si>
  <si>
    <t xml:space="preserve">Ask board alumni network for an introduction</t>
  </si>
  <si>
    <t xml:space="preserve">Nordlys Logistics (example)</t>
  </si>
  <si>
    <t xml:space="preserve">nordlys.example</t>
  </si>
  <si>
    <t xml:space="preserve">Shipping, logistics &amp; transport</t>
  </si>
  <si>
    <t xml:space="preserve">250-999</t>
  </si>
  <si>
    <t xml:space="preserve">Relevant to supply-chain students</t>
  </si>
  <si>
    <t xml:space="preserve">Supply-chain topic, no named speaker yet</t>
  </si>
  <si>
    <t xml:space="preserve">About 20 graduate postings this year</t>
  </si>
  <si>
    <t xml:space="preserve">jobs page</t>
  </si>
  <si>
    <t xml:space="preserve">Annual graduate programme</t>
  </si>
  <si>
    <t xml:space="preserve">CBS alumnus in their talent team, via A.K. (agreed)</t>
  </si>
  <si>
    <t xml:space="preserve">Fjord Ventures (example)</t>
  </si>
  <si>
    <t xml:space="preserve">fjord.example</t>
  </si>
  <si>
    <t xml:space="preserve">Investors &amp; startup ecosystem</t>
  </si>
  <si>
    <t xml:space="preserve">&lt;50</t>
  </si>
  <si>
    <t xml:space="preserve">Some interest among entrepreneurship students</t>
  </si>
  <si>
    <t xml:space="preserve">Founder has recorded keynotes on fintech</t>
  </si>
  <si>
    <t xml:space="preserve">talk recording</t>
  </si>
  <si>
    <t xml:space="preserve">Wants visibility for the founder's agenda</t>
  </si>
  <si>
    <t xml:space="preserve">Speaker for the spring keynote</t>
  </si>
  <si>
    <t xml:space="preserve">Kobber Hotels (example)</t>
  </si>
  <si>
    <t xml:space="preserve">kobber.example</t>
  </si>
  <si>
    <t xml:space="preserve">Hospitality, food &amp; venues</t>
  </si>
  <si>
    <t xml:space="preserve">50-249</t>
  </si>
  <si>
    <t xml:space="preserve">No sign students care about the brand</t>
  </si>
  <si>
    <t xml:space="preserve">No link to our themes</t>
  </si>
  <si>
    <t xml:space="preserve">Interested in local visibility</t>
  </si>
  <si>
    <t xml:space="preserve">Could host again</t>
  </si>
  <si>
    <t xml:space="preserve">Venue for an autumn event</t>
  </si>
  <si>
    <t xml:space="preserve">Gamma Software (example)</t>
  </si>
  <si>
    <t xml:space="preserve">gamma.example</t>
  </si>
  <si>
    <t xml:space="preserve">Technology &amp; software</t>
  </si>
  <si>
    <t xml:space="preserve">Checked: no student interest found</t>
  </si>
  <si>
    <t xml:space="preserve">No business-graduate hiring found</t>
  </si>
  <si>
    <t xml:space="preserve">No recurring reason</t>
  </si>
  <si>
    <t xml:space="preserve">Søby Foods (example)</t>
  </si>
  <si>
    <t xml:space="preserve">soby.example</t>
  </si>
  <si>
    <t xml:space="preserve">Strandvej Studio (example)</t>
  </si>
  <si>
    <t xml:space="preserve">strandvej.example</t>
  </si>
  <si>
    <t xml:space="preserve">Media, marketing &amp; communications</t>
  </si>
  <si>
    <t xml:space="preserve">Observed facts about spending on student or similar engagement. Never a budget estimate. 'None found (checked)' is a real result: describe what you checked.</t>
  </si>
  <si>
    <t xml:space="preserve">What was observed (or what was checked)</t>
  </si>
  <si>
    <t xml:space="preserve">Source URL</t>
  </si>
  <si>
    <t xml:space="preserve">Amount (DKK) — only for Previous CBS Talks spend</t>
  </si>
  <si>
    <t xml:space="preserve">Recorded by</t>
  </si>
  <si>
    <t xml:space="preserve">Recorded on</t>
  </si>
  <si>
    <t xml:space="preserve">Check</t>
  </si>
  <si>
    <t xml:space="preserve">Previous CBS Talks spend</t>
  </si>
  <si>
    <t xml:space="preserve">Paid for the event series last year</t>
  </si>
  <si>
    <t xml:space="preserve">2025</t>
  </si>
  <si>
    <t xml:space="preserve">Sponsors student organisations</t>
  </si>
  <si>
    <t xml:space="preserve">Main partner of two CBS student organisations</t>
  </si>
  <si>
    <t xml:space="preserve">https://example.org/partners</t>
  </si>
  <si>
    <t xml:space="preserve">2026</t>
  </si>
  <si>
    <t xml:space="preserve">None found (checked)</t>
  </si>
  <si>
    <t xml:space="preserve">Checked partner pages of 12 CBS student organisations and their news page</t>
  </si>
  <si>
    <t xml:space="preserve">Checked student organisation partner pages and LinkedIn</t>
  </si>
  <si>
    <t xml:space="preserve">Sponsors similar events</t>
  </si>
  <si>
    <t xml:space="preserve">Hosts local business network events</t>
  </si>
  <si>
    <t xml:space="preserve">https://example.org/kobber-events</t>
  </si>
  <si>
    <t xml:space="preserve">Checked partner pages and their website</t>
  </si>
  <si>
    <t xml:space="preserve">People at companies. Work data only: published work email or LinkedIn, never guessed addresses or personal opinions (GDPR).</t>
  </si>
  <si>
    <t xml:space="preserve">Title</t>
  </si>
  <si>
    <t xml:space="preserve">Role category</t>
  </si>
  <si>
    <t xml:space="preserve">Relationship</t>
  </si>
  <si>
    <t xml:space="preserve">CBS alumnus</t>
  </si>
  <si>
    <t xml:space="preserve">Work email (published or given to us)</t>
  </si>
  <si>
    <t xml:space="preserve">LinkedIn URL</t>
  </si>
  <si>
    <t xml:space="preserve">Source</t>
  </si>
  <si>
    <t xml:space="preserve">Verified on</t>
  </si>
  <si>
    <t xml:space="preserve">Left company</t>
  </si>
  <si>
    <t xml:space="preserve">Suitable role</t>
  </si>
  <si>
    <t xml:space="preserve">Head of Employer Branding (example)</t>
  </si>
  <si>
    <t xml:space="preserve">Head of Employer Branding</t>
  </si>
  <si>
    <t xml:space="preserve">Employer branding</t>
  </si>
  <si>
    <t xml:space="preserve">Champion</t>
  </si>
  <si>
    <t xml:space="preserve">Last year's partnership</t>
  </si>
  <si>
    <t xml:space="preserve">University Relations Manager (example)</t>
  </si>
  <si>
    <t xml:space="preserve">University Relations Manager</t>
  </si>
  <si>
    <t xml:space="preserve">University relations</t>
  </si>
  <si>
    <t xml:space="preserve">Named</t>
  </si>
  <si>
    <t xml:space="preserve">Unknown</t>
  </si>
  <si>
    <t xml:space="preserve">LinkedIn</t>
  </si>
  <si>
    <t xml:space="preserve">Founder (example)</t>
  </si>
  <si>
    <t xml:space="preserve">Founder &amp; CEO</t>
  </si>
  <si>
    <t xml:space="preserve">Founder / CEO (small company)</t>
  </si>
  <si>
    <t xml:space="preserve">Met at our event</t>
  </si>
  <si>
    <t xml:space="preserve">Marketing Manager (example)</t>
  </si>
  <si>
    <t xml:space="preserve">Marketing Manager</t>
  </si>
  <si>
    <t xml:space="preserve">Marketing</t>
  </si>
  <si>
    <t xml:space="preserve">Introduced at a fair</t>
  </si>
  <si>
    <t xml:space="preserve">One row per proposed partnership. Follow-up is a flag, not a stage. Required: Planned = type, owner, next action + due · Proposal sent = package or value · Won = agreed value, renewal date, closed on · Lost = reason · Nurture = reason + date.</t>
  </si>
  <si>
    <t xml:space="preserve">Contact</t>
  </si>
  <si>
    <t xml:space="preserve">Renewal</t>
  </si>
  <si>
    <t xml:space="preserve">Value kind</t>
  </si>
  <si>
    <t xml:space="preserve">Proposed value (DKK)</t>
  </si>
  <si>
    <t xml:space="preserve">Agreed value (DKK)</t>
  </si>
  <si>
    <t xml:space="preserve">Non-cash / in-kind description</t>
  </si>
  <si>
    <t xml:space="preserve">Next action due</t>
  </si>
  <si>
    <t xml:space="preserve">Start date</t>
  </si>
  <si>
    <t xml:space="preserve">End date</t>
  </si>
  <si>
    <t xml:space="preserve">Satisfaction reason</t>
  </si>
  <si>
    <t xml:space="preserve">Nurture reason</t>
  </si>
  <si>
    <t xml:space="preserve">Nurture until</t>
  </si>
  <si>
    <t xml:space="preserve">Why this type (one sentence)</t>
  </si>
  <si>
    <t xml:space="preserve">Open</t>
  </si>
  <si>
    <t xml:space="preserve">Flag</t>
  </si>
  <si>
    <t xml:space="preserve">Won key</t>
  </si>
  <si>
    <t xml:space="preserve">Lost key</t>
  </si>
  <si>
    <t xml:space="preserve">Recurring sponsor</t>
  </si>
  <si>
    <t xml:space="preserve">Won</t>
  </si>
  <si>
    <t xml:space="preserve">Cash</t>
  </si>
  <si>
    <t xml:space="preserve">Satisfied</t>
  </si>
  <si>
    <t xml:space="preserve">Said the event series met their targets</t>
  </si>
  <si>
    <t xml:space="preserve">Paid partner last year</t>
  </si>
  <si>
    <t xml:space="preserve">Recruitment</t>
  </si>
  <si>
    <t xml:space="preserve">Second follow-up email</t>
  </si>
  <si>
    <t xml:space="preserve">Hires CBS graduates and sponsors student organisations</t>
  </si>
  <si>
    <t xml:space="preserve">Speaker</t>
  </si>
  <si>
    <t xml:space="preserve">Non-cash</t>
  </si>
  <si>
    <t xml:space="preserve">1 keynote</t>
  </si>
  <si>
    <t xml:space="preserve">Meeting: confirm keynote date</t>
  </si>
  <si>
    <t xml:space="preserve">Founder is a strong speaker on a current theme</t>
  </si>
  <si>
    <t xml:space="preserve">In-kind</t>
  </si>
  <si>
    <t xml:space="preserve">Venue and catering for one evening</t>
  </si>
  <si>
    <t xml:space="preserve">Check venue availability</t>
  </si>
  <si>
    <t xml:space="preserve">We need a venue this semester</t>
  </si>
  <si>
    <t xml:space="preserve">Event sponsor</t>
  </si>
  <si>
    <t xml:space="preserve">Lost</t>
  </si>
  <si>
    <t xml:space="preserve">Log every contact in under a minute. Last contact, Access and the no-reply flag come from here. Direction: Sent by us / Received from them / Two-way (calls, meetings).</t>
  </si>
  <si>
    <t xml:space="preserve">Team member</t>
  </si>
  <si>
    <t xml:space="preserve">Channel</t>
  </si>
  <si>
    <t xml:space="preserve">Direction</t>
  </si>
  <si>
    <t xml:space="preserve">Summary (one line)</t>
  </si>
  <si>
    <t xml:space="preserve">Outcome</t>
  </si>
  <si>
    <t xml:space="preserve">Counts as warm</t>
  </si>
  <si>
    <t xml:space="preserve">Two-way</t>
  </si>
  <si>
    <t xml:space="preserve">Review of last year's series</t>
  </si>
  <si>
    <t xml:space="preserve">Positive</t>
  </si>
  <si>
    <t xml:space="preserve">Sent by us</t>
  </si>
  <si>
    <t xml:space="preserve">First email about a recruitment event</t>
  </si>
  <si>
    <t xml:space="preserve">No reply</t>
  </si>
  <si>
    <t xml:space="preserve">Follow-up email</t>
  </si>
  <si>
    <t xml:space="preserve">Call</t>
  </si>
  <si>
    <t xml:space="preserve">Agreed to meet about a keynote</t>
  </si>
  <si>
    <t xml:space="preserve">Received from them</t>
  </si>
  <si>
    <t xml:space="preserve">Interested in hosting; sent proposal</t>
  </si>
  <si>
    <t xml:space="preserve">Supporting facts for Fit reasons and briefings. Every item is a Verified fact, a Source-backed inference or an Unknown. AI-drafted items stay unusable until a person has checked the source.</t>
  </si>
  <si>
    <t xml:space="preserve">Criterion</t>
  </si>
  <si>
    <t xml:space="preserve">Statement</t>
  </si>
  <si>
    <t xml:space="preserve">Label</t>
  </si>
  <si>
    <t xml:space="preserve">Reasoning (for inferences)</t>
  </si>
  <si>
    <t xml:space="preserve">AI drafted</t>
  </si>
  <si>
    <t xml:space="preserve">Checked by</t>
  </si>
  <si>
    <t xml:space="preserve">Checked on</t>
  </si>
  <si>
    <t xml:space="preserve">Status</t>
  </si>
  <si>
    <t xml:space="preserve">About 20 graduate postings for business profiles this year</t>
  </si>
  <si>
    <t xml:space="preserve">Verified fact</t>
  </si>
  <si>
    <t xml:space="preserve">https://example.org/nordlys-jobs</t>
  </si>
  <si>
    <t xml:space="preserve">Recurring graduate hiring each year</t>
  </si>
  <si>
    <t xml:space="preserve">Source-backed inference</t>
  </si>
  <si>
    <t xml:space="preserve">An annual graduate programme implies a recurring hiring need</t>
  </si>
  <si>
    <t xml:space="preserve">https://example.org/nordlys-graduates</t>
  </si>
  <si>
    <t xml:space="preserve">General</t>
  </si>
  <si>
    <t xml:space="preserve">Who decides on student partnerships?</t>
  </si>
  <si>
    <t xml:space="preserve">CEO spoke about AI and work at a conference</t>
  </si>
  <si>
    <t xml:space="preserve">https://example.org/talk</t>
  </si>
  <si>
    <t xml:space="preserve">Dropdown values. Edit only if the specification changes.</t>
  </si>
  <si>
    <t xml:space="preserve">Size</t>
  </si>
  <si>
    <t xml:space="preserve">YesNo</t>
  </si>
  <si>
    <t xml:space="preserve">YesNoUnknown</t>
  </si>
  <si>
    <t xml:space="preserve">EvidenceType</t>
  </si>
  <si>
    <t xml:space="preserve">Kind</t>
  </si>
  <si>
    <t xml:space="preserve">Counts for Access 1</t>
  </si>
  <si>
    <t xml:space="preserve">Campus recruiter / early careers</t>
  </si>
  <si>
    <t xml:space="preserve">Finance, banking &amp; insurance</t>
  </si>
  <si>
    <t xml:space="preserve">Neutral</t>
  </si>
  <si>
    <t xml:space="preserve">Sponsors university activities</t>
  </si>
  <si>
    <t xml:space="preserve">Unsatisfied</t>
  </si>
  <si>
    <t xml:space="preserve">Negative</t>
  </si>
  <si>
    <t xml:space="preserve">Talent acquisition</t>
  </si>
  <si>
    <t xml:space="preserve">Energy &amp; utilities</t>
  </si>
  <si>
    <t xml:space="preserve">Life sciences &amp; healthcare</t>
  </si>
  <si>
    <t xml:space="preserve">Previous CBS Talks partner</t>
  </si>
  <si>
    <t xml:space="preserve">Annual partner</t>
  </si>
  <si>
    <t xml:space="preserve">HR manager / director</t>
  </si>
  <si>
    <t xml:space="preserve">Knowledge</t>
  </si>
  <si>
    <t xml:space="preserve">Content</t>
  </si>
  <si>
    <t xml:space="preserve">Partnerships / sponsorship</t>
  </si>
  <si>
    <t xml:space="preserve">Manufacturing &amp; industrials</t>
  </si>
  <si>
    <t xml:space="preserve">Networking</t>
  </si>
  <si>
    <t xml:space="preserve">Communications</t>
  </si>
  <si>
    <t xml:space="preserve">CSR / sustainability</t>
  </si>
  <si>
    <t xml:space="preserve">Events / sales (venues)</t>
  </si>
  <si>
    <t xml:space="preserve">Public sector, NGOs &amp; associations</t>
  </si>
  <si>
    <t xml:space="preserve">Community / ecosystem</t>
  </si>
  <si>
    <t xml:space="preserve">Subject-matter expert / speaker</t>
  </si>
  <si>
    <t xml:space="preserve">Country manager / senior executive</t>
  </si>
  <si>
    <t xml:space="preserve">Executive assistant (routing only)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</si>
</sst>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yyyy\-mm\-dd"/>
    <numFmt numFmtId="167" formatCode="0.00000"/>
    <numFmt numFmtId="168" formatCode="#,##0&quot; DKK&quot;;\-#,##0&quot; DKK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F73"/>
      <name val="Arial"/>
      <family val="0"/>
      <charset val="1"/>
    </font>
    <font>
      <i val="true"/>
      <sz val="9"/>
      <color rgb="FF5A617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1F3F7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2F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A0A6B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F73"/>
        <bgColor rgb="FF003366"/>
      </patternFill>
    </fill>
    <fill>
      <patternFill patternType="solid">
        <fgColor rgb="FFFFF8DC"/>
        <bgColor rgb="FFFFFFFF"/>
      </patternFill>
    </fill>
    <fill>
      <patternFill patternType="solid">
        <fgColor rgb="FF5A6170"/>
        <bgColor rgb="FF808080"/>
      </patternFill>
    </fill>
    <fill>
      <patternFill patternType="solid">
        <fgColor rgb="FFEEF1F5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B42F2F"/>
        <sz val="10"/>
      </font>
    </dxf>
    <dxf>
      <fill>
        <patternFill patternType="solid">
          <fgColor rgb="FF1F3F73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A6170"/>
          <bgColor rgb="FF000000"/>
        </patternFill>
      </fill>
    </dxf>
    <dxf>
      <fill>
        <patternFill patternType="solid">
          <fgColor rgb="FFEEF1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A0A6B0"/>
      <rgbColor rgb="FF808080"/>
      <rgbColor rgb="FF9999FF"/>
      <rgbColor rgb="FFD03B3B"/>
      <rgbColor rgb="FFFFF8DC"/>
      <rgbColor rgb="FFEEF1F5"/>
      <rgbColor rgb="FF660066"/>
      <rgbColor rgb="FFFF8080"/>
      <rgbColor rgb="FF0066CC"/>
      <rgbColor rgb="FFDD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C98500"/>
      <rgbColor rgb="FFFF6600"/>
      <rgbColor rgb="FF5A6170"/>
      <rgbColor rgb="FF8A8F99"/>
      <rgbColor rgb="FF003366"/>
      <rgbColor rgb="FF339966"/>
      <rgbColor rgb="FF003300"/>
      <rgbColor rgb="FF333300"/>
      <rgbColor rgb="FFB42F2F"/>
      <rgbColor rgb="FF993366"/>
      <rgbColor rgb="FF1F3F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mmercialEvidence" displayName="tblCommercialEvidence" ref="A2:I502" headerRowCount="1" totalsRowCount="0" totalsRowShown="0">
  <autoFilter ref="A2:I502"/>
  <tableColumns count="9">
    <tableColumn id="1" name="Company"/>
    <tableColumn id="2" name="Type"/>
    <tableColumn id="3" name="What was observed (or what was checked)"/>
    <tableColumn id="4" name="Source URL"/>
    <tableColumn id="5" name="Amount (DKK) — only for Previous CBS Talks spend"/>
    <tableColumn id="6" name="Year"/>
    <tableColumn id="7" name="Recorded by"/>
    <tableColumn id="8" name="Recorded on"/>
    <tableColumn id="9" name="Check"/>
  </tableColumns>
</table>
</file>

<file path=xl/tables/table2.xml><?xml version="1.0" encoding="utf-8"?>
<table xmlns="http://schemas.openxmlformats.org/spreadsheetml/2006/main" id="2" name="tblCompanies" displayName="tblCompanies" ref="A2:AI502" headerRowCount="1" totalsRowCount="0" totalsRowShown="0">
  <autoFilter ref="A2:AI502"/>
  <tableColumns count="35">
    <tableColumn id="1" name="Company"/>
    <tableColumn id="2" name="Website"/>
    <tableColumn id="3" name="CVR"/>
    <tableColumn id="4" name="Industry"/>
    <tableColumn id="5" name="Size band (DK, info only)"/>
    <tableColumn id="6" name="Owner"/>
    <tableColumn id="7" name="F1 Student pull"/>
    <tableColumn id="8" name="F1 reason"/>
    <tableColumn id="9" name="F1 source"/>
    <tableColumn id="10" name="F2 Content fit"/>
    <tableColumn id="11" name="F2 reason"/>
    <tableColumn id="12" name="F2 source"/>
    <tableColumn id="13" name="F3 Reason to work with us"/>
    <tableColumn id="14" name="F3 reason"/>
    <tableColumn id="15" name="F3 source"/>
    <tableColumn id="16" name="F5 Long-term potential"/>
    <tableColumn id="17" name="F5 reason"/>
    <tableColumn id="18" name="F5 source"/>
    <tableColumn id="19" name="Fit reviewed on"/>
    <tableColumn id="20" name="Intro path"/>
    <tableColumn id="21" name="Specific need (Quick Win)"/>
    <tableColumn id="22" name="Path in progress"/>
    <tableColumn id="23" name="Path action"/>
    <tableColumn id="24" name="Path started on"/>
    <tableColumn id="25" name="Notes (≤500 chars, nothing personal)"/>
    <tableColumn id="26" name="Do not contact"/>
    <tableColumn id="27" name="Do-not-contact reason"/>
    <tableColumn id="28" name="F4 Track record"/>
    <tableColumn id="29" name="Fit (0-10)"/>
    <tableColumn id="30" name="Access (0-4)"/>
    <tableColumn id="31" name="Quadrant"/>
    <tableColumn id="32" name="Last contact"/>
    <tableColumn id="33" name="Open opportunities"/>
    <tableColumn id="34" name="Checks"/>
    <tableColumn id="35" name="Queue key"/>
  </tableColumns>
</table>
</file>

<file path=xl/tables/table3.xml><?xml version="1.0" encoding="utf-8"?>
<table xmlns="http://schemas.openxmlformats.org/spreadsheetml/2006/main" id="3" name="tblContacts" displayName="tblContacts" ref="A2:N502" headerRowCount="1" totalsRowCount="0" totalsRowShown="0">
  <autoFilter ref="A2:N502"/>
  <tableColumns count="14">
    <tableColumn id="1" name="Company"/>
    <tableColumn id="2" name="Name"/>
    <tableColumn id="3" name="Title"/>
    <tableColumn id="4" name="Role category"/>
    <tableColumn id="5" name="Relationship"/>
    <tableColumn id="6" name="CBS alumnus"/>
    <tableColumn id="7" name="Work email (published or given to us)"/>
    <tableColumn id="8" name="LinkedIn URL"/>
    <tableColumn id="9" name="Source"/>
    <tableColumn id="10" name="Verified on"/>
    <tableColumn id="11" name="Left company"/>
    <tableColumn id="12" name="Do not contact"/>
    <tableColumn id="13" name="Suitable role"/>
    <tableColumn id="14" name="Check"/>
  </tableColumns>
</table>
</file>

<file path=xl/tables/table4.xml><?xml version="1.0" encoding="utf-8"?>
<table xmlns="http://schemas.openxmlformats.org/spreadsheetml/2006/main" id="4" name="tblEvents" displayName="tblEvents" ref="A2:G502" headerRowCount="1" totalsRowCount="0" totalsRowShown="0">
  <autoFilter ref="A2:G502"/>
  <tableColumns count="7">
    <tableColumn id="1" name="Event"/>
    <tableColumn id="2" name="Date"/>
    <tableColumn id="3" name="Theme"/>
    <tableColumn id="4" name="Attendance"/>
    <tableColumn id="5" name="Study-line mix"/>
    <tableColumn id="6" name="Partner company"/>
    <tableColumn id="7" name="Partner report sent on"/>
  </tableColumns>
</table>
</file>

<file path=xl/tables/table5.xml><?xml version="1.0" encoding="utf-8"?>
<table xmlns="http://schemas.openxmlformats.org/spreadsheetml/2006/main" id="5" name="tblEvidence" displayName="tblEvidence" ref="A2:J502" headerRowCount="1" totalsRowCount="0" totalsRowShown="0">
  <autoFilter ref="A2:J502"/>
  <tableColumns count="10">
    <tableColumn id="1" name="Company"/>
    <tableColumn id="2" name="Criterion"/>
    <tableColumn id="3" name="Statement"/>
    <tableColumn id="4" name="Label"/>
    <tableColumn id="5" name="Reasoning (for inferences)"/>
    <tableColumn id="6" name="Source URL"/>
    <tableColumn id="7" name="AI drafted"/>
    <tableColumn id="8" name="Checked by"/>
    <tableColumn id="9" name="Checked on"/>
    <tableColumn id="10" name="Status"/>
  </tableColumns>
</table>
</file>

<file path=xl/tables/table6.xml><?xml version="1.0" encoding="utf-8"?>
<table xmlns="http://schemas.openxmlformats.org/spreadsheetml/2006/main" id="6" name="tblInteractions" displayName="tblInteractions" ref="A2:I502" headerRowCount="1" totalsRowCount="0" totalsRowShown="0">
  <autoFilter ref="A2:I502"/>
  <tableColumns count="9">
    <tableColumn id="1" name="Date"/>
    <tableColumn id="2" name="Company"/>
    <tableColumn id="3" name="Contact"/>
    <tableColumn id="4" name="Team member"/>
    <tableColumn id="5" name="Channel"/>
    <tableColumn id="6" name="Direction"/>
    <tableColumn id="7" name="Summary (one line)"/>
    <tableColumn id="8" name="Outcome"/>
    <tableColumn id="9" name="Counts as warm"/>
  </tableColumns>
</table>
</file>

<file path=xl/tables/table7.xml><?xml version="1.0" encoding="utf-8"?>
<table xmlns="http://schemas.openxmlformats.org/spreadsheetml/2006/main" id="7" name="tblOpportunities" displayName="tblOpportunities" ref="A2:AC502" headerRowCount="1" totalsRowCount="0" totalsRowShown="0">
  <autoFilter ref="A2:AC502"/>
  <tableColumns count="29">
    <tableColumn id="1" name="Company"/>
    <tableColumn id="2" name="Type"/>
    <tableColumn id="3" name="Stage"/>
    <tableColumn id="4" name="Owner"/>
    <tableColumn id="5" name="Contact"/>
    <tableColumn id="6" name="Renewal"/>
    <tableColumn id="7" name="Value kind"/>
    <tableColumn id="8" name="Package"/>
    <tableColumn id="9" name="Proposed value (DKK)"/>
    <tableColumn id="10" name="Agreed value (DKK)"/>
    <tableColumn id="11" name="Non-cash / in-kind description"/>
    <tableColumn id="12" name="Next action"/>
    <tableColumn id="13" name="Next action due"/>
    <tableColumn id="14" name="Start date"/>
    <tableColumn id="15" name="End date"/>
    <tableColumn id="16" name="Renewal date"/>
    <tableColumn id="17" name="Satisfaction"/>
    <tableColumn id="18" name="Satisfaction reason"/>
    <tableColumn id="19" name="Lost reason"/>
    <tableColumn id="20" name="Nurture reason"/>
    <tableColumn id="21" name="Nurture until"/>
    <tableColumn id="22" name="Closed on"/>
    <tableColumn id="23" name="Why this type (one sentence)"/>
    <tableColumn id="24" name="Open"/>
    <tableColumn id="25" name="Flag"/>
    <tableColumn id="26" name="Queue key"/>
    <tableColumn id="27" name="Check"/>
    <tableColumn id="28" name="Won key"/>
    <tableColumn id="29" name="Lost key"/>
  </tableColumns>
</table>
</file>

<file path=xl/tables/table8.xml><?xml version="1.0" encoding="utf-8"?>
<table xmlns="http://schemas.openxmlformats.org/spreadsheetml/2006/main" id="8" name="tblPackages" displayName="tblPackages" ref="A2:E502" headerRowCount="1" totalsRowCount="0" totalsRowShown="0">
  <autoFilter ref="A2:E502"/>
  <tableColumns count="5">
    <tableColumn id="1" name="Package"/>
    <tableColumn id="2" name="Price (DKK)"/>
    <tableColumn id="3" name="What's included"/>
    <tableColumn id="4" name="Capacity per semester"/>
    <tableColumn id="5" name="Active"/>
  </tableColumns>
</table>
</file>

<file path=xl/tables/table9.xml><?xml version="1.0" encoding="utf-8"?>
<table xmlns="http://schemas.openxmlformats.org/spreadsheetml/2006/main" id="9" name="tblTeam" displayName="tblTeam" ref="A2:F502" headerRowCount="1" totalsRowCount="0" totalsRowShown="0">
  <autoFilter ref="A2:F502"/>
  <tableColumns count="6">
    <tableColumn id="1" name="Name"/>
    <tableColumn id="2" name="Role"/>
    <tableColumn id="3" name="Email"/>
    <tableColumn id="4" name="Active"/>
    <tableColumn id="5" name="Term start"/>
    <tableColumn id="6" name="Term end"/>
  </tableColumns>
</table>
</file>

<file path=xl/tables/table10.xml><?xml version="1.0" encoding="utf-8"?>
<table xmlns="http://schemas.openxmlformats.org/spreadsheetml/2006/main" id="10" name="tblThemes" displayName="tblThemes" ref="A2:C502" headerRowCount="1" totalsRowCount="0" totalsRowShown="0">
  <autoFilter ref="A2:C502"/>
  <tableColumns count="3">
    <tableColumn id="1" name="Theme"/>
    <tableColumn id="2" name="Year"/>
    <tableColumn id="3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A30C"/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3B3B"/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6" min="4" style="0" width="14"/>
    <col collapsed="false" customWidth="true" hidden="false" outlineLevel="0" max="7" min="7" style="0" width="5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19.7" hidden="false" customHeight="false" outlineLevel="0" collapsed="false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tr">
        <f aca="false">"As of "&amp;TEXT(S_Today,"d mmm yyyy")&amp;" · Work from the top: renewals → follow-ups → Priority prospects → building paths. Calculated, don't edit: update the Opportunities and Companies tabs instead."</f>
        <v>As of 12 Oct 2026 · Work from the top: renewals → follow-ups → Priority prospects → building paths. Calculated, don't edit: update the Opportunities and Companies tabs instead.</v>
      </c>
      <c r="B2" s="9"/>
      <c r="C2" s="9"/>
      <c r="D2" s="9"/>
      <c r="E2" s="9"/>
      <c r="F2" s="9"/>
      <c r="G2" s="9"/>
      <c r="H2" s="9"/>
      <c r="I2" s="8"/>
      <c r="J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</row>
    <row r="4" customFormat="false" ht="15" hidden="false" customHeight="false" outlineLevel="0" collapsed="false">
      <c r="A4" s="10" t="s">
        <v>23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11" t="s">
        <v>24</v>
      </c>
      <c r="B5" s="11" t="s">
        <v>25</v>
      </c>
      <c r="C5" s="11" t="s">
        <v>26</v>
      </c>
      <c r="D5" s="11" t="s">
        <v>27</v>
      </c>
      <c r="E5" s="11" t="s">
        <v>28</v>
      </c>
      <c r="F5" s="11" t="s">
        <v>29</v>
      </c>
      <c r="G5" s="11" t="s">
        <v>30</v>
      </c>
      <c r="H5" s="11" t="s">
        <v>31</v>
      </c>
      <c r="I5" s="11" t="s">
        <v>32</v>
      </c>
      <c r="J5" s="11" t="s">
        <v>33</v>
      </c>
    </row>
    <row r="6" customFormat="false" ht="15" hidden="false" customHeight="false" outlineLevel="0" collapsed="false">
      <c r="A6" s="12" t="n">
        <f aca="false">IF($J6="","",1)</f>
        <v>1</v>
      </c>
      <c r="B6" s="13" t="str">
        <f aca="false">IF($J6="","",INDEX(Opportunities!$Y$3:$Y$502,MATCH($J6,Opportunities!$Z$3:$Z$502,0)))</f>
        <v>Renewal due</v>
      </c>
      <c r="C6" s="12" t="str">
        <f aca="false">IF($J6="","",INDEX(Opportunities!$A$3:$A$502,MATCH($J6,Opportunities!$Z$3:$Z$502,0)))</f>
        <v>ProServ (example)</v>
      </c>
      <c r="D6" s="12" t="str">
        <f aca="false">IF($J6="","",INDEX(Opportunities!$B$3:$B$502,MATCH($J6,Opportunities!$Z$3:$Z$502,0)))</f>
        <v>Recurring sponsor</v>
      </c>
      <c r="E6" s="12" t="str">
        <f aca="false">IF($J6="","",INDEX(Opportunities!$C$3:$C$502,MATCH($J6,Opportunities!$Z$3:$Z$502,0)))</f>
        <v>Won</v>
      </c>
      <c r="F6" s="12" t="str">
        <f aca="false">IF($J6="","",IF(INDEX(Opportunities!$D$3:$D$502,MATCH($J6,Opportunities!$Z$3:$Z$502,0))="","(no owner)",INDEX(Opportunities!$D$3:$D$502,MATCH($J6,Opportunities!$Z$3:$Z$502,0))))</f>
        <v>J.H. (example)</v>
      </c>
      <c r="G6" s="12" t="str">
        <f aca="false">IF($J6="","",IF(INDEX(Opportunities!$L$3:$L$502,MATCH($J6,Opportunities!$Z$3:$Z$502,0))="","(add a next action)",INDEX(Opportunities!$L$3:$L$502,MATCH($J6,Opportunities!$Z$3:$Z$502,0))))</f>
        <v>(add a next action)</v>
      </c>
      <c r="H6" s="14" t="str">
        <f aca="false">IF($J6="","",IF(INDEX(Opportunities!$M$3:$M$502,MATCH($J6,Opportunities!$Z$3:$Z$502,0))="","",INDEX(Opportunities!$M$3:$M$502,MATCH($J6,Opportunities!$Z$3:$Z$502,0))))</f>
        <v/>
      </c>
      <c r="I6" s="14" t="n">
        <f aca="false">IF($J6="","",IF(INDEX(Opportunities!$P$3:$P$502,MATCH($J6,Opportunities!$Z$3:$Z$502,0))="","",INDEX(Opportunities!$P$3:$P$502,MATCH($J6,Opportunities!$Z$3:$Z$502,0))))</f>
        <v>46337</v>
      </c>
      <c r="J6" s="15" t="n">
        <f aca="false">IFERROR(SMALL(Opportunities!$Z$3:$Z$502,1),"")</f>
        <v>106337.00003</v>
      </c>
    </row>
    <row r="7" customFormat="false" ht="15" hidden="false" customHeight="false" outlineLevel="0" collapsed="false">
      <c r="A7" s="12" t="n">
        <f aca="false">IF($J7="","",2)</f>
        <v>2</v>
      </c>
      <c r="B7" s="13" t="str">
        <f aca="false">IF($J7="","",INDEX(Opportunities!$Y$3:$Y$502,MATCH($J7,Opportunities!$Z$3:$Z$502,0)))</f>
        <v>Overdue</v>
      </c>
      <c r="C7" s="12" t="str">
        <f aca="false">IF($J7="","",INDEX(Opportunities!$A$3:$A$502,MATCH($J7,Opportunities!$Z$3:$Z$502,0)))</f>
        <v>MegaBrand A/S (example)</v>
      </c>
      <c r="D7" s="12" t="str">
        <f aca="false">IF($J7="","",INDEX(Opportunities!$B$3:$B$502,MATCH($J7,Opportunities!$Z$3:$Z$502,0)))</f>
        <v>Recruitment</v>
      </c>
      <c r="E7" s="12" t="str">
        <f aca="false">IF($J7="","",INDEX(Opportunities!$C$3:$C$502,MATCH($J7,Opportunities!$Z$3:$Z$502,0)))</f>
        <v>Contacted</v>
      </c>
      <c r="F7" s="12" t="str">
        <f aca="false">IF($J7="","",IF(INDEX(Opportunities!$D$3:$D$502,MATCH($J7,Opportunities!$Z$3:$Z$502,0))="","(no owner)",INDEX(Opportunities!$D$3:$D$502,MATCH($J7,Opportunities!$Z$3:$Z$502,0))))</f>
        <v>M.S. (example)</v>
      </c>
      <c r="G7" s="12" t="str">
        <f aca="false">IF($J7="","",IF(INDEX(Opportunities!$L$3:$L$502,MATCH($J7,Opportunities!$Z$3:$Z$502,0))="","(add a next action)",INDEX(Opportunities!$L$3:$L$502,MATCH($J7,Opportunities!$Z$3:$Z$502,0))))</f>
        <v>Second follow-up email</v>
      </c>
      <c r="H7" s="14" t="n">
        <f aca="false">IF($J7="","",IF(INDEX(Opportunities!$M$3:$M$502,MATCH($J7,Opportunities!$Z$3:$Z$502,0))="","",INDEX(Opportunities!$M$3:$M$502,MATCH($J7,Opportunities!$Z$3:$Z$502,0))))</f>
        <v>46304</v>
      </c>
      <c r="I7" s="14" t="str">
        <f aca="false">IF($J7="","",IF(INDEX(Opportunities!$P$3:$P$502,MATCH($J7,Opportunities!$Z$3:$Z$502,0))="","",INDEX(Opportunities!$P$3:$P$502,MATCH($J7,Opportunities!$Z$3:$Z$502,0))))</f>
        <v/>
      </c>
      <c r="J7" s="15" t="n">
        <f aca="false">IFERROR(SMALL(Opportunities!$Z$3:$Z$502,2),"")</f>
        <v>206304.00004</v>
      </c>
    </row>
    <row r="8" customFormat="false" ht="15" hidden="false" customHeight="false" outlineLevel="0" collapsed="false">
      <c r="A8" s="12" t="n">
        <f aca="false">IF($J8="","",3)</f>
        <v>3</v>
      </c>
      <c r="B8" s="13" t="str">
        <f aca="false">IF($J8="","",INDEX(Opportunities!$Y$3:$Y$502,MATCH($J8,Opportunities!$Z$3:$Z$502,0)))</f>
        <v>Due this week</v>
      </c>
      <c r="C8" s="12" t="str">
        <f aca="false">IF($J8="","",INDEX(Opportunities!$A$3:$A$502,MATCH($J8,Opportunities!$Z$3:$Z$502,0)))</f>
        <v>Fjord Ventures (example)</v>
      </c>
      <c r="D8" s="12" t="str">
        <f aca="false">IF($J8="","",INDEX(Opportunities!$B$3:$B$502,MATCH($J8,Opportunities!$Z$3:$Z$502,0)))</f>
        <v>Speaker</v>
      </c>
      <c r="E8" s="12" t="str">
        <f aca="false">IF($J8="","",INDEX(Opportunities!$C$3:$C$502,MATCH($J8,Opportunities!$Z$3:$Z$502,0)))</f>
        <v>Meeting</v>
      </c>
      <c r="F8" s="12" t="str">
        <f aca="false">IF($J8="","",IF(INDEX(Opportunities!$D$3:$D$502,MATCH($J8,Opportunities!$Z$3:$Z$502,0))="","(no owner)",INDEX(Opportunities!$D$3:$D$502,MATCH($J8,Opportunities!$Z$3:$Z$502,0))))</f>
        <v>A.K. (example)</v>
      </c>
      <c r="G8" s="12" t="str">
        <f aca="false">IF($J8="","",IF(INDEX(Opportunities!$L$3:$L$502,MATCH($J8,Opportunities!$Z$3:$Z$502,0))="","(add a next action)",INDEX(Opportunities!$L$3:$L$502,MATCH($J8,Opportunities!$Z$3:$Z$502,0))))</f>
        <v>Meeting: confirm keynote date</v>
      </c>
      <c r="H8" s="14" t="n">
        <f aca="false">IF($J8="","",IF(INDEX(Opportunities!$M$3:$M$502,MATCH($J8,Opportunities!$Z$3:$Z$502,0))="","",INDEX(Opportunities!$M$3:$M$502,MATCH($J8,Opportunities!$Z$3:$Z$502,0))))</f>
        <v>46311</v>
      </c>
      <c r="I8" s="14" t="str">
        <f aca="false">IF($J8="","",IF(INDEX(Opportunities!$P$3:$P$502,MATCH($J8,Opportunities!$Z$3:$Z$502,0))="","",INDEX(Opportunities!$P$3:$P$502,MATCH($J8,Opportunities!$Z$3:$Z$502,0))))</f>
        <v/>
      </c>
      <c r="J8" s="15" t="n">
        <f aca="false">IFERROR(SMALL(Opportunities!$Z$3:$Z$502,3),"")</f>
        <v>406311.00005</v>
      </c>
    </row>
    <row r="9" customFormat="false" ht="15" hidden="false" customHeight="false" outlineLevel="0" collapsed="false">
      <c r="A9" s="12" t="n">
        <f aca="false">IF($J9="","",4)</f>
        <v>4</v>
      </c>
      <c r="B9" s="13" t="str">
        <f aca="false">IF($J9="","",INDEX(Opportunities!$Y$3:$Y$502,MATCH($J9,Opportunities!$Z$3:$Z$502,0)))</f>
        <v>Due this week</v>
      </c>
      <c r="C9" s="12" t="str">
        <f aca="false">IF($J9="","",INDEX(Opportunities!$A$3:$A$502,MATCH($J9,Opportunities!$Z$3:$Z$502,0)))</f>
        <v>Kobber Hotels (example)</v>
      </c>
      <c r="D9" s="12" t="str">
        <f aca="false">IF($J9="","",INDEX(Opportunities!$B$3:$B$502,MATCH($J9,Opportunities!$Z$3:$Z$502,0)))</f>
        <v>In-kind</v>
      </c>
      <c r="E9" s="12" t="str">
        <f aca="false">IF($J9="","",INDEX(Opportunities!$C$3:$C$502,MATCH($J9,Opportunities!$Z$3:$Z$502,0)))</f>
        <v>Proposal sent</v>
      </c>
      <c r="F9" s="12" t="str">
        <f aca="false">IF($J9="","",IF(INDEX(Opportunities!$D$3:$D$502,MATCH($J9,Opportunities!$Z$3:$Z$502,0))="","(no owner)",INDEX(Opportunities!$D$3:$D$502,MATCH($J9,Opportunities!$Z$3:$Z$502,0))))</f>
        <v>L.M. (example)</v>
      </c>
      <c r="G9" s="12" t="str">
        <f aca="false">IF($J9="","",IF(INDEX(Opportunities!$L$3:$L$502,MATCH($J9,Opportunities!$Z$3:$Z$502,0))="","(add a next action)",INDEX(Opportunities!$L$3:$L$502,MATCH($J9,Opportunities!$Z$3:$Z$502,0))))</f>
        <v>Check venue availability</v>
      </c>
      <c r="H9" s="14" t="n">
        <f aca="false">IF($J9="","",IF(INDEX(Opportunities!$M$3:$M$502,MATCH($J9,Opportunities!$Z$3:$Z$502,0))="","",INDEX(Opportunities!$M$3:$M$502,MATCH($J9,Opportunities!$Z$3:$Z$502,0))))</f>
        <v>46313</v>
      </c>
      <c r="I9" s="14" t="str">
        <f aca="false">IF($J9="","",IF(INDEX(Opportunities!$P$3:$P$502,MATCH($J9,Opportunities!$Z$3:$Z$502,0))="","",INDEX(Opportunities!$P$3:$P$502,MATCH($J9,Opportunities!$Z$3:$Z$502,0))))</f>
        <v/>
      </c>
      <c r="J9" s="15" t="n">
        <f aca="false">IFERROR(SMALL(Opportunities!$Z$3:$Z$502,4),"")</f>
        <v>406313.00006</v>
      </c>
    </row>
    <row r="10" customFormat="false" ht="15" hidden="false" customHeight="false" outlineLevel="0" collapsed="false">
      <c r="A10" s="12" t="str">
        <f aca="false">IF($J10="","",5)</f>
        <v/>
      </c>
      <c r="B10" s="13" t="str">
        <f aca="false">IF($J10="","",INDEX(Opportunities!$Y$3:$Y$502,MATCH($J10,Opportunities!$Z$3:$Z$502,0)))</f>
        <v/>
      </c>
      <c r="C10" s="12" t="str">
        <f aca="false">IF($J10="","",INDEX(Opportunities!$A$3:$A$502,MATCH($J10,Opportunities!$Z$3:$Z$502,0)))</f>
        <v/>
      </c>
      <c r="D10" s="12" t="str">
        <f aca="false">IF($J10="","",INDEX(Opportunities!$B$3:$B$502,MATCH($J10,Opportunities!$Z$3:$Z$502,0)))</f>
        <v/>
      </c>
      <c r="E10" s="12" t="str">
        <f aca="false">IF($J10="","",INDEX(Opportunities!$C$3:$C$502,MATCH($J10,Opportunities!$Z$3:$Z$502,0)))</f>
        <v/>
      </c>
      <c r="F10" s="12" t="str">
        <f aca="false">IF($J10="","",IF(INDEX(Opportunities!$D$3:$D$502,MATCH($J10,Opportunities!$Z$3:$Z$502,0))="","(no owner)",INDEX(Opportunities!$D$3:$D$502,MATCH($J10,Opportunities!$Z$3:$Z$502,0))))</f>
        <v/>
      </c>
      <c r="G10" s="12" t="str">
        <f aca="false">IF($J10="","",IF(INDEX(Opportunities!$L$3:$L$502,MATCH($J10,Opportunities!$Z$3:$Z$502,0))="","(add a next action)",INDEX(Opportunities!$L$3:$L$502,MATCH($J10,Opportunities!$Z$3:$Z$502,0))))</f>
        <v/>
      </c>
      <c r="H10" s="14" t="str">
        <f aca="false">IF($J10="","",IF(INDEX(Opportunities!$M$3:$M$502,MATCH($J10,Opportunities!$Z$3:$Z$502,0))="","",INDEX(Opportunities!$M$3:$M$502,MATCH($J10,Opportunities!$Z$3:$Z$502,0))))</f>
        <v/>
      </c>
      <c r="I10" s="14" t="str">
        <f aca="false">IF($J10="","",IF(INDEX(Opportunities!$P$3:$P$502,MATCH($J10,Opportunities!$Z$3:$Z$502,0))="","",INDEX(Opportunities!$P$3:$P$502,MATCH($J10,Opportunities!$Z$3:$Z$502,0))))</f>
        <v/>
      </c>
      <c r="J10" s="15" t="str">
        <f aca="false">IFERROR(SMALL(Opportunities!$Z$3:$Z$502,5),"")</f>
        <v/>
      </c>
    </row>
    <row r="11" customFormat="false" ht="15" hidden="false" customHeight="false" outlineLevel="0" collapsed="false">
      <c r="A11" s="12" t="str">
        <f aca="false">IF($J11="","",6)</f>
        <v/>
      </c>
      <c r="B11" s="13" t="str">
        <f aca="false">IF($J11="","",INDEX(Opportunities!$Y$3:$Y$502,MATCH($J11,Opportunities!$Z$3:$Z$502,0)))</f>
        <v/>
      </c>
      <c r="C11" s="12" t="str">
        <f aca="false">IF($J11="","",INDEX(Opportunities!$A$3:$A$502,MATCH($J11,Opportunities!$Z$3:$Z$502,0)))</f>
        <v/>
      </c>
      <c r="D11" s="12" t="str">
        <f aca="false">IF($J11="","",INDEX(Opportunities!$B$3:$B$502,MATCH($J11,Opportunities!$Z$3:$Z$502,0)))</f>
        <v/>
      </c>
      <c r="E11" s="12" t="str">
        <f aca="false">IF($J11="","",INDEX(Opportunities!$C$3:$C$502,MATCH($J11,Opportunities!$Z$3:$Z$502,0)))</f>
        <v/>
      </c>
      <c r="F11" s="12" t="str">
        <f aca="false">IF($J11="","",IF(INDEX(Opportunities!$D$3:$D$502,MATCH($J11,Opportunities!$Z$3:$Z$502,0))="","(no owner)",INDEX(Opportunities!$D$3:$D$502,MATCH($J11,Opportunities!$Z$3:$Z$502,0))))</f>
        <v/>
      </c>
      <c r="G11" s="12" t="str">
        <f aca="false">IF($J11="","",IF(INDEX(Opportunities!$L$3:$L$502,MATCH($J11,Opportunities!$Z$3:$Z$502,0))="","(add a next action)",INDEX(Opportunities!$L$3:$L$502,MATCH($J11,Opportunities!$Z$3:$Z$502,0))))</f>
        <v/>
      </c>
      <c r="H11" s="14" t="str">
        <f aca="false">IF($J11="","",IF(INDEX(Opportunities!$M$3:$M$502,MATCH($J11,Opportunities!$Z$3:$Z$502,0))="","",INDEX(Opportunities!$M$3:$M$502,MATCH($J11,Opportunities!$Z$3:$Z$502,0))))</f>
        <v/>
      </c>
      <c r="I11" s="14" t="str">
        <f aca="false">IF($J11="","",IF(INDEX(Opportunities!$P$3:$P$502,MATCH($J11,Opportunities!$Z$3:$Z$502,0))="","",INDEX(Opportunities!$P$3:$P$502,MATCH($J11,Opportunities!$Z$3:$Z$502,0))))</f>
        <v/>
      </c>
      <c r="J11" s="15" t="str">
        <f aca="false">IFERROR(SMALL(Opportunities!$Z$3:$Z$502,6),"")</f>
        <v/>
      </c>
    </row>
    <row r="12" customFormat="false" ht="15" hidden="false" customHeight="false" outlineLevel="0" collapsed="false">
      <c r="A12" s="12" t="str">
        <f aca="false">IF($J12="","",7)</f>
        <v/>
      </c>
      <c r="B12" s="13" t="str">
        <f aca="false">IF($J12="","",INDEX(Opportunities!$Y$3:$Y$502,MATCH($J12,Opportunities!$Z$3:$Z$502,0)))</f>
        <v/>
      </c>
      <c r="C12" s="12" t="str">
        <f aca="false">IF($J12="","",INDEX(Opportunities!$A$3:$A$502,MATCH($J12,Opportunities!$Z$3:$Z$502,0)))</f>
        <v/>
      </c>
      <c r="D12" s="12" t="str">
        <f aca="false">IF($J12="","",INDEX(Opportunities!$B$3:$B$502,MATCH($J12,Opportunities!$Z$3:$Z$502,0)))</f>
        <v/>
      </c>
      <c r="E12" s="12" t="str">
        <f aca="false">IF($J12="","",INDEX(Opportunities!$C$3:$C$502,MATCH($J12,Opportunities!$Z$3:$Z$502,0)))</f>
        <v/>
      </c>
      <c r="F12" s="12" t="str">
        <f aca="false">IF($J12="","",IF(INDEX(Opportunities!$D$3:$D$502,MATCH($J12,Opportunities!$Z$3:$Z$502,0))="","(no owner)",INDEX(Opportunities!$D$3:$D$502,MATCH($J12,Opportunities!$Z$3:$Z$502,0))))</f>
        <v/>
      </c>
      <c r="G12" s="12" t="str">
        <f aca="false">IF($J12="","",IF(INDEX(Opportunities!$L$3:$L$502,MATCH($J12,Opportunities!$Z$3:$Z$502,0))="","(add a next action)",INDEX(Opportunities!$L$3:$L$502,MATCH($J12,Opportunities!$Z$3:$Z$502,0))))</f>
        <v/>
      </c>
      <c r="H12" s="14" t="str">
        <f aca="false">IF($J12="","",IF(INDEX(Opportunities!$M$3:$M$502,MATCH($J12,Opportunities!$Z$3:$Z$502,0))="","",INDEX(Opportunities!$M$3:$M$502,MATCH($J12,Opportunities!$Z$3:$Z$502,0))))</f>
        <v/>
      </c>
      <c r="I12" s="14" t="str">
        <f aca="false">IF($J12="","",IF(INDEX(Opportunities!$P$3:$P$502,MATCH($J12,Opportunities!$Z$3:$Z$502,0))="","",INDEX(Opportunities!$P$3:$P$502,MATCH($J12,Opportunities!$Z$3:$Z$502,0))))</f>
        <v/>
      </c>
      <c r="J12" s="15" t="str">
        <f aca="false">IFERROR(SMALL(Opportunities!$Z$3:$Z$502,7),"")</f>
        <v/>
      </c>
    </row>
    <row r="13" customFormat="false" ht="15" hidden="false" customHeight="false" outlineLevel="0" collapsed="false">
      <c r="A13" s="12" t="str">
        <f aca="false">IF($J13="","",8)</f>
        <v/>
      </c>
      <c r="B13" s="13" t="str">
        <f aca="false">IF($J13="","",INDEX(Opportunities!$Y$3:$Y$502,MATCH($J13,Opportunities!$Z$3:$Z$502,0)))</f>
        <v/>
      </c>
      <c r="C13" s="12" t="str">
        <f aca="false">IF($J13="","",INDEX(Opportunities!$A$3:$A$502,MATCH($J13,Opportunities!$Z$3:$Z$502,0)))</f>
        <v/>
      </c>
      <c r="D13" s="12" t="str">
        <f aca="false">IF($J13="","",INDEX(Opportunities!$B$3:$B$502,MATCH($J13,Opportunities!$Z$3:$Z$502,0)))</f>
        <v/>
      </c>
      <c r="E13" s="12" t="str">
        <f aca="false">IF($J13="","",INDEX(Opportunities!$C$3:$C$502,MATCH($J13,Opportunities!$Z$3:$Z$502,0)))</f>
        <v/>
      </c>
      <c r="F13" s="12" t="str">
        <f aca="false">IF($J13="","",IF(INDEX(Opportunities!$D$3:$D$502,MATCH($J13,Opportunities!$Z$3:$Z$502,0))="","(no owner)",INDEX(Opportunities!$D$3:$D$502,MATCH($J13,Opportunities!$Z$3:$Z$502,0))))</f>
        <v/>
      </c>
      <c r="G13" s="12" t="str">
        <f aca="false">IF($J13="","",IF(INDEX(Opportunities!$L$3:$L$502,MATCH($J13,Opportunities!$Z$3:$Z$502,0))="","(add a next action)",INDEX(Opportunities!$L$3:$L$502,MATCH($J13,Opportunities!$Z$3:$Z$502,0))))</f>
        <v/>
      </c>
      <c r="H13" s="14" t="str">
        <f aca="false">IF($J13="","",IF(INDEX(Opportunities!$M$3:$M$502,MATCH($J13,Opportunities!$Z$3:$Z$502,0))="","",INDEX(Opportunities!$M$3:$M$502,MATCH($J13,Opportunities!$Z$3:$Z$502,0))))</f>
        <v/>
      </c>
      <c r="I13" s="14" t="str">
        <f aca="false">IF($J13="","",IF(INDEX(Opportunities!$P$3:$P$502,MATCH($J13,Opportunities!$Z$3:$Z$502,0))="","",INDEX(Opportunities!$P$3:$P$502,MATCH($J13,Opportunities!$Z$3:$Z$502,0))))</f>
        <v/>
      </c>
      <c r="J13" s="15" t="str">
        <f aca="false">IFERROR(SMALL(Opportunities!$Z$3:$Z$502,8),"")</f>
        <v/>
      </c>
    </row>
    <row r="14" customFormat="false" ht="15" hidden="false" customHeight="false" outlineLevel="0" collapsed="false">
      <c r="A14" s="12" t="str">
        <f aca="false">IF($J14="","",9)</f>
        <v/>
      </c>
      <c r="B14" s="13" t="str">
        <f aca="false">IF($J14="","",INDEX(Opportunities!$Y$3:$Y$502,MATCH($J14,Opportunities!$Z$3:$Z$502,0)))</f>
        <v/>
      </c>
      <c r="C14" s="12" t="str">
        <f aca="false">IF($J14="","",INDEX(Opportunities!$A$3:$A$502,MATCH($J14,Opportunities!$Z$3:$Z$502,0)))</f>
        <v/>
      </c>
      <c r="D14" s="12" t="str">
        <f aca="false">IF($J14="","",INDEX(Opportunities!$B$3:$B$502,MATCH($J14,Opportunities!$Z$3:$Z$502,0)))</f>
        <v/>
      </c>
      <c r="E14" s="12" t="str">
        <f aca="false">IF($J14="","",INDEX(Opportunities!$C$3:$C$502,MATCH($J14,Opportunities!$Z$3:$Z$502,0)))</f>
        <v/>
      </c>
      <c r="F14" s="12" t="str">
        <f aca="false">IF($J14="","",IF(INDEX(Opportunities!$D$3:$D$502,MATCH($J14,Opportunities!$Z$3:$Z$502,0))="","(no owner)",INDEX(Opportunities!$D$3:$D$502,MATCH($J14,Opportunities!$Z$3:$Z$502,0))))</f>
        <v/>
      </c>
      <c r="G14" s="12" t="str">
        <f aca="false">IF($J14="","",IF(INDEX(Opportunities!$L$3:$L$502,MATCH($J14,Opportunities!$Z$3:$Z$502,0))="","(add a next action)",INDEX(Opportunities!$L$3:$L$502,MATCH($J14,Opportunities!$Z$3:$Z$502,0))))</f>
        <v/>
      </c>
      <c r="H14" s="14" t="str">
        <f aca="false">IF($J14="","",IF(INDEX(Opportunities!$M$3:$M$502,MATCH($J14,Opportunities!$Z$3:$Z$502,0))="","",INDEX(Opportunities!$M$3:$M$502,MATCH($J14,Opportunities!$Z$3:$Z$502,0))))</f>
        <v/>
      </c>
      <c r="I14" s="14" t="str">
        <f aca="false">IF($J14="","",IF(INDEX(Opportunities!$P$3:$P$502,MATCH($J14,Opportunities!$Z$3:$Z$502,0))="","",INDEX(Opportunities!$P$3:$P$502,MATCH($J14,Opportunities!$Z$3:$Z$502,0))))</f>
        <v/>
      </c>
      <c r="J14" s="15" t="str">
        <f aca="false">IFERROR(SMALL(Opportunities!$Z$3:$Z$502,9),"")</f>
        <v/>
      </c>
    </row>
    <row r="15" customFormat="false" ht="15" hidden="false" customHeight="false" outlineLevel="0" collapsed="false">
      <c r="A15" s="12" t="str">
        <f aca="false">IF($J15="","",10)</f>
        <v/>
      </c>
      <c r="B15" s="13" t="str">
        <f aca="false">IF($J15="","",INDEX(Opportunities!$Y$3:$Y$502,MATCH($J15,Opportunities!$Z$3:$Z$502,0)))</f>
        <v/>
      </c>
      <c r="C15" s="12" t="str">
        <f aca="false">IF($J15="","",INDEX(Opportunities!$A$3:$A$502,MATCH($J15,Opportunities!$Z$3:$Z$502,0)))</f>
        <v/>
      </c>
      <c r="D15" s="12" t="str">
        <f aca="false">IF($J15="","",INDEX(Opportunities!$B$3:$B$502,MATCH($J15,Opportunities!$Z$3:$Z$502,0)))</f>
        <v/>
      </c>
      <c r="E15" s="12" t="str">
        <f aca="false">IF($J15="","",INDEX(Opportunities!$C$3:$C$502,MATCH($J15,Opportunities!$Z$3:$Z$502,0)))</f>
        <v/>
      </c>
      <c r="F15" s="12" t="str">
        <f aca="false">IF($J15="","",IF(INDEX(Opportunities!$D$3:$D$502,MATCH($J15,Opportunities!$Z$3:$Z$502,0))="","(no owner)",INDEX(Opportunities!$D$3:$D$502,MATCH($J15,Opportunities!$Z$3:$Z$502,0))))</f>
        <v/>
      </c>
      <c r="G15" s="12" t="str">
        <f aca="false">IF($J15="","",IF(INDEX(Opportunities!$L$3:$L$502,MATCH($J15,Opportunities!$Z$3:$Z$502,0))="","(add a next action)",INDEX(Opportunities!$L$3:$L$502,MATCH($J15,Opportunities!$Z$3:$Z$502,0))))</f>
        <v/>
      </c>
      <c r="H15" s="14" t="str">
        <f aca="false">IF($J15="","",IF(INDEX(Opportunities!$M$3:$M$502,MATCH($J15,Opportunities!$Z$3:$Z$502,0))="","",INDEX(Opportunities!$M$3:$M$502,MATCH($J15,Opportunities!$Z$3:$Z$502,0))))</f>
        <v/>
      </c>
      <c r="I15" s="14" t="str">
        <f aca="false">IF($J15="","",IF(INDEX(Opportunities!$P$3:$P$502,MATCH($J15,Opportunities!$Z$3:$Z$502,0))="","",INDEX(Opportunities!$P$3:$P$502,MATCH($J15,Opportunities!$Z$3:$Z$502,0))))</f>
        <v/>
      </c>
      <c r="J15" s="15" t="str">
        <f aca="false">IFERROR(SMALL(Opportunities!$Z$3:$Z$502,10),"")</f>
        <v/>
      </c>
    </row>
    <row r="16" customFormat="false" ht="15" hidden="false" customHeight="false" outlineLevel="0" collapsed="false">
      <c r="A16" s="12" t="str">
        <f aca="false">IF($J16="","",11)</f>
        <v/>
      </c>
      <c r="B16" s="13" t="str">
        <f aca="false">IF($J16="","",INDEX(Opportunities!$Y$3:$Y$502,MATCH($J16,Opportunities!$Z$3:$Z$502,0)))</f>
        <v/>
      </c>
      <c r="C16" s="12" t="str">
        <f aca="false">IF($J16="","",INDEX(Opportunities!$A$3:$A$502,MATCH($J16,Opportunities!$Z$3:$Z$502,0)))</f>
        <v/>
      </c>
      <c r="D16" s="12" t="str">
        <f aca="false">IF($J16="","",INDEX(Opportunities!$B$3:$B$502,MATCH($J16,Opportunities!$Z$3:$Z$502,0)))</f>
        <v/>
      </c>
      <c r="E16" s="12" t="str">
        <f aca="false">IF($J16="","",INDEX(Opportunities!$C$3:$C$502,MATCH($J16,Opportunities!$Z$3:$Z$502,0)))</f>
        <v/>
      </c>
      <c r="F16" s="12" t="str">
        <f aca="false">IF($J16="","",IF(INDEX(Opportunities!$D$3:$D$502,MATCH($J16,Opportunities!$Z$3:$Z$502,0))="","(no owner)",INDEX(Opportunities!$D$3:$D$502,MATCH($J16,Opportunities!$Z$3:$Z$502,0))))</f>
        <v/>
      </c>
      <c r="G16" s="12" t="str">
        <f aca="false">IF($J16="","",IF(INDEX(Opportunities!$L$3:$L$502,MATCH($J16,Opportunities!$Z$3:$Z$502,0))="","(add a next action)",INDEX(Opportunities!$L$3:$L$502,MATCH($J16,Opportunities!$Z$3:$Z$502,0))))</f>
        <v/>
      </c>
      <c r="H16" s="14" t="str">
        <f aca="false">IF($J16="","",IF(INDEX(Opportunities!$M$3:$M$502,MATCH($J16,Opportunities!$Z$3:$Z$502,0))="","",INDEX(Opportunities!$M$3:$M$502,MATCH($J16,Opportunities!$Z$3:$Z$502,0))))</f>
        <v/>
      </c>
      <c r="I16" s="14" t="str">
        <f aca="false">IF($J16="","",IF(INDEX(Opportunities!$P$3:$P$502,MATCH($J16,Opportunities!$Z$3:$Z$502,0))="","",INDEX(Opportunities!$P$3:$P$502,MATCH($J16,Opportunities!$Z$3:$Z$502,0))))</f>
        <v/>
      </c>
      <c r="J16" s="15" t="str">
        <f aca="false">IFERROR(SMALL(Opportunities!$Z$3:$Z$502,11),"")</f>
        <v/>
      </c>
    </row>
    <row r="17" customFormat="false" ht="15" hidden="false" customHeight="false" outlineLevel="0" collapsed="false">
      <c r="A17" s="12" t="str">
        <f aca="false">IF($J17="","",12)</f>
        <v/>
      </c>
      <c r="B17" s="13" t="str">
        <f aca="false">IF($J17="","",INDEX(Opportunities!$Y$3:$Y$502,MATCH($J17,Opportunities!$Z$3:$Z$502,0)))</f>
        <v/>
      </c>
      <c r="C17" s="12" t="str">
        <f aca="false">IF($J17="","",INDEX(Opportunities!$A$3:$A$502,MATCH($J17,Opportunities!$Z$3:$Z$502,0)))</f>
        <v/>
      </c>
      <c r="D17" s="12" t="str">
        <f aca="false">IF($J17="","",INDEX(Opportunities!$B$3:$B$502,MATCH($J17,Opportunities!$Z$3:$Z$502,0)))</f>
        <v/>
      </c>
      <c r="E17" s="12" t="str">
        <f aca="false">IF($J17="","",INDEX(Opportunities!$C$3:$C$502,MATCH($J17,Opportunities!$Z$3:$Z$502,0)))</f>
        <v/>
      </c>
      <c r="F17" s="12" t="str">
        <f aca="false">IF($J17="","",IF(INDEX(Opportunities!$D$3:$D$502,MATCH($J17,Opportunities!$Z$3:$Z$502,0))="","(no owner)",INDEX(Opportunities!$D$3:$D$502,MATCH($J17,Opportunities!$Z$3:$Z$502,0))))</f>
        <v/>
      </c>
      <c r="G17" s="12" t="str">
        <f aca="false">IF($J17="","",IF(INDEX(Opportunities!$L$3:$L$502,MATCH($J17,Opportunities!$Z$3:$Z$502,0))="","(add a next action)",INDEX(Opportunities!$L$3:$L$502,MATCH($J17,Opportunities!$Z$3:$Z$502,0))))</f>
        <v/>
      </c>
      <c r="H17" s="14" t="str">
        <f aca="false">IF($J17="","",IF(INDEX(Opportunities!$M$3:$M$502,MATCH($J17,Opportunities!$Z$3:$Z$502,0))="","",INDEX(Opportunities!$M$3:$M$502,MATCH($J17,Opportunities!$Z$3:$Z$502,0))))</f>
        <v/>
      </c>
      <c r="I17" s="14" t="str">
        <f aca="false">IF($J17="","",IF(INDEX(Opportunities!$P$3:$P$502,MATCH($J17,Opportunities!$Z$3:$Z$502,0))="","",INDEX(Opportunities!$P$3:$P$502,MATCH($J17,Opportunities!$Z$3:$Z$502,0))))</f>
        <v/>
      </c>
      <c r="J17" s="15" t="str">
        <f aca="false">IFERROR(SMALL(Opportunities!$Z$3:$Z$502,12),"")</f>
        <v/>
      </c>
    </row>
    <row r="18" customFormat="false" ht="15" hidden="false" customHeight="false" outlineLevel="0" collapsed="false">
      <c r="A18" s="12" t="str">
        <f aca="false">IF($J18="","",13)</f>
        <v/>
      </c>
      <c r="B18" s="13" t="str">
        <f aca="false">IF($J18="","",INDEX(Opportunities!$Y$3:$Y$502,MATCH($J18,Opportunities!$Z$3:$Z$502,0)))</f>
        <v/>
      </c>
      <c r="C18" s="12" t="str">
        <f aca="false">IF($J18="","",INDEX(Opportunities!$A$3:$A$502,MATCH($J18,Opportunities!$Z$3:$Z$502,0)))</f>
        <v/>
      </c>
      <c r="D18" s="12" t="str">
        <f aca="false">IF($J18="","",INDEX(Opportunities!$B$3:$B$502,MATCH($J18,Opportunities!$Z$3:$Z$502,0)))</f>
        <v/>
      </c>
      <c r="E18" s="12" t="str">
        <f aca="false">IF($J18="","",INDEX(Opportunities!$C$3:$C$502,MATCH($J18,Opportunities!$Z$3:$Z$502,0)))</f>
        <v/>
      </c>
      <c r="F18" s="12" t="str">
        <f aca="false">IF($J18="","",IF(INDEX(Opportunities!$D$3:$D$502,MATCH($J18,Opportunities!$Z$3:$Z$502,0))="","(no owner)",INDEX(Opportunities!$D$3:$D$502,MATCH($J18,Opportunities!$Z$3:$Z$502,0))))</f>
        <v/>
      </c>
      <c r="G18" s="12" t="str">
        <f aca="false">IF($J18="","",IF(INDEX(Opportunities!$L$3:$L$502,MATCH($J18,Opportunities!$Z$3:$Z$502,0))="","(add a next action)",INDEX(Opportunities!$L$3:$L$502,MATCH($J18,Opportunities!$Z$3:$Z$502,0))))</f>
        <v/>
      </c>
      <c r="H18" s="14" t="str">
        <f aca="false">IF($J18="","",IF(INDEX(Opportunities!$M$3:$M$502,MATCH($J18,Opportunities!$Z$3:$Z$502,0))="","",INDEX(Opportunities!$M$3:$M$502,MATCH($J18,Opportunities!$Z$3:$Z$502,0))))</f>
        <v/>
      </c>
      <c r="I18" s="14" t="str">
        <f aca="false">IF($J18="","",IF(INDEX(Opportunities!$P$3:$P$502,MATCH($J18,Opportunities!$Z$3:$Z$502,0))="","",INDEX(Opportunities!$P$3:$P$502,MATCH($J18,Opportunities!$Z$3:$Z$502,0))))</f>
        <v/>
      </c>
      <c r="J18" s="15" t="str">
        <f aca="false">IFERROR(SMALL(Opportunities!$Z$3:$Z$502,13),"")</f>
        <v/>
      </c>
    </row>
    <row r="19" customFormat="false" ht="15" hidden="false" customHeight="false" outlineLevel="0" collapsed="false">
      <c r="A19" s="12" t="str">
        <f aca="false">IF($J19="","",14)</f>
        <v/>
      </c>
      <c r="B19" s="13" t="str">
        <f aca="false">IF($J19="","",INDEX(Opportunities!$Y$3:$Y$502,MATCH($J19,Opportunities!$Z$3:$Z$502,0)))</f>
        <v/>
      </c>
      <c r="C19" s="12" t="str">
        <f aca="false">IF($J19="","",INDEX(Opportunities!$A$3:$A$502,MATCH($J19,Opportunities!$Z$3:$Z$502,0)))</f>
        <v/>
      </c>
      <c r="D19" s="12" t="str">
        <f aca="false">IF($J19="","",INDEX(Opportunities!$B$3:$B$502,MATCH($J19,Opportunities!$Z$3:$Z$502,0)))</f>
        <v/>
      </c>
      <c r="E19" s="12" t="str">
        <f aca="false">IF($J19="","",INDEX(Opportunities!$C$3:$C$502,MATCH($J19,Opportunities!$Z$3:$Z$502,0)))</f>
        <v/>
      </c>
      <c r="F19" s="12" t="str">
        <f aca="false">IF($J19="","",IF(INDEX(Opportunities!$D$3:$D$502,MATCH($J19,Opportunities!$Z$3:$Z$502,0))="","(no owner)",INDEX(Opportunities!$D$3:$D$502,MATCH($J19,Opportunities!$Z$3:$Z$502,0))))</f>
        <v/>
      </c>
      <c r="G19" s="12" t="str">
        <f aca="false">IF($J19="","",IF(INDEX(Opportunities!$L$3:$L$502,MATCH($J19,Opportunities!$Z$3:$Z$502,0))="","(add a next action)",INDEX(Opportunities!$L$3:$L$502,MATCH($J19,Opportunities!$Z$3:$Z$502,0))))</f>
        <v/>
      </c>
      <c r="H19" s="14" t="str">
        <f aca="false">IF($J19="","",IF(INDEX(Opportunities!$M$3:$M$502,MATCH($J19,Opportunities!$Z$3:$Z$502,0))="","",INDEX(Opportunities!$M$3:$M$502,MATCH($J19,Opportunities!$Z$3:$Z$502,0))))</f>
        <v/>
      </c>
      <c r="I19" s="14" t="str">
        <f aca="false">IF($J19="","",IF(INDEX(Opportunities!$P$3:$P$502,MATCH($J19,Opportunities!$Z$3:$Z$502,0))="","",INDEX(Opportunities!$P$3:$P$502,MATCH($J19,Opportunities!$Z$3:$Z$502,0))))</f>
        <v/>
      </c>
      <c r="J19" s="15" t="str">
        <f aca="false">IFERROR(SMALL(Opportunities!$Z$3:$Z$502,14),"")</f>
        <v/>
      </c>
    </row>
    <row r="20" customFormat="false" ht="15" hidden="false" customHeight="false" outlineLevel="0" collapsed="false">
      <c r="A20" s="12" t="str">
        <f aca="false">IF($J20="","",15)</f>
        <v/>
      </c>
      <c r="B20" s="13" t="str">
        <f aca="false">IF($J20="","",INDEX(Opportunities!$Y$3:$Y$502,MATCH($J20,Opportunities!$Z$3:$Z$502,0)))</f>
        <v/>
      </c>
      <c r="C20" s="12" t="str">
        <f aca="false">IF($J20="","",INDEX(Opportunities!$A$3:$A$502,MATCH($J20,Opportunities!$Z$3:$Z$502,0)))</f>
        <v/>
      </c>
      <c r="D20" s="12" t="str">
        <f aca="false">IF($J20="","",INDEX(Opportunities!$B$3:$B$502,MATCH($J20,Opportunities!$Z$3:$Z$502,0)))</f>
        <v/>
      </c>
      <c r="E20" s="12" t="str">
        <f aca="false">IF($J20="","",INDEX(Opportunities!$C$3:$C$502,MATCH($J20,Opportunities!$Z$3:$Z$502,0)))</f>
        <v/>
      </c>
      <c r="F20" s="12" t="str">
        <f aca="false">IF($J20="","",IF(INDEX(Opportunities!$D$3:$D$502,MATCH($J20,Opportunities!$Z$3:$Z$502,0))="","(no owner)",INDEX(Opportunities!$D$3:$D$502,MATCH($J20,Opportunities!$Z$3:$Z$502,0))))</f>
        <v/>
      </c>
      <c r="G20" s="12" t="str">
        <f aca="false">IF($J20="","",IF(INDEX(Opportunities!$L$3:$L$502,MATCH($J20,Opportunities!$Z$3:$Z$502,0))="","(add a next action)",INDEX(Opportunities!$L$3:$L$502,MATCH($J20,Opportunities!$Z$3:$Z$502,0))))</f>
        <v/>
      </c>
      <c r="H20" s="14" t="str">
        <f aca="false">IF($J20="","",IF(INDEX(Opportunities!$M$3:$M$502,MATCH($J20,Opportunities!$Z$3:$Z$502,0))="","",INDEX(Opportunities!$M$3:$M$502,MATCH($J20,Opportunities!$Z$3:$Z$502,0))))</f>
        <v/>
      </c>
      <c r="I20" s="14" t="str">
        <f aca="false">IF($J20="","",IF(INDEX(Opportunities!$P$3:$P$502,MATCH($J20,Opportunities!$Z$3:$Z$502,0))="","",INDEX(Opportunities!$P$3:$P$502,MATCH($J20,Opportunities!$Z$3:$Z$502,0))))</f>
        <v/>
      </c>
      <c r="J20" s="15" t="str">
        <f aca="false">IFERROR(SMALL(Opportunities!$Z$3:$Z$502,15),"")</f>
        <v/>
      </c>
    </row>
    <row r="21" customFormat="false" ht="15" hidden="false" customHeight="false" outlineLevel="0" collapsed="false">
      <c r="A21" s="12" t="str">
        <f aca="false">IF($J21="","",16)</f>
        <v/>
      </c>
      <c r="B21" s="13" t="str">
        <f aca="false">IF($J21="","",INDEX(Opportunities!$Y$3:$Y$502,MATCH($J21,Opportunities!$Z$3:$Z$502,0)))</f>
        <v/>
      </c>
      <c r="C21" s="12" t="str">
        <f aca="false">IF($J21="","",INDEX(Opportunities!$A$3:$A$502,MATCH($J21,Opportunities!$Z$3:$Z$502,0)))</f>
        <v/>
      </c>
      <c r="D21" s="12" t="str">
        <f aca="false">IF($J21="","",INDEX(Opportunities!$B$3:$B$502,MATCH($J21,Opportunities!$Z$3:$Z$502,0)))</f>
        <v/>
      </c>
      <c r="E21" s="12" t="str">
        <f aca="false">IF($J21="","",INDEX(Opportunities!$C$3:$C$502,MATCH($J21,Opportunities!$Z$3:$Z$502,0)))</f>
        <v/>
      </c>
      <c r="F21" s="12" t="str">
        <f aca="false">IF($J21="","",IF(INDEX(Opportunities!$D$3:$D$502,MATCH($J21,Opportunities!$Z$3:$Z$502,0))="","(no owner)",INDEX(Opportunities!$D$3:$D$502,MATCH($J21,Opportunities!$Z$3:$Z$502,0))))</f>
        <v/>
      </c>
      <c r="G21" s="12" t="str">
        <f aca="false">IF($J21="","",IF(INDEX(Opportunities!$L$3:$L$502,MATCH($J21,Opportunities!$Z$3:$Z$502,0))="","(add a next action)",INDEX(Opportunities!$L$3:$L$502,MATCH($J21,Opportunities!$Z$3:$Z$502,0))))</f>
        <v/>
      </c>
      <c r="H21" s="14" t="str">
        <f aca="false">IF($J21="","",IF(INDEX(Opportunities!$M$3:$M$502,MATCH($J21,Opportunities!$Z$3:$Z$502,0))="","",INDEX(Opportunities!$M$3:$M$502,MATCH($J21,Opportunities!$Z$3:$Z$502,0))))</f>
        <v/>
      </c>
      <c r="I21" s="14" t="str">
        <f aca="false">IF($J21="","",IF(INDEX(Opportunities!$P$3:$P$502,MATCH($J21,Opportunities!$Z$3:$Z$502,0))="","",INDEX(Opportunities!$P$3:$P$502,MATCH($J21,Opportunities!$Z$3:$Z$502,0))))</f>
        <v/>
      </c>
      <c r="J21" s="15" t="str">
        <f aca="false">IFERROR(SMALL(Opportunities!$Z$3:$Z$502,16),"")</f>
        <v/>
      </c>
    </row>
    <row r="22" customFormat="false" ht="15" hidden="false" customHeight="false" outlineLevel="0" collapsed="false">
      <c r="A22" s="12" t="str">
        <f aca="false">IF($J22="","",17)</f>
        <v/>
      </c>
      <c r="B22" s="13" t="str">
        <f aca="false">IF($J22="","",INDEX(Opportunities!$Y$3:$Y$502,MATCH($J22,Opportunities!$Z$3:$Z$502,0)))</f>
        <v/>
      </c>
      <c r="C22" s="12" t="str">
        <f aca="false">IF($J22="","",INDEX(Opportunities!$A$3:$A$502,MATCH($J22,Opportunities!$Z$3:$Z$502,0)))</f>
        <v/>
      </c>
      <c r="D22" s="12" t="str">
        <f aca="false">IF($J22="","",INDEX(Opportunities!$B$3:$B$502,MATCH($J22,Opportunities!$Z$3:$Z$502,0)))</f>
        <v/>
      </c>
      <c r="E22" s="12" t="str">
        <f aca="false">IF($J22="","",INDEX(Opportunities!$C$3:$C$502,MATCH($J22,Opportunities!$Z$3:$Z$502,0)))</f>
        <v/>
      </c>
      <c r="F22" s="12" t="str">
        <f aca="false">IF($J22="","",IF(INDEX(Opportunities!$D$3:$D$502,MATCH($J22,Opportunities!$Z$3:$Z$502,0))="","(no owner)",INDEX(Opportunities!$D$3:$D$502,MATCH($J22,Opportunities!$Z$3:$Z$502,0))))</f>
        <v/>
      </c>
      <c r="G22" s="12" t="str">
        <f aca="false">IF($J22="","",IF(INDEX(Opportunities!$L$3:$L$502,MATCH($J22,Opportunities!$Z$3:$Z$502,0))="","(add a next action)",INDEX(Opportunities!$L$3:$L$502,MATCH($J22,Opportunities!$Z$3:$Z$502,0))))</f>
        <v/>
      </c>
      <c r="H22" s="14" t="str">
        <f aca="false">IF($J22="","",IF(INDEX(Opportunities!$M$3:$M$502,MATCH($J22,Opportunities!$Z$3:$Z$502,0))="","",INDEX(Opportunities!$M$3:$M$502,MATCH($J22,Opportunities!$Z$3:$Z$502,0))))</f>
        <v/>
      </c>
      <c r="I22" s="14" t="str">
        <f aca="false">IF($J22="","",IF(INDEX(Opportunities!$P$3:$P$502,MATCH($J22,Opportunities!$Z$3:$Z$502,0))="","",INDEX(Opportunities!$P$3:$P$502,MATCH($J22,Opportunities!$Z$3:$Z$502,0))))</f>
        <v/>
      </c>
      <c r="J22" s="15" t="str">
        <f aca="false">IFERROR(SMALL(Opportunities!$Z$3:$Z$502,17),"")</f>
        <v/>
      </c>
    </row>
    <row r="23" customFormat="false" ht="15" hidden="false" customHeight="false" outlineLevel="0" collapsed="false">
      <c r="A23" s="12" t="str">
        <f aca="false">IF($J23="","",18)</f>
        <v/>
      </c>
      <c r="B23" s="13" t="str">
        <f aca="false">IF($J23="","",INDEX(Opportunities!$Y$3:$Y$502,MATCH($J23,Opportunities!$Z$3:$Z$502,0)))</f>
        <v/>
      </c>
      <c r="C23" s="12" t="str">
        <f aca="false">IF($J23="","",INDEX(Opportunities!$A$3:$A$502,MATCH($J23,Opportunities!$Z$3:$Z$502,0)))</f>
        <v/>
      </c>
      <c r="D23" s="12" t="str">
        <f aca="false">IF($J23="","",INDEX(Opportunities!$B$3:$B$502,MATCH($J23,Opportunities!$Z$3:$Z$502,0)))</f>
        <v/>
      </c>
      <c r="E23" s="12" t="str">
        <f aca="false">IF($J23="","",INDEX(Opportunities!$C$3:$C$502,MATCH($J23,Opportunities!$Z$3:$Z$502,0)))</f>
        <v/>
      </c>
      <c r="F23" s="12" t="str">
        <f aca="false">IF($J23="","",IF(INDEX(Opportunities!$D$3:$D$502,MATCH($J23,Opportunities!$Z$3:$Z$502,0))="","(no owner)",INDEX(Opportunities!$D$3:$D$502,MATCH($J23,Opportunities!$Z$3:$Z$502,0))))</f>
        <v/>
      </c>
      <c r="G23" s="12" t="str">
        <f aca="false">IF($J23="","",IF(INDEX(Opportunities!$L$3:$L$502,MATCH($J23,Opportunities!$Z$3:$Z$502,0))="","(add a next action)",INDEX(Opportunities!$L$3:$L$502,MATCH($J23,Opportunities!$Z$3:$Z$502,0))))</f>
        <v/>
      </c>
      <c r="H23" s="14" t="str">
        <f aca="false">IF($J23="","",IF(INDEX(Opportunities!$M$3:$M$502,MATCH($J23,Opportunities!$Z$3:$Z$502,0))="","",INDEX(Opportunities!$M$3:$M$502,MATCH($J23,Opportunities!$Z$3:$Z$502,0))))</f>
        <v/>
      </c>
      <c r="I23" s="14" t="str">
        <f aca="false">IF($J23="","",IF(INDEX(Opportunities!$P$3:$P$502,MATCH($J23,Opportunities!$Z$3:$Z$502,0))="","",INDEX(Opportunities!$P$3:$P$502,MATCH($J23,Opportunities!$Z$3:$Z$502,0))))</f>
        <v/>
      </c>
      <c r="J23" s="15" t="str">
        <f aca="false">IFERROR(SMALL(Opportunities!$Z$3:$Z$502,18),"")</f>
        <v/>
      </c>
    </row>
    <row r="24" customFormat="false" ht="15" hidden="false" customHeight="false" outlineLevel="0" collapsed="false">
      <c r="A24" s="12" t="str">
        <f aca="false">IF($J24="","",19)</f>
        <v/>
      </c>
      <c r="B24" s="13" t="str">
        <f aca="false">IF($J24="","",INDEX(Opportunities!$Y$3:$Y$502,MATCH($J24,Opportunities!$Z$3:$Z$502,0)))</f>
        <v/>
      </c>
      <c r="C24" s="12" t="str">
        <f aca="false">IF($J24="","",INDEX(Opportunities!$A$3:$A$502,MATCH($J24,Opportunities!$Z$3:$Z$502,0)))</f>
        <v/>
      </c>
      <c r="D24" s="12" t="str">
        <f aca="false">IF($J24="","",INDEX(Opportunities!$B$3:$B$502,MATCH($J24,Opportunities!$Z$3:$Z$502,0)))</f>
        <v/>
      </c>
      <c r="E24" s="12" t="str">
        <f aca="false">IF($J24="","",INDEX(Opportunities!$C$3:$C$502,MATCH($J24,Opportunities!$Z$3:$Z$502,0)))</f>
        <v/>
      </c>
      <c r="F24" s="12" t="str">
        <f aca="false">IF($J24="","",IF(INDEX(Opportunities!$D$3:$D$502,MATCH($J24,Opportunities!$Z$3:$Z$502,0))="","(no owner)",INDEX(Opportunities!$D$3:$D$502,MATCH($J24,Opportunities!$Z$3:$Z$502,0))))</f>
        <v/>
      </c>
      <c r="G24" s="12" t="str">
        <f aca="false">IF($J24="","",IF(INDEX(Opportunities!$L$3:$L$502,MATCH($J24,Opportunities!$Z$3:$Z$502,0))="","(add a next action)",INDEX(Opportunities!$L$3:$L$502,MATCH($J24,Opportunities!$Z$3:$Z$502,0))))</f>
        <v/>
      </c>
      <c r="H24" s="14" t="str">
        <f aca="false">IF($J24="","",IF(INDEX(Opportunities!$M$3:$M$502,MATCH($J24,Opportunities!$Z$3:$Z$502,0))="","",INDEX(Opportunities!$M$3:$M$502,MATCH($J24,Opportunities!$Z$3:$Z$502,0))))</f>
        <v/>
      </c>
      <c r="I24" s="14" t="str">
        <f aca="false">IF($J24="","",IF(INDEX(Opportunities!$P$3:$P$502,MATCH($J24,Opportunities!$Z$3:$Z$502,0))="","",INDEX(Opportunities!$P$3:$P$502,MATCH($J24,Opportunities!$Z$3:$Z$502,0))))</f>
        <v/>
      </c>
      <c r="J24" s="15" t="str">
        <f aca="false">IFERROR(SMALL(Opportunities!$Z$3:$Z$502,19),"")</f>
        <v/>
      </c>
    </row>
    <row r="25" customFormat="false" ht="15" hidden="false" customHeight="false" outlineLevel="0" collapsed="false">
      <c r="A25" s="12" t="str">
        <f aca="false">IF($J25="","",20)</f>
        <v/>
      </c>
      <c r="B25" s="13" t="str">
        <f aca="false">IF($J25="","",INDEX(Opportunities!$Y$3:$Y$502,MATCH($J25,Opportunities!$Z$3:$Z$502,0)))</f>
        <v/>
      </c>
      <c r="C25" s="12" t="str">
        <f aca="false">IF($J25="","",INDEX(Opportunities!$A$3:$A$502,MATCH($J25,Opportunities!$Z$3:$Z$502,0)))</f>
        <v/>
      </c>
      <c r="D25" s="12" t="str">
        <f aca="false">IF($J25="","",INDEX(Opportunities!$B$3:$B$502,MATCH($J25,Opportunities!$Z$3:$Z$502,0)))</f>
        <v/>
      </c>
      <c r="E25" s="12" t="str">
        <f aca="false">IF($J25="","",INDEX(Opportunities!$C$3:$C$502,MATCH($J25,Opportunities!$Z$3:$Z$502,0)))</f>
        <v/>
      </c>
      <c r="F25" s="12" t="str">
        <f aca="false">IF($J25="","",IF(INDEX(Opportunities!$D$3:$D$502,MATCH($J25,Opportunities!$Z$3:$Z$502,0))="","(no owner)",INDEX(Opportunities!$D$3:$D$502,MATCH($J25,Opportunities!$Z$3:$Z$502,0))))</f>
        <v/>
      </c>
      <c r="G25" s="12" t="str">
        <f aca="false">IF($J25="","",IF(INDEX(Opportunities!$L$3:$L$502,MATCH($J25,Opportunities!$Z$3:$Z$502,0))="","(add a next action)",INDEX(Opportunities!$L$3:$L$502,MATCH($J25,Opportunities!$Z$3:$Z$502,0))))</f>
        <v/>
      </c>
      <c r="H25" s="14" t="str">
        <f aca="false">IF($J25="","",IF(INDEX(Opportunities!$M$3:$M$502,MATCH($J25,Opportunities!$Z$3:$Z$502,0))="","",INDEX(Opportunities!$M$3:$M$502,MATCH($J25,Opportunities!$Z$3:$Z$502,0))))</f>
        <v/>
      </c>
      <c r="I25" s="14" t="str">
        <f aca="false">IF($J25="","",IF(INDEX(Opportunities!$P$3:$P$502,MATCH($J25,Opportunities!$Z$3:$Z$502,0))="","",INDEX(Opportunities!$P$3:$P$502,MATCH($J25,Opportunities!$Z$3:$Z$502,0))))</f>
        <v/>
      </c>
      <c r="J25" s="15" t="str">
        <f aca="false">IFERROR(SMALL(Opportunities!$Z$3:$Z$502,20),"")</f>
        <v/>
      </c>
    </row>
    <row r="26" customFormat="false" ht="15" hidden="false" customHeight="false" outlineLevel="0" collapsed="false">
      <c r="A26" s="12" t="str">
        <f aca="false">IF($J26="","",21)</f>
        <v/>
      </c>
      <c r="B26" s="13" t="str">
        <f aca="false">IF($J26="","",INDEX(Opportunities!$Y$3:$Y$502,MATCH($J26,Opportunities!$Z$3:$Z$502,0)))</f>
        <v/>
      </c>
      <c r="C26" s="12" t="str">
        <f aca="false">IF($J26="","",INDEX(Opportunities!$A$3:$A$502,MATCH($J26,Opportunities!$Z$3:$Z$502,0)))</f>
        <v/>
      </c>
      <c r="D26" s="12" t="str">
        <f aca="false">IF($J26="","",INDEX(Opportunities!$B$3:$B$502,MATCH($J26,Opportunities!$Z$3:$Z$502,0)))</f>
        <v/>
      </c>
      <c r="E26" s="12" t="str">
        <f aca="false">IF($J26="","",INDEX(Opportunities!$C$3:$C$502,MATCH($J26,Opportunities!$Z$3:$Z$502,0)))</f>
        <v/>
      </c>
      <c r="F26" s="12" t="str">
        <f aca="false">IF($J26="","",IF(INDEX(Opportunities!$D$3:$D$502,MATCH($J26,Opportunities!$Z$3:$Z$502,0))="","(no owner)",INDEX(Opportunities!$D$3:$D$502,MATCH($J26,Opportunities!$Z$3:$Z$502,0))))</f>
        <v/>
      </c>
      <c r="G26" s="12" t="str">
        <f aca="false">IF($J26="","",IF(INDEX(Opportunities!$L$3:$L$502,MATCH($J26,Opportunities!$Z$3:$Z$502,0))="","(add a next action)",INDEX(Opportunities!$L$3:$L$502,MATCH($J26,Opportunities!$Z$3:$Z$502,0))))</f>
        <v/>
      </c>
      <c r="H26" s="14" t="str">
        <f aca="false">IF($J26="","",IF(INDEX(Opportunities!$M$3:$M$502,MATCH($J26,Opportunities!$Z$3:$Z$502,0))="","",INDEX(Opportunities!$M$3:$M$502,MATCH($J26,Opportunities!$Z$3:$Z$502,0))))</f>
        <v/>
      </c>
      <c r="I26" s="14" t="str">
        <f aca="false">IF($J26="","",IF(INDEX(Opportunities!$P$3:$P$502,MATCH($J26,Opportunities!$Z$3:$Z$502,0))="","",INDEX(Opportunities!$P$3:$P$502,MATCH($J26,Opportunities!$Z$3:$Z$502,0))))</f>
        <v/>
      </c>
      <c r="J26" s="15" t="str">
        <f aca="false">IFERROR(SMALL(Opportunities!$Z$3:$Z$502,21),"")</f>
        <v/>
      </c>
    </row>
    <row r="27" customFormat="false" ht="15" hidden="false" customHeight="false" outlineLevel="0" collapsed="false">
      <c r="A27" s="12" t="str">
        <f aca="false">IF($J27="","",22)</f>
        <v/>
      </c>
      <c r="B27" s="13" t="str">
        <f aca="false">IF($J27="","",INDEX(Opportunities!$Y$3:$Y$502,MATCH($J27,Opportunities!$Z$3:$Z$502,0)))</f>
        <v/>
      </c>
      <c r="C27" s="12" t="str">
        <f aca="false">IF($J27="","",INDEX(Opportunities!$A$3:$A$502,MATCH($J27,Opportunities!$Z$3:$Z$502,0)))</f>
        <v/>
      </c>
      <c r="D27" s="12" t="str">
        <f aca="false">IF($J27="","",INDEX(Opportunities!$B$3:$B$502,MATCH($J27,Opportunities!$Z$3:$Z$502,0)))</f>
        <v/>
      </c>
      <c r="E27" s="12" t="str">
        <f aca="false">IF($J27="","",INDEX(Opportunities!$C$3:$C$502,MATCH($J27,Opportunities!$Z$3:$Z$502,0)))</f>
        <v/>
      </c>
      <c r="F27" s="12" t="str">
        <f aca="false">IF($J27="","",IF(INDEX(Opportunities!$D$3:$D$502,MATCH($J27,Opportunities!$Z$3:$Z$502,0))="","(no owner)",INDEX(Opportunities!$D$3:$D$502,MATCH($J27,Opportunities!$Z$3:$Z$502,0))))</f>
        <v/>
      </c>
      <c r="G27" s="12" t="str">
        <f aca="false">IF($J27="","",IF(INDEX(Opportunities!$L$3:$L$502,MATCH($J27,Opportunities!$Z$3:$Z$502,0))="","(add a next action)",INDEX(Opportunities!$L$3:$L$502,MATCH($J27,Opportunities!$Z$3:$Z$502,0))))</f>
        <v/>
      </c>
      <c r="H27" s="14" t="str">
        <f aca="false">IF($J27="","",IF(INDEX(Opportunities!$M$3:$M$502,MATCH($J27,Opportunities!$Z$3:$Z$502,0))="","",INDEX(Opportunities!$M$3:$M$502,MATCH($J27,Opportunities!$Z$3:$Z$502,0))))</f>
        <v/>
      </c>
      <c r="I27" s="14" t="str">
        <f aca="false">IF($J27="","",IF(INDEX(Opportunities!$P$3:$P$502,MATCH($J27,Opportunities!$Z$3:$Z$502,0))="","",INDEX(Opportunities!$P$3:$P$502,MATCH($J27,Opportunities!$Z$3:$Z$502,0))))</f>
        <v/>
      </c>
      <c r="J27" s="15" t="str">
        <f aca="false">IFERROR(SMALL(Opportunities!$Z$3:$Z$502,22),"")</f>
        <v/>
      </c>
    </row>
    <row r="28" customFormat="false" ht="15" hidden="false" customHeight="false" outlineLevel="0" collapsed="false">
      <c r="A28" s="12" t="str">
        <f aca="false">IF($J28="","",23)</f>
        <v/>
      </c>
      <c r="B28" s="13" t="str">
        <f aca="false">IF($J28="","",INDEX(Opportunities!$Y$3:$Y$502,MATCH($J28,Opportunities!$Z$3:$Z$502,0)))</f>
        <v/>
      </c>
      <c r="C28" s="12" t="str">
        <f aca="false">IF($J28="","",INDEX(Opportunities!$A$3:$A$502,MATCH($J28,Opportunities!$Z$3:$Z$502,0)))</f>
        <v/>
      </c>
      <c r="D28" s="12" t="str">
        <f aca="false">IF($J28="","",INDEX(Opportunities!$B$3:$B$502,MATCH($J28,Opportunities!$Z$3:$Z$502,0)))</f>
        <v/>
      </c>
      <c r="E28" s="12" t="str">
        <f aca="false">IF($J28="","",INDEX(Opportunities!$C$3:$C$502,MATCH($J28,Opportunities!$Z$3:$Z$502,0)))</f>
        <v/>
      </c>
      <c r="F28" s="12" t="str">
        <f aca="false">IF($J28="","",IF(INDEX(Opportunities!$D$3:$D$502,MATCH($J28,Opportunities!$Z$3:$Z$502,0))="","(no owner)",INDEX(Opportunities!$D$3:$D$502,MATCH($J28,Opportunities!$Z$3:$Z$502,0))))</f>
        <v/>
      </c>
      <c r="G28" s="12" t="str">
        <f aca="false">IF($J28="","",IF(INDEX(Opportunities!$L$3:$L$502,MATCH($J28,Opportunities!$Z$3:$Z$502,0))="","(add a next action)",INDEX(Opportunities!$L$3:$L$502,MATCH($J28,Opportunities!$Z$3:$Z$502,0))))</f>
        <v/>
      </c>
      <c r="H28" s="14" t="str">
        <f aca="false">IF($J28="","",IF(INDEX(Opportunities!$M$3:$M$502,MATCH($J28,Opportunities!$Z$3:$Z$502,0))="","",INDEX(Opportunities!$M$3:$M$502,MATCH($J28,Opportunities!$Z$3:$Z$502,0))))</f>
        <v/>
      </c>
      <c r="I28" s="14" t="str">
        <f aca="false">IF($J28="","",IF(INDEX(Opportunities!$P$3:$P$502,MATCH($J28,Opportunities!$Z$3:$Z$502,0))="","",INDEX(Opportunities!$P$3:$P$502,MATCH($J28,Opportunities!$Z$3:$Z$502,0))))</f>
        <v/>
      </c>
      <c r="J28" s="15" t="str">
        <f aca="false">IFERROR(SMALL(Opportunities!$Z$3:$Z$502,23),"")</f>
        <v/>
      </c>
    </row>
    <row r="29" customFormat="false" ht="15" hidden="false" customHeight="false" outlineLevel="0" collapsed="false">
      <c r="A29" s="12" t="str">
        <f aca="false">IF($J29="","",24)</f>
        <v/>
      </c>
      <c r="B29" s="13" t="str">
        <f aca="false">IF($J29="","",INDEX(Opportunities!$Y$3:$Y$502,MATCH($J29,Opportunities!$Z$3:$Z$502,0)))</f>
        <v/>
      </c>
      <c r="C29" s="12" t="str">
        <f aca="false">IF($J29="","",INDEX(Opportunities!$A$3:$A$502,MATCH($J29,Opportunities!$Z$3:$Z$502,0)))</f>
        <v/>
      </c>
      <c r="D29" s="12" t="str">
        <f aca="false">IF($J29="","",INDEX(Opportunities!$B$3:$B$502,MATCH($J29,Opportunities!$Z$3:$Z$502,0)))</f>
        <v/>
      </c>
      <c r="E29" s="12" t="str">
        <f aca="false">IF($J29="","",INDEX(Opportunities!$C$3:$C$502,MATCH($J29,Opportunities!$Z$3:$Z$502,0)))</f>
        <v/>
      </c>
      <c r="F29" s="12" t="str">
        <f aca="false">IF($J29="","",IF(INDEX(Opportunities!$D$3:$D$502,MATCH($J29,Opportunities!$Z$3:$Z$502,0))="","(no owner)",INDEX(Opportunities!$D$3:$D$502,MATCH($J29,Opportunities!$Z$3:$Z$502,0))))</f>
        <v/>
      </c>
      <c r="G29" s="12" t="str">
        <f aca="false">IF($J29="","",IF(INDEX(Opportunities!$L$3:$L$502,MATCH($J29,Opportunities!$Z$3:$Z$502,0))="","(add a next action)",INDEX(Opportunities!$L$3:$L$502,MATCH($J29,Opportunities!$Z$3:$Z$502,0))))</f>
        <v/>
      </c>
      <c r="H29" s="14" t="str">
        <f aca="false">IF($J29="","",IF(INDEX(Opportunities!$M$3:$M$502,MATCH($J29,Opportunities!$Z$3:$Z$502,0))="","",INDEX(Opportunities!$M$3:$M$502,MATCH($J29,Opportunities!$Z$3:$Z$502,0))))</f>
        <v/>
      </c>
      <c r="I29" s="14" t="str">
        <f aca="false">IF($J29="","",IF(INDEX(Opportunities!$P$3:$P$502,MATCH($J29,Opportunities!$Z$3:$Z$502,0))="","",INDEX(Opportunities!$P$3:$P$502,MATCH($J29,Opportunities!$Z$3:$Z$502,0))))</f>
        <v/>
      </c>
      <c r="J29" s="15" t="str">
        <f aca="false">IFERROR(SMALL(Opportunities!$Z$3:$Z$502,24),"")</f>
        <v/>
      </c>
    </row>
    <row r="30" customFormat="false" ht="15" hidden="false" customHeight="false" outlineLevel="0" collapsed="false">
      <c r="A30" s="12" t="str">
        <f aca="false">IF($J30="","",25)</f>
        <v/>
      </c>
      <c r="B30" s="13" t="str">
        <f aca="false">IF($J30="","",INDEX(Opportunities!$Y$3:$Y$502,MATCH($J30,Opportunities!$Z$3:$Z$502,0)))</f>
        <v/>
      </c>
      <c r="C30" s="12" t="str">
        <f aca="false">IF($J30="","",INDEX(Opportunities!$A$3:$A$502,MATCH($J30,Opportunities!$Z$3:$Z$502,0)))</f>
        <v/>
      </c>
      <c r="D30" s="12" t="str">
        <f aca="false">IF($J30="","",INDEX(Opportunities!$B$3:$B$502,MATCH($J30,Opportunities!$Z$3:$Z$502,0)))</f>
        <v/>
      </c>
      <c r="E30" s="12" t="str">
        <f aca="false">IF($J30="","",INDEX(Opportunities!$C$3:$C$502,MATCH($J30,Opportunities!$Z$3:$Z$502,0)))</f>
        <v/>
      </c>
      <c r="F30" s="12" t="str">
        <f aca="false">IF($J30="","",IF(INDEX(Opportunities!$D$3:$D$502,MATCH($J30,Opportunities!$Z$3:$Z$502,0))="","(no owner)",INDEX(Opportunities!$D$3:$D$502,MATCH($J30,Opportunities!$Z$3:$Z$502,0))))</f>
        <v/>
      </c>
      <c r="G30" s="12" t="str">
        <f aca="false">IF($J30="","",IF(INDEX(Opportunities!$L$3:$L$502,MATCH($J30,Opportunities!$Z$3:$Z$502,0))="","(add a next action)",INDEX(Opportunities!$L$3:$L$502,MATCH($J30,Opportunities!$Z$3:$Z$502,0))))</f>
        <v/>
      </c>
      <c r="H30" s="14" t="str">
        <f aca="false">IF($J30="","",IF(INDEX(Opportunities!$M$3:$M$502,MATCH($J30,Opportunities!$Z$3:$Z$502,0))="","",INDEX(Opportunities!$M$3:$M$502,MATCH($J30,Opportunities!$Z$3:$Z$502,0))))</f>
        <v/>
      </c>
      <c r="I30" s="14" t="str">
        <f aca="false">IF($J30="","",IF(INDEX(Opportunities!$P$3:$P$502,MATCH($J30,Opportunities!$Z$3:$Z$502,0))="","",INDEX(Opportunities!$P$3:$P$502,MATCH($J30,Opportunities!$Z$3:$Z$502,0))))</f>
        <v/>
      </c>
      <c r="J30" s="15" t="str">
        <f aca="false">IFERROR(SMALL(Opportunities!$Z$3:$Z$502,25),"")</f>
        <v/>
      </c>
    </row>
    <row r="31" customFormat="false" ht="15" hidden="false" customHeight="false" outlineLevel="0" collapsed="false">
      <c r="A31" s="12" t="str">
        <f aca="false">IF($J31="","",26)</f>
        <v/>
      </c>
      <c r="B31" s="13" t="str">
        <f aca="false">IF($J31="","",INDEX(Opportunities!$Y$3:$Y$502,MATCH($J31,Opportunities!$Z$3:$Z$502,0)))</f>
        <v/>
      </c>
      <c r="C31" s="12" t="str">
        <f aca="false">IF($J31="","",INDEX(Opportunities!$A$3:$A$502,MATCH($J31,Opportunities!$Z$3:$Z$502,0)))</f>
        <v/>
      </c>
      <c r="D31" s="12" t="str">
        <f aca="false">IF($J31="","",INDEX(Opportunities!$B$3:$B$502,MATCH($J31,Opportunities!$Z$3:$Z$502,0)))</f>
        <v/>
      </c>
      <c r="E31" s="12" t="str">
        <f aca="false">IF($J31="","",INDEX(Opportunities!$C$3:$C$502,MATCH($J31,Opportunities!$Z$3:$Z$502,0)))</f>
        <v/>
      </c>
      <c r="F31" s="12" t="str">
        <f aca="false">IF($J31="","",IF(INDEX(Opportunities!$D$3:$D$502,MATCH($J31,Opportunities!$Z$3:$Z$502,0))="","(no owner)",INDEX(Opportunities!$D$3:$D$502,MATCH($J31,Opportunities!$Z$3:$Z$502,0))))</f>
        <v/>
      </c>
      <c r="G31" s="12" t="str">
        <f aca="false">IF($J31="","",IF(INDEX(Opportunities!$L$3:$L$502,MATCH($J31,Opportunities!$Z$3:$Z$502,0))="","(add a next action)",INDEX(Opportunities!$L$3:$L$502,MATCH($J31,Opportunities!$Z$3:$Z$502,0))))</f>
        <v/>
      </c>
      <c r="H31" s="14" t="str">
        <f aca="false">IF($J31="","",IF(INDEX(Opportunities!$M$3:$M$502,MATCH($J31,Opportunities!$Z$3:$Z$502,0))="","",INDEX(Opportunities!$M$3:$M$502,MATCH($J31,Opportunities!$Z$3:$Z$502,0))))</f>
        <v/>
      </c>
      <c r="I31" s="14" t="str">
        <f aca="false">IF($J31="","",IF(INDEX(Opportunities!$P$3:$P$502,MATCH($J31,Opportunities!$Z$3:$Z$502,0))="","",INDEX(Opportunities!$P$3:$P$502,MATCH($J31,Opportunities!$Z$3:$Z$502,0))))</f>
        <v/>
      </c>
      <c r="J31" s="15" t="str">
        <f aca="false">IFERROR(SMALL(Opportunities!$Z$3:$Z$502,26),"")</f>
        <v/>
      </c>
    </row>
    <row r="32" customFormat="false" ht="15" hidden="false" customHeight="false" outlineLevel="0" collapsed="false">
      <c r="A32" s="12" t="str">
        <f aca="false">IF($J32="","",27)</f>
        <v/>
      </c>
      <c r="B32" s="13" t="str">
        <f aca="false">IF($J32="","",INDEX(Opportunities!$Y$3:$Y$502,MATCH($J32,Opportunities!$Z$3:$Z$502,0)))</f>
        <v/>
      </c>
      <c r="C32" s="12" t="str">
        <f aca="false">IF($J32="","",INDEX(Opportunities!$A$3:$A$502,MATCH($J32,Opportunities!$Z$3:$Z$502,0)))</f>
        <v/>
      </c>
      <c r="D32" s="12" t="str">
        <f aca="false">IF($J32="","",INDEX(Opportunities!$B$3:$B$502,MATCH($J32,Opportunities!$Z$3:$Z$502,0)))</f>
        <v/>
      </c>
      <c r="E32" s="12" t="str">
        <f aca="false">IF($J32="","",INDEX(Opportunities!$C$3:$C$502,MATCH($J32,Opportunities!$Z$3:$Z$502,0)))</f>
        <v/>
      </c>
      <c r="F32" s="12" t="str">
        <f aca="false">IF($J32="","",IF(INDEX(Opportunities!$D$3:$D$502,MATCH($J32,Opportunities!$Z$3:$Z$502,0))="","(no owner)",INDEX(Opportunities!$D$3:$D$502,MATCH($J32,Opportunities!$Z$3:$Z$502,0))))</f>
        <v/>
      </c>
      <c r="G32" s="12" t="str">
        <f aca="false">IF($J32="","",IF(INDEX(Opportunities!$L$3:$L$502,MATCH($J32,Opportunities!$Z$3:$Z$502,0))="","(add a next action)",INDEX(Opportunities!$L$3:$L$502,MATCH($J32,Opportunities!$Z$3:$Z$502,0))))</f>
        <v/>
      </c>
      <c r="H32" s="14" t="str">
        <f aca="false">IF($J32="","",IF(INDEX(Opportunities!$M$3:$M$502,MATCH($J32,Opportunities!$Z$3:$Z$502,0))="","",INDEX(Opportunities!$M$3:$M$502,MATCH($J32,Opportunities!$Z$3:$Z$502,0))))</f>
        <v/>
      </c>
      <c r="I32" s="14" t="str">
        <f aca="false">IF($J32="","",IF(INDEX(Opportunities!$P$3:$P$502,MATCH($J32,Opportunities!$Z$3:$Z$502,0))="","",INDEX(Opportunities!$P$3:$P$502,MATCH($J32,Opportunities!$Z$3:$Z$502,0))))</f>
        <v/>
      </c>
      <c r="J32" s="15" t="str">
        <f aca="false">IFERROR(SMALL(Opportunities!$Z$3:$Z$502,27),"")</f>
        <v/>
      </c>
    </row>
    <row r="33" customFormat="false" ht="15" hidden="false" customHeight="false" outlineLevel="0" collapsed="false">
      <c r="A33" s="12" t="str">
        <f aca="false">IF($J33="","",28)</f>
        <v/>
      </c>
      <c r="B33" s="13" t="str">
        <f aca="false">IF($J33="","",INDEX(Opportunities!$Y$3:$Y$502,MATCH($J33,Opportunities!$Z$3:$Z$502,0)))</f>
        <v/>
      </c>
      <c r="C33" s="12" t="str">
        <f aca="false">IF($J33="","",INDEX(Opportunities!$A$3:$A$502,MATCH($J33,Opportunities!$Z$3:$Z$502,0)))</f>
        <v/>
      </c>
      <c r="D33" s="12" t="str">
        <f aca="false">IF($J33="","",INDEX(Opportunities!$B$3:$B$502,MATCH($J33,Opportunities!$Z$3:$Z$502,0)))</f>
        <v/>
      </c>
      <c r="E33" s="12" t="str">
        <f aca="false">IF($J33="","",INDEX(Opportunities!$C$3:$C$502,MATCH($J33,Opportunities!$Z$3:$Z$502,0)))</f>
        <v/>
      </c>
      <c r="F33" s="12" t="str">
        <f aca="false">IF($J33="","",IF(INDEX(Opportunities!$D$3:$D$502,MATCH($J33,Opportunities!$Z$3:$Z$502,0))="","(no owner)",INDEX(Opportunities!$D$3:$D$502,MATCH($J33,Opportunities!$Z$3:$Z$502,0))))</f>
        <v/>
      </c>
      <c r="G33" s="12" t="str">
        <f aca="false">IF($J33="","",IF(INDEX(Opportunities!$L$3:$L$502,MATCH($J33,Opportunities!$Z$3:$Z$502,0))="","(add a next action)",INDEX(Opportunities!$L$3:$L$502,MATCH($J33,Opportunities!$Z$3:$Z$502,0))))</f>
        <v/>
      </c>
      <c r="H33" s="14" t="str">
        <f aca="false">IF($J33="","",IF(INDEX(Opportunities!$M$3:$M$502,MATCH($J33,Opportunities!$Z$3:$Z$502,0))="","",INDEX(Opportunities!$M$3:$M$502,MATCH($J33,Opportunities!$Z$3:$Z$502,0))))</f>
        <v/>
      </c>
      <c r="I33" s="14" t="str">
        <f aca="false">IF($J33="","",IF(INDEX(Opportunities!$P$3:$P$502,MATCH($J33,Opportunities!$Z$3:$Z$502,0))="","",INDEX(Opportunities!$P$3:$P$502,MATCH($J33,Opportunities!$Z$3:$Z$502,0))))</f>
        <v/>
      </c>
      <c r="J33" s="15" t="str">
        <f aca="false">IFERROR(SMALL(Opportunities!$Z$3:$Z$502,28),"")</f>
        <v/>
      </c>
    </row>
    <row r="34" customFormat="false" ht="15" hidden="false" customHeight="false" outlineLevel="0" collapsed="false">
      <c r="A34" s="12" t="str">
        <f aca="false">IF($J34="","",29)</f>
        <v/>
      </c>
      <c r="B34" s="13" t="str">
        <f aca="false">IF($J34="","",INDEX(Opportunities!$Y$3:$Y$502,MATCH($J34,Opportunities!$Z$3:$Z$502,0)))</f>
        <v/>
      </c>
      <c r="C34" s="12" t="str">
        <f aca="false">IF($J34="","",INDEX(Opportunities!$A$3:$A$502,MATCH($J34,Opportunities!$Z$3:$Z$502,0)))</f>
        <v/>
      </c>
      <c r="D34" s="12" t="str">
        <f aca="false">IF($J34="","",INDEX(Opportunities!$B$3:$B$502,MATCH($J34,Opportunities!$Z$3:$Z$502,0)))</f>
        <v/>
      </c>
      <c r="E34" s="12" t="str">
        <f aca="false">IF($J34="","",INDEX(Opportunities!$C$3:$C$502,MATCH($J34,Opportunities!$Z$3:$Z$502,0)))</f>
        <v/>
      </c>
      <c r="F34" s="12" t="str">
        <f aca="false">IF($J34="","",IF(INDEX(Opportunities!$D$3:$D$502,MATCH($J34,Opportunities!$Z$3:$Z$502,0))="","(no owner)",INDEX(Opportunities!$D$3:$D$502,MATCH($J34,Opportunities!$Z$3:$Z$502,0))))</f>
        <v/>
      </c>
      <c r="G34" s="12" t="str">
        <f aca="false">IF($J34="","",IF(INDEX(Opportunities!$L$3:$L$502,MATCH($J34,Opportunities!$Z$3:$Z$502,0))="","(add a next action)",INDEX(Opportunities!$L$3:$L$502,MATCH($J34,Opportunities!$Z$3:$Z$502,0))))</f>
        <v/>
      </c>
      <c r="H34" s="14" t="str">
        <f aca="false">IF($J34="","",IF(INDEX(Opportunities!$M$3:$M$502,MATCH($J34,Opportunities!$Z$3:$Z$502,0))="","",INDEX(Opportunities!$M$3:$M$502,MATCH($J34,Opportunities!$Z$3:$Z$502,0))))</f>
        <v/>
      </c>
      <c r="I34" s="14" t="str">
        <f aca="false">IF($J34="","",IF(INDEX(Opportunities!$P$3:$P$502,MATCH($J34,Opportunities!$Z$3:$Z$502,0))="","",INDEX(Opportunities!$P$3:$P$502,MATCH($J34,Opportunities!$Z$3:$Z$502,0))))</f>
        <v/>
      </c>
      <c r="J34" s="15" t="str">
        <f aca="false">IFERROR(SMALL(Opportunities!$Z$3:$Z$502,29),"")</f>
        <v/>
      </c>
    </row>
    <row r="35" customFormat="false" ht="15" hidden="false" customHeight="false" outlineLevel="0" collapsed="false">
      <c r="A35" s="12" t="str">
        <f aca="false">IF($J35="","",30)</f>
        <v/>
      </c>
      <c r="B35" s="13" t="str">
        <f aca="false">IF($J35="","",INDEX(Opportunities!$Y$3:$Y$502,MATCH($J35,Opportunities!$Z$3:$Z$502,0)))</f>
        <v/>
      </c>
      <c r="C35" s="12" t="str">
        <f aca="false">IF($J35="","",INDEX(Opportunities!$A$3:$A$502,MATCH($J35,Opportunities!$Z$3:$Z$502,0)))</f>
        <v/>
      </c>
      <c r="D35" s="12" t="str">
        <f aca="false">IF($J35="","",INDEX(Opportunities!$B$3:$B$502,MATCH($J35,Opportunities!$Z$3:$Z$502,0)))</f>
        <v/>
      </c>
      <c r="E35" s="12" t="str">
        <f aca="false">IF($J35="","",INDEX(Opportunities!$C$3:$C$502,MATCH($J35,Opportunities!$Z$3:$Z$502,0)))</f>
        <v/>
      </c>
      <c r="F35" s="12" t="str">
        <f aca="false">IF($J35="","",IF(INDEX(Opportunities!$D$3:$D$502,MATCH($J35,Opportunities!$Z$3:$Z$502,0))="","(no owner)",INDEX(Opportunities!$D$3:$D$502,MATCH($J35,Opportunities!$Z$3:$Z$502,0))))</f>
        <v/>
      </c>
      <c r="G35" s="12" t="str">
        <f aca="false">IF($J35="","",IF(INDEX(Opportunities!$L$3:$L$502,MATCH($J35,Opportunities!$Z$3:$Z$502,0))="","(add a next action)",INDEX(Opportunities!$L$3:$L$502,MATCH($J35,Opportunities!$Z$3:$Z$502,0))))</f>
        <v/>
      </c>
      <c r="H35" s="14" t="str">
        <f aca="false">IF($J35="","",IF(INDEX(Opportunities!$M$3:$M$502,MATCH($J35,Opportunities!$Z$3:$Z$502,0))="","",INDEX(Opportunities!$M$3:$M$502,MATCH($J35,Opportunities!$Z$3:$Z$502,0))))</f>
        <v/>
      </c>
      <c r="I35" s="14" t="str">
        <f aca="false">IF($J35="","",IF(INDEX(Opportunities!$P$3:$P$502,MATCH($J35,Opportunities!$Z$3:$Z$502,0))="","",INDEX(Opportunities!$P$3:$P$502,MATCH($J35,Opportunities!$Z$3:$Z$502,0))))</f>
        <v/>
      </c>
      <c r="J35" s="15" t="str">
        <f aca="false">IFERROR(SMALL(Opportunities!$Z$3:$Z$502,30),"")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10" t="s">
        <v>34</v>
      </c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11" t="s">
        <v>24</v>
      </c>
      <c r="B38" s="11" t="s">
        <v>25</v>
      </c>
      <c r="C38" s="11" t="s">
        <v>26</v>
      </c>
      <c r="D38" s="11" t="s">
        <v>35</v>
      </c>
      <c r="E38" s="11" t="s">
        <v>36</v>
      </c>
      <c r="F38" s="11" t="s">
        <v>29</v>
      </c>
      <c r="G38" s="11" t="s">
        <v>37</v>
      </c>
      <c r="H38" s="11" t="s">
        <v>38</v>
      </c>
      <c r="I38" s="11" t="s">
        <v>39</v>
      </c>
      <c r="J38" s="11" t="s">
        <v>33</v>
      </c>
    </row>
    <row r="39" customFormat="false" ht="15" hidden="false" customHeight="false" outlineLevel="0" collapsed="false">
      <c r="A39" s="12" t="n">
        <f aca="false">IF($J39="","",1)</f>
        <v>1</v>
      </c>
      <c r="B39" s="12" t="str">
        <f aca="false">IF($J39="","",IF($J39&lt;700000,"Priority: no deal yet",IF($J39&lt;800000,"Building a path",IF($J39&lt;900000,"Quick win for a need","Path candidate (space for one more)"))))</f>
        <v>Priority: no deal yet</v>
      </c>
      <c r="C39" s="12" t="str">
        <f aca="false">IF($J39="","",INDEX(Companies!$A$3:$A$502,MATCH($J39,Companies!$AI$3:$AI$502,0)))</f>
        <v>Nordlys Logistics (example)</v>
      </c>
      <c r="D39" s="12" t="n">
        <f aca="false">IF($J39="","",INDEX(Companies!$AC$3:$AC$502,MATCH($J39,Companies!$AI$3:$AI$502,0)))</f>
        <v>6</v>
      </c>
      <c r="E39" s="12" t="n">
        <f aca="false">IF($J39="","",INDEX(Companies!$AD$3:$AD$502,MATCH($J39,Companies!$AI$3:$AI$502,0)))</f>
        <v>2</v>
      </c>
      <c r="F39" s="12" t="str">
        <f aca="false">IF($J39="","",IF(INDEX(Companies!$F$3:$F$502,MATCH($J39,Companies!$AI$3:$AI$502,0))="","(no owner)",INDEX(Companies!$F$3:$F$502,MATCH($J39,Companies!$AI$3:$AI$502,0))))</f>
        <v>A.K. (example)</v>
      </c>
      <c r="G39" s="12" t="str">
        <f aca="false">IF($J39="","",IF($J39&lt;700000,"Plan the first ask (partnership type cheat sheet) and create an opportunity",IF($J39&lt;800000,IF(INDEX(Companies!$W$3:$W$502,MATCH($J39,Companies!$AI$3:$AI$502,0))="","(add a path action)",INDEX(Companies!$W$3:$W$502,MATCH($J39,Companies!$AI$3:$AI$502,0))),IF($J39&lt;900000,"Need: "&amp;INDEX(Companies!$U$3:$U$502,MATCH($J39,Companies!$AI$3:$AI$502,0)),"Decide whether to start a path"))))</f>
        <v>Plan the first ask (partnership type cheat sheet) and create an opportunity</v>
      </c>
      <c r="H39" s="12" t="str">
        <f aca="false">IF($J39="","",INDEX(Companies!$AE$3:$AE$502,MATCH($J39,Companies!$AI$3:$AI$502,0)))</f>
        <v>Priority</v>
      </c>
      <c r="I39" s="14" t="str">
        <f aca="false">IF($J39="","",IF(INDEX(Companies!$AF$3:$AF$502,MATCH($J39,Companies!$AI$3:$AI$502,0))="","",INDEX(Companies!$AF$3:$AF$502,MATCH($J39,Companies!$AI$3:$AI$502,0))))</f>
        <v/>
      </c>
      <c r="J39" s="15" t="n">
        <f aca="false">IFERROR(SMALL(Companies!$AI$3:$AI$502,1),"")</f>
        <v>604200.00005</v>
      </c>
    </row>
    <row r="40" customFormat="false" ht="15" hidden="false" customHeight="false" outlineLevel="0" collapsed="false">
      <c r="A40" s="12" t="n">
        <f aca="false">IF($J40="","",2)</f>
        <v>2</v>
      </c>
      <c r="B40" s="12" t="str">
        <f aca="false">IF($J40="","",IF($J40&lt;700000,"Priority: no deal yet",IF($J40&lt;800000,"Building a path",IF($J40&lt;900000,"Quick win for a need","Path candidate (space for one more)"))))</f>
        <v>Building a path</v>
      </c>
      <c r="C40" s="12" t="str">
        <f aca="false">IF($J40="","",INDEX(Companies!$A$3:$A$502,MATCH($J40,Companies!$AI$3:$AI$502,0)))</f>
        <v>MegaBrand A/S (example)</v>
      </c>
      <c r="D40" s="12" t="n">
        <f aca="false">IF($J40="","",INDEX(Companies!$AC$3:$AC$502,MATCH($J40,Companies!$AI$3:$AI$502,0)))</f>
        <v>7</v>
      </c>
      <c r="E40" s="12" t="n">
        <f aca="false">IF($J40="","",INDEX(Companies!$AD$3:$AD$502,MATCH($J40,Companies!$AI$3:$AI$502,0)))</f>
        <v>1</v>
      </c>
      <c r="F40" s="12" t="str">
        <f aca="false">IF($J40="","",IF(INDEX(Companies!$F$3:$F$502,MATCH($J40,Companies!$AI$3:$AI$502,0))="","(no owner)",INDEX(Companies!$F$3:$F$502,MATCH($J40,Companies!$AI$3:$AI$502,0))))</f>
        <v>M.S. (example)</v>
      </c>
      <c r="G40" s="12" t="str">
        <f aca="false">IF($J40="","",IF($J40&lt;700000,"Plan the first ask (partnership type cheat sheet) and create an opportunity",IF($J40&lt;800000,IF(INDEX(Companies!$W$3:$W$502,MATCH($J40,Companies!$AI$3:$AI$502,0))="","(add a path action)",INDEX(Companies!$W$3:$W$502,MATCH($J40,Companies!$AI$3:$AI$502,0))),IF($J40&lt;900000,"Need: "&amp;INDEX(Companies!$U$3:$U$502,MATCH($J40,Companies!$AI$3:$AI$502,0)),"Decide whether to start a path"))))</f>
        <v>Ask board alumni network for an introduction</v>
      </c>
      <c r="H40" s="12" t="str">
        <f aca="false">IF($J40="","",INDEX(Companies!$AE$3:$AE$502,MATCH($J40,Companies!$AI$3:$AI$502,0)))</f>
        <v>Build a Path</v>
      </c>
      <c r="I40" s="14" t="n">
        <f aca="false">IF($J40="","",IF(INDEX(Companies!$AF$3:$AF$502,MATCH($J40,Companies!$AI$3:$AI$502,0))="","",INDEX(Companies!$AF$3:$AF$502,MATCH($J40,Companies!$AI$3:$AI$502,0))))</f>
        <v>46295</v>
      </c>
      <c r="J40" s="15" t="n">
        <f aca="false">IFERROR(SMALL(Companies!$AI$3:$AI$502,2),"")</f>
        <v>700628.20004</v>
      </c>
    </row>
    <row r="41" customFormat="false" ht="15" hidden="false" customHeight="false" outlineLevel="0" collapsed="false">
      <c r="A41" s="12" t="str">
        <f aca="false">IF($J41="","",3)</f>
        <v/>
      </c>
      <c r="B41" s="12" t="str">
        <f aca="false">IF($J41="","",IF($J41&lt;700000,"Priority: no deal yet",IF($J41&lt;800000,"Building a path",IF($J41&lt;900000,"Quick win for a need","Path candidate (space for one more)"))))</f>
        <v/>
      </c>
      <c r="C41" s="12" t="str">
        <f aca="false">IF($J41="","",INDEX(Companies!$A$3:$A$502,MATCH($J41,Companies!$AI$3:$AI$502,0)))</f>
        <v/>
      </c>
      <c r="D41" s="12" t="str">
        <f aca="false">IF($J41="","",INDEX(Companies!$AC$3:$AC$502,MATCH($J41,Companies!$AI$3:$AI$502,0)))</f>
        <v/>
      </c>
      <c r="E41" s="12" t="str">
        <f aca="false">IF($J41="","",INDEX(Companies!$AD$3:$AD$502,MATCH($J41,Companies!$AI$3:$AI$502,0)))</f>
        <v/>
      </c>
      <c r="F41" s="12" t="str">
        <f aca="false">IF($J41="","",IF(INDEX(Companies!$F$3:$F$502,MATCH($J41,Companies!$AI$3:$AI$502,0))="","(no owner)",INDEX(Companies!$F$3:$F$502,MATCH($J41,Companies!$AI$3:$AI$502,0))))</f>
        <v/>
      </c>
      <c r="G41" s="12" t="str">
        <f aca="false">IF($J41="","",IF($J41&lt;700000,"Plan the first ask (partnership type cheat sheet) and create an opportunity",IF($J41&lt;800000,IF(INDEX(Companies!$W$3:$W$502,MATCH($J41,Companies!$AI$3:$AI$502,0))="","(add a path action)",INDEX(Companies!$W$3:$W$502,MATCH($J41,Companies!$AI$3:$AI$502,0))),IF($J41&lt;900000,"Need: "&amp;INDEX(Companies!$U$3:$U$502,MATCH($J41,Companies!$AI$3:$AI$502,0)),"Decide whether to start a path"))))</f>
        <v/>
      </c>
      <c r="H41" s="12" t="str">
        <f aca="false">IF($J41="","",INDEX(Companies!$AE$3:$AE$502,MATCH($J41,Companies!$AI$3:$AI$502,0)))</f>
        <v/>
      </c>
      <c r="I41" s="14" t="str">
        <f aca="false">IF($J41="","",IF(INDEX(Companies!$AF$3:$AF$502,MATCH($J41,Companies!$AI$3:$AI$502,0))="","",INDEX(Companies!$AF$3:$AF$502,MATCH($J41,Companies!$AI$3:$AI$502,0))))</f>
        <v/>
      </c>
      <c r="J41" s="15" t="str">
        <f aca="false">IFERROR(SMALL(Companies!$AI$3:$AI$502,3),"")</f>
        <v/>
      </c>
    </row>
    <row r="42" customFormat="false" ht="15" hidden="false" customHeight="false" outlineLevel="0" collapsed="false">
      <c r="A42" s="12" t="str">
        <f aca="false">IF($J42="","",4)</f>
        <v/>
      </c>
      <c r="B42" s="12" t="str">
        <f aca="false">IF($J42="","",IF($J42&lt;700000,"Priority: no deal yet",IF($J42&lt;800000,"Building a path",IF($J42&lt;900000,"Quick win for a need","Path candidate (space for one more)"))))</f>
        <v/>
      </c>
      <c r="C42" s="12" t="str">
        <f aca="false">IF($J42="","",INDEX(Companies!$A$3:$A$502,MATCH($J42,Companies!$AI$3:$AI$502,0)))</f>
        <v/>
      </c>
      <c r="D42" s="12" t="str">
        <f aca="false">IF($J42="","",INDEX(Companies!$AC$3:$AC$502,MATCH($J42,Companies!$AI$3:$AI$502,0)))</f>
        <v/>
      </c>
      <c r="E42" s="12" t="str">
        <f aca="false">IF($J42="","",INDEX(Companies!$AD$3:$AD$502,MATCH($J42,Companies!$AI$3:$AI$502,0)))</f>
        <v/>
      </c>
      <c r="F42" s="12" t="str">
        <f aca="false">IF($J42="","",IF(INDEX(Companies!$F$3:$F$502,MATCH($J42,Companies!$AI$3:$AI$502,0))="","(no owner)",INDEX(Companies!$F$3:$F$502,MATCH($J42,Companies!$AI$3:$AI$502,0))))</f>
        <v/>
      </c>
      <c r="G42" s="12" t="str">
        <f aca="false">IF($J42="","",IF($J42&lt;700000,"Plan the first ask (partnership type cheat sheet) and create an opportunity",IF($J42&lt;800000,IF(INDEX(Companies!$W$3:$W$502,MATCH($J42,Companies!$AI$3:$AI$502,0))="","(add a path action)",INDEX(Companies!$W$3:$W$502,MATCH($J42,Companies!$AI$3:$AI$502,0))),IF($J42&lt;900000,"Need: "&amp;INDEX(Companies!$U$3:$U$502,MATCH($J42,Companies!$AI$3:$AI$502,0)),"Decide whether to start a path"))))</f>
        <v/>
      </c>
      <c r="H42" s="12" t="str">
        <f aca="false">IF($J42="","",INDEX(Companies!$AE$3:$AE$502,MATCH($J42,Companies!$AI$3:$AI$502,0)))</f>
        <v/>
      </c>
      <c r="I42" s="14" t="str">
        <f aca="false">IF($J42="","",IF(INDEX(Companies!$AF$3:$AF$502,MATCH($J42,Companies!$AI$3:$AI$502,0))="","",INDEX(Companies!$AF$3:$AF$502,MATCH($J42,Companies!$AI$3:$AI$502,0))))</f>
        <v/>
      </c>
      <c r="J42" s="15" t="str">
        <f aca="false">IFERROR(SMALL(Companies!$AI$3:$AI$502,4),"")</f>
        <v/>
      </c>
    </row>
    <row r="43" customFormat="false" ht="15" hidden="false" customHeight="false" outlineLevel="0" collapsed="false">
      <c r="A43" s="12" t="str">
        <f aca="false">IF($J43="","",5)</f>
        <v/>
      </c>
      <c r="B43" s="12" t="str">
        <f aca="false">IF($J43="","",IF($J43&lt;700000,"Priority: no deal yet",IF($J43&lt;800000,"Building a path",IF($J43&lt;900000,"Quick win for a need","Path candidate (space for one more)"))))</f>
        <v/>
      </c>
      <c r="C43" s="12" t="str">
        <f aca="false">IF($J43="","",INDEX(Companies!$A$3:$A$502,MATCH($J43,Companies!$AI$3:$AI$502,0)))</f>
        <v/>
      </c>
      <c r="D43" s="12" t="str">
        <f aca="false">IF($J43="","",INDEX(Companies!$AC$3:$AC$502,MATCH($J43,Companies!$AI$3:$AI$502,0)))</f>
        <v/>
      </c>
      <c r="E43" s="12" t="str">
        <f aca="false">IF($J43="","",INDEX(Companies!$AD$3:$AD$502,MATCH($J43,Companies!$AI$3:$AI$502,0)))</f>
        <v/>
      </c>
      <c r="F43" s="12" t="str">
        <f aca="false">IF($J43="","",IF(INDEX(Companies!$F$3:$F$502,MATCH($J43,Companies!$AI$3:$AI$502,0))="","(no owner)",INDEX(Companies!$F$3:$F$502,MATCH($J43,Companies!$AI$3:$AI$502,0))))</f>
        <v/>
      </c>
      <c r="G43" s="12" t="str">
        <f aca="false">IF($J43="","",IF($J43&lt;700000,"Plan the first ask (partnership type cheat sheet) and create an opportunity",IF($J43&lt;800000,IF(INDEX(Companies!$W$3:$W$502,MATCH($J43,Companies!$AI$3:$AI$502,0))="","(add a path action)",INDEX(Companies!$W$3:$W$502,MATCH($J43,Companies!$AI$3:$AI$502,0))),IF($J43&lt;900000,"Need: "&amp;INDEX(Companies!$U$3:$U$502,MATCH($J43,Companies!$AI$3:$AI$502,0)),"Decide whether to start a path"))))</f>
        <v/>
      </c>
      <c r="H43" s="12" t="str">
        <f aca="false">IF($J43="","",INDEX(Companies!$AE$3:$AE$502,MATCH($J43,Companies!$AI$3:$AI$502,0)))</f>
        <v/>
      </c>
      <c r="I43" s="14" t="str">
        <f aca="false">IF($J43="","",IF(INDEX(Companies!$AF$3:$AF$502,MATCH($J43,Companies!$AI$3:$AI$502,0))="","",INDEX(Companies!$AF$3:$AF$502,MATCH($J43,Companies!$AI$3:$AI$502,0))))</f>
        <v/>
      </c>
      <c r="J43" s="15" t="str">
        <f aca="false">IFERROR(SMALL(Companies!$AI$3:$AI$502,5),"")</f>
        <v/>
      </c>
    </row>
    <row r="44" customFormat="false" ht="15" hidden="false" customHeight="false" outlineLevel="0" collapsed="false">
      <c r="A44" s="12" t="str">
        <f aca="false">IF($J44="","",6)</f>
        <v/>
      </c>
      <c r="B44" s="12" t="str">
        <f aca="false">IF($J44="","",IF($J44&lt;700000,"Priority: no deal yet",IF($J44&lt;800000,"Building a path",IF($J44&lt;900000,"Quick win for a need","Path candidate (space for one more)"))))</f>
        <v/>
      </c>
      <c r="C44" s="12" t="str">
        <f aca="false">IF($J44="","",INDEX(Companies!$A$3:$A$502,MATCH($J44,Companies!$AI$3:$AI$502,0)))</f>
        <v/>
      </c>
      <c r="D44" s="12" t="str">
        <f aca="false">IF($J44="","",INDEX(Companies!$AC$3:$AC$502,MATCH($J44,Companies!$AI$3:$AI$502,0)))</f>
        <v/>
      </c>
      <c r="E44" s="12" t="str">
        <f aca="false">IF($J44="","",INDEX(Companies!$AD$3:$AD$502,MATCH($J44,Companies!$AI$3:$AI$502,0)))</f>
        <v/>
      </c>
      <c r="F44" s="12" t="str">
        <f aca="false">IF($J44="","",IF(INDEX(Companies!$F$3:$F$502,MATCH($J44,Companies!$AI$3:$AI$502,0))="","(no owner)",INDEX(Companies!$F$3:$F$502,MATCH($J44,Companies!$AI$3:$AI$502,0))))</f>
        <v/>
      </c>
      <c r="G44" s="12" t="str">
        <f aca="false">IF($J44="","",IF($J44&lt;700000,"Plan the first ask (partnership type cheat sheet) and create an opportunity",IF($J44&lt;800000,IF(INDEX(Companies!$W$3:$W$502,MATCH($J44,Companies!$AI$3:$AI$502,0))="","(add a path action)",INDEX(Companies!$W$3:$W$502,MATCH($J44,Companies!$AI$3:$AI$502,0))),IF($J44&lt;900000,"Need: "&amp;INDEX(Companies!$U$3:$U$502,MATCH($J44,Companies!$AI$3:$AI$502,0)),"Decide whether to start a path"))))</f>
        <v/>
      </c>
      <c r="H44" s="12" t="str">
        <f aca="false">IF($J44="","",INDEX(Companies!$AE$3:$AE$502,MATCH($J44,Companies!$AI$3:$AI$502,0)))</f>
        <v/>
      </c>
      <c r="I44" s="14" t="str">
        <f aca="false">IF($J44="","",IF(INDEX(Companies!$AF$3:$AF$502,MATCH($J44,Companies!$AI$3:$AI$502,0))="","",INDEX(Companies!$AF$3:$AF$502,MATCH($J44,Companies!$AI$3:$AI$502,0))))</f>
        <v/>
      </c>
      <c r="J44" s="15" t="str">
        <f aca="false">IFERROR(SMALL(Companies!$AI$3:$AI$502,6),"")</f>
        <v/>
      </c>
    </row>
    <row r="45" customFormat="false" ht="15" hidden="false" customHeight="false" outlineLevel="0" collapsed="false">
      <c r="A45" s="12" t="str">
        <f aca="false">IF($J45="","",7)</f>
        <v/>
      </c>
      <c r="B45" s="12" t="str">
        <f aca="false">IF($J45="","",IF($J45&lt;700000,"Priority: no deal yet",IF($J45&lt;800000,"Building a path",IF($J45&lt;900000,"Quick win for a need","Path candidate (space for one more)"))))</f>
        <v/>
      </c>
      <c r="C45" s="12" t="str">
        <f aca="false">IF($J45="","",INDEX(Companies!$A$3:$A$502,MATCH($J45,Companies!$AI$3:$AI$502,0)))</f>
        <v/>
      </c>
      <c r="D45" s="12" t="str">
        <f aca="false">IF($J45="","",INDEX(Companies!$AC$3:$AC$502,MATCH($J45,Companies!$AI$3:$AI$502,0)))</f>
        <v/>
      </c>
      <c r="E45" s="12" t="str">
        <f aca="false">IF($J45="","",INDEX(Companies!$AD$3:$AD$502,MATCH($J45,Companies!$AI$3:$AI$502,0)))</f>
        <v/>
      </c>
      <c r="F45" s="12" t="str">
        <f aca="false">IF($J45="","",IF(INDEX(Companies!$F$3:$F$502,MATCH($J45,Companies!$AI$3:$AI$502,0))="","(no owner)",INDEX(Companies!$F$3:$F$502,MATCH($J45,Companies!$AI$3:$AI$502,0))))</f>
        <v/>
      </c>
      <c r="G45" s="12" t="str">
        <f aca="false">IF($J45="","",IF($J45&lt;700000,"Plan the first ask (partnership type cheat sheet) and create an opportunity",IF($J45&lt;800000,IF(INDEX(Companies!$W$3:$W$502,MATCH($J45,Companies!$AI$3:$AI$502,0))="","(add a path action)",INDEX(Companies!$W$3:$W$502,MATCH($J45,Companies!$AI$3:$AI$502,0))),IF($J45&lt;900000,"Need: "&amp;INDEX(Companies!$U$3:$U$502,MATCH($J45,Companies!$AI$3:$AI$502,0)),"Decide whether to start a path"))))</f>
        <v/>
      </c>
      <c r="H45" s="12" t="str">
        <f aca="false">IF($J45="","",INDEX(Companies!$AE$3:$AE$502,MATCH($J45,Companies!$AI$3:$AI$502,0)))</f>
        <v/>
      </c>
      <c r="I45" s="14" t="str">
        <f aca="false">IF($J45="","",IF(INDEX(Companies!$AF$3:$AF$502,MATCH($J45,Companies!$AI$3:$AI$502,0))="","",INDEX(Companies!$AF$3:$AF$502,MATCH($J45,Companies!$AI$3:$AI$502,0))))</f>
        <v/>
      </c>
      <c r="J45" s="15" t="str">
        <f aca="false">IFERROR(SMALL(Companies!$AI$3:$AI$502,7),"")</f>
        <v/>
      </c>
    </row>
    <row r="46" customFormat="false" ht="15" hidden="false" customHeight="false" outlineLevel="0" collapsed="false">
      <c r="A46" s="12" t="str">
        <f aca="false">IF($J46="","",8)</f>
        <v/>
      </c>
      <c r="B46" s="12" t="str">
        <f aca="false">IF($J46="","",IF($J46&lt;700000,"Priority: no deal yet",IF($J46&lt;800000,"Building a path",IF($J46&lt;900000,"Quick win for a need","Path candidate (space for one more)"))))</f>
        <v/>
      </c>
      <c r="C46" s="12" t="str">
        <f aca="false">IF($J46="","",INDEX(Companies!$A$3:$A$502,MATCH($J46,Companies!$AI$3:$AI$502,0)))</f>
        <v/>
      </c>
      <c r="D46" s="12" t="str">
        <f aca="false">IF($J46="","",INDEX(Companies!$AC$3:$AC$502,MATCH($J46,Companies!$AI$3:$AI$502,0)))</f>
        <v/>
      </c>
      <c r="E46" s="12" t="str">
        <f aca="false">IF($J46="","",INDEX(Companies!$AD$3:$AD$502,MATCH($J46,Companies!$AI$3:$AI$502,0)))</f>
        <v/>
      </c>
      <c r="F46" s="12" t="str">
        <f aca="false">IF($J46="","",IF(INDEX(Companies!$F$3:$F$502,MATCH($J46,Companies!$AI$3:$AI$502,0))="","(no owner)",INDEX(Companies!$F$3:$F$502,MATCH($J46,Companies!$AI$3:$AI$502,0))))</f>
        <v/>
      </c>
      <c r="G46" s="12" t="str">
        <f aca="false">IF($J46="","",IF($J46&lt;700000,"Plan the first ask (partnership type cheat sheet) and create an opportunity",IF($J46&lt;800000,IF(INDEX(Companies!$W$3:$W$502,MATCH($J46,Companies!$AI$3:$AI$502,0))="","(add a path action)",INDEX(Companies!$W$3:$W$502,MATCH($J46,Companies!$AI$3:$AI$502,0))),IF($J46&lt;900000,"Need: "&amp;INDEX(Companies!$U$3:$U$502,MATCH($J46,Companies!$AI$3:$AI$502,0)),"Decide whether to start a path"))))</f>
        <v/>
      </c>
      <c r="H46" s="12" t="str">
        <f aca="false">IF($J46="","",INDEX(Companies!$AE$3:$AE$502,MATCH($J46,Companies!$AI$3:$AI$502,0)))</f>
        <v/>
      </c>
      <c r="I46" s="14" t="str">
        <f aca="false">IF($J46="","",IF(INDEX(Companies!$AF$3:$AF$502,MATCH($J46,Companies!$AI$3:$AI$502,0))="","",INDEX(Companies!$AF$3:$AF$502,MATCH($J46,Companies!$AI$3:$AI$502,0))))</f>
        <v/>
      </c>
      <c r="J46" s="15" t="str">
        <f aca="false">IFERROR(SMALL(Companies!$AI$3:$AI$502,8),"")</f>
        <v/>
      </c>
    </row>
    <row r="47" customFormat="false" ht="15" hidden="false" customHeight="false" outlineLevel="0" collapsed="false">
      <c r="A47" s="12" t="str">
        <f aca="false">IF($J47="","",9)</f>
        <v/>
      </c>
      <c r="B47" s="12" t="str">
        <f aca="false">IF($J47="","",IF($J47&lt;700000,"Priority: no deal yet",IF($J47&lt;800000,"Building a path",IF($J47&lt;900000,"Quick win for a need","Path candidate (space for one more)"))))</f>
        <v/>
      </c>
      <c r="C47" s="12" t="str">
        <f aca="false">IF($J47="","",INDEX(Companies!$A$3:$A$502,MATCH($J47,Companies!$AI$3:$AI$502,0)))</f>
        <v/>
      </c>
      <c r="D47" s="12" t="str">
        <f aca="false">IF($J47="","",INDEX(Companies!$AC$3:$AC$502,MATCH($J47,Companies!$AI$3:$AI$502,0)))</f>
        <v/>
      </c>
      <c r="E47" s="12" t="str">
        <f aca="false">IF($J47="","",INDEX(Companies!$AD$3:$AD$502,MATCH($J47,Companies!$AI$3:$AI$502,0)))</f>
        <v/>
      </c>
      <c r="F47" s="12" t="str">
        <f aca="false">IF($J47="","",IF(INDEX(Companies!$F$3:$F$502,MATCH($J47,Companies!$AI$3:$AI$502,0))="","(no owner)",INDEX(Companies!$F$3:$F$502,MATCH($J47,Companies!$AI$3:$AI$502,0))))</f>
        <v/>
      </c>
      <c r="G47" s="12" t="str">
        <f aca="false">IF($J47="","",IF($J47&lt;700000,"Plan the first ask (partnership type cheat sheet) and create an opportunity",IF($J47&lt;800000,IF(INDEX(Companies!$W$3:$W$502,MATCH($J47,Companies!$AI$3:$AI$502,0))="","(add a path action)",INDEX(Companies!$W$3:$W$502,MATCH($J47,Companies!$AI$3:$AI$502,0))),IF($J47&lt;900000,"Need: "&amp;INDEX(Companies!$U$3:$U$502,MATCH($J47,Companies!$AI$3:$AI$502,0)),"Decide whether to start a path"))))</f>
        <v/>
      </c>
      <c r="H47" s="12" t="str">
        <f aca="false">IF($J47="","",INDEX(Companies!$AE$3:$AE$502,MATCH($J47,Companies!$AI$3:$AI$502,0)))</f>
        <v/>
      </c>
      <c r="I47" s="14" t="str">
        <f aca="false">IF($J47="","",IF(INDEX(Companies!$AF$3:$AF$502,MATCH($J47,Companies!$AI$3:$AI$502,0))="","",INDEX(Companies!$AF$3:$AF$502,MATCH($J47,Companies!$AI$3:$AI$502,0))))</f>
        <v/>
      </c>
      <c r="J47" s="15" t="str">
        <f aca="false">IFERROR(SMALL(Companies!$AI$3:$AI$502,9),"")</f>
        <v/>
      </c>
    </row>
    <row r="48" customFormat="false" ht="15" hidden="false" customHeight="false" outlineLevel="0" collapsed="false">
      <c r="A48" s="12" t="str">
        <f aca="false">IF($J48="","",10)</f>
        <v/>
      </c>
      <c r="B48" s="12" t="str">
        <f aca="false">IF($J48="","",IF($J48&lt;700000,"Priority: no deal yet",IF($J48&lt;800000,"Building a path",IF($J48&lt;900000,"Quick win for a need","Path candidate (space for one more)"))))</f>
        <v/>
      </c>
      <c r="C48" s="12" t="str">
        <f aca="false">IF($J48="","",INDEX(Companies!$A$3:$A$502,MATCH($J48,Companies!$AI$3:$AI$502,0)))</f>
        <v/>
      </c>
      <c r="D48" s="12" t="str">
        <f aca="false">IF($J48="","",INDEX(Companies!$AC$3:$AC$502,MATCH($J48,Companies!$AI$3:$AI$502,0)))</f>
        <v/>
      </c>
      <c r="E48" s="12" t="str">
        <f aca="false">IF($J48="","",INDEX(Companies!$AD$3:$AD$502,MATCH($J48,Companies!$AI$3:$AI$502,0)))</f>
        <v/>
      </c>
      <c r="F48" s="12" t="str">
        <f aca="false">IF($J48="","",IF(INDEX(Companies!$F$3:$F$502,MATCH($J48,Companies!$AI$3:$AI$502,0))="","(no owner)",INDEX(Companies!$F$3:$F$502,MATCH($J48,Companies!$AI$3:$AI$502,0))))</f>
        <v/>
      </c>
      <c r="G48" s="12" t="str">
        <f aca="false">IF($J48="","",IF($J48&lt;700000,"Plan the first ask (partnership type cheat sheet) and create an opportunity",IF($J48&lt;800000,IF(INDEX(Companies!$W$3:$W$502,MATCH($J48,Companies!$AI$3:$AI$502,0))="","(add a path action)",INDEX(Companies!$W$3:$W$502,MATCH($J48,Companies!$AI$3:$AI$502,0))),IF($J48&lt;900000,"Need: "&amp;INDEX(Companies!$U$3:$U$502,MATCH($J48,Companies!$AI$3:$AI$502,0)),"Decide whether to start a path"))))</f>
        <v/>
      </c>
      <c r="H48" s="12" t="str">
        <f aca="false">IF($J48="","",INDEX(Companies!$AE$3:$AE$502,MATCH($J48,Companies!$AI$3:$AI$502,0)))</f>
        <v/>
      </c>
      <c r="I48" s="14" t="str">
        <f aca="false">IF($J48="","",IF(INDEX(Companies!$AF$3:$AF$502,MATCH($J48,Companies!$AI$3:$AI$502,0))="","",INDEX(Companies!$AF$3:$AF$502,MATCH($J48,Companies!$AI$3:$AI$502,0))))</f>
        <v/>
      </c>
      <c r="J48" s="15" t="str">
        <f aca="false">IFERROR(SMALL(Companies!$AI$3:$AI$502,10),"")</f>
        <v/>
      </c>
    </row>
    <row r="49" customFormat="false" ht="15" hidden="false" customHeight="false" outlineLevel="0" collapsed="false">
      <c r="A49" s="12" t="str">
        <f aca="false">IF($J49="","",11)</f>
        <v/>
      </c>
      <c r="B49" s="12" t="str">
        <f aca="false">IF($J49="","",IF($J49&lt;700000,"Priority: no deal yet",IF($J49&lt;800000,"Building a path",IF($J49&lt;900000,"Quick win for a need","Path candidate (space for one more)"))))</f>
        <v/>
      </c>
      <c r="C49" s="12" t="str">
        <f aca="false">IF($J49="","",INDEX(Companies!$A$3:$A$502,MATCH($J49,Companies!$AI$3:$AI$502,0)))</f>
        <v/>
      </c>
      <c r="D49" s="12" t="str">
        <f aca="false">IF($J49="","",INDEX(Companies!$AC$3:$AC$502,MATCH($J49,Companies!$AI$3:$AI$502,0)))</f>
        <v/>
      </c>
      <c r="E49" s="12" t="str">
        <f aca="false">IF($J49="","",INDEX(Companies!$AD$3:$AD$502,MATCH($J49,Companies!$AI$3:$AI$502,0)))</f>
        <v/>
      </c>
      <c r="F49" s="12" t="str">
        <f aca="false">IF($J49="","",IF(INDEX(Companies!$F$3:$F$502,MATCH($J49,Companies!$AI$3:$AI$502,0))="","(no owner)",INDEX(Companies!$F$3:$F$502,MATCH($J49,Companies!$AI$3:$AI$502,0))))</f>
        <v/>
      </c>
      <c r="G49" s="12" t="str">
        <f aca="false">IF($J49="","",IF($J49&lt;700000,"Plan the first ask (partnership type cheat sheet) and create an opportunity",IF($J49&lt;800000,IF(INDEX(Companies!$W$3:$W$502,MATCH($J49,Companies!$AI$3:$AI$502,0))="","(add a path action)",INDEX(Companies!$W$3:$W$502,MATCH($J49,Companies!$AI$3:$AI$502,0))),IF($J49&lt;900000,"Need: "&amp;INDEX(Companies!$U$3:$U$502,MATCH($J49,Companies!$AI$3:$AI$502,0)),"Decide whether to start a path"))))</f>
        <v/>
      </c>
      <c r="H49" s="12" t="str">
        <f aca="false">IF($J49="","",INDEX(Companies!$AE$3:$AE$502,MATCH($J49,Companies!$AI$3:$AI$502,0)))</f>
        <v/>
      </c>
      <c r="I49" s="14" t="str">
        <f aca="false">IF($J49="","",IF(INDEX(Companies!$AF$3:$AF$502,MATCH($J49,Companies!$AI$3:$AI$502,0))="","",INDEX(Companies!$AF$3:$AF$502,MATCH($J49,Companies!$AI$3:$AI$502,0))))</f>
        <v/>
      </c>
      <c r="J49" s="15" t="str">
        <f aca="false">IFERROR(SMALL(Companies!$AI$3:$AI$502,11),"")</f>
        <v/>
      </c>
    </row>
    <row r="50" customFormat="false" ht="15" hidden="false" customHeight="false" outlineLevel="0" collapsed="false">
      <c r="A50" s="12" t="str">
        <f aca="false">IF($J50="","",12)</f>
        <v/>
      </c>
      <c r="B50" s="12" t="str">
        <f aca="false">IF($J50="","",IF($J50&lt;700000,"Priority: no deal yet",IF($J50&lt;800000,"Building a path",IF($J50&lt;900000,"Quick win for a need","Path candidate (space for one more)"))))</f>
        <v/>
      </c>
      <c r="C50" s="12" t="str">
        <f aca="false">IF($J50="","",INDEX(Companies!$A$3:$A$502,MATCH($J50,Companies!$AI$3:$AI$502,0)))</f>
        <v/>
      </c>
      <c r="D50" s="12" t="str">
        <f aca="false">IF($J50="","",INDEX(Companies!$AC$3:$AC$502,MATCH($J50,Companies!$AI$3:$AI$502,0)))</f>
        <v/>
      </c>
      <c r="E50" s="12" t="str">
        <f aca="false">IF($J50="","",INDEX(Companies!$AD$3:$AD$502,MATCH($J50,Companies!$AI$3:$AI$502,0)))</f>
        <v/>
      </c>
      <c r="F50" s="12" t="str">
        <f aca="false">IF($J50="","",IF(INDEX(Companies!$F$3:$F$502,MATCH($J50,Companies!$AI$3:$AI$502,0))="","(no owner)",INDEX(Companies!$F$3:$F$502,MATCH($J50,Companies!$AI$3:$AI$502,0))))</f>
        <v/>
      </c>
      <c r="G50" s="12" t="str">
        <f aca="false">IF($J50="","",IF($J50&lt;700000,"Plan the first ask (partnership type cheat sheet) and create an opportunity",IF($J50&lt;800000,IF(INDEX(Companies!$W$3:$W$502,MATCH($J50,Companies!$AI$3:$AI$502,0))="","(add a path action)",INDEX(Companies!$W$3:$W$502,MATCH($J50,Companies!$AI$3:$AI$502,0))),IF($J50&lt;900000,"Need: "&amp;INDEX(Companies!$U$3:$U$502,MATCH($J50,Companies!$AI$3:$AI$502,0)),"Decide whether to start a path"))))</f>
        <v/>
      </c>
      <c r="H50" s="12" t="str">
        <f aca="false">IF($J50="","",INDEX(Companies!$AE$3:$AE$502,MATCH($J50,Companies!$AI$3:$AI$502,0)))</f>
        <v/>
      </c>
      <c r="I50" s="14" t="str">
        <f aca="false">IF($J50="","",IF(INDEX(Companies!$AF$3:$AF$502,MATCH($J50,Companies!$AI$3:$AI$502,0))="","",INDEX(Companies!$AF$3:$AF$502,MATCH($J50,Companies!$AI$3:$AI$502,0))))</f>
        <v/>
      </c>
      <c r="J50" s="15" t="str">
        <f aca="false">IFERROR(SMALL(Companies!$AI$3:$AI$502,12),"")</f>
        <v/>
      </c>
    </row>
    <row r="51" customFormat="false" ht="15" hidden="false" customHeight="false" outlineLevel="0" collapsed="false">
      <c r="A51" s="12" t="str">
        <f aca="false">IF($J51="","",13)</f>
        <v/>
      </c>
      <c r="B51" s="12" t="str">
        <f aca="false">IF($J51="","",IF($J51&lt;700000,"Priority: no deal yet",IF($J51&lt;800000,"Building a path",IF($J51&lt;900000,"Quick win for a need","Path candidate (space for one more)"))))</f>
        <v/>
      </c>
      <c r="C51" s="12" t="str">
        <f aca="false">IF($J51="","",INDEX(Companies!$A$3:$A$502,MATCH($J51,Companies!$AI$3:$AI$502,0)))</f>
        <v/>
      </c>
      <c r="D51" s="12" t="str">
        <f aca="false">IF($J51="","",INDEX(Companies!$AC$3:$AC$502,MATCH($J51,Companies!$AI$3:$AI$502,0)))</f>
        <v/>
      </c>
      <c r="E51" s="12" t="str">
        <f aca="false">IF($J51="","",INDEX(Companies!$AD$3:$AD$502,MATCH($J51,Companies!$AI$3:$AI$502,0)))</f>
        <v/>
      </c>
      <c r="F51" s="12" t="str">
        <f aca="false">IF($J51="","",IF(INDEX(Companies!$F$3:$F$502,MATCH($J51,Companies!$AI$3:$AI$502,0))="","(no owner)",INDEX(Companies!$F$3:$F$502,MATCH($J51,Companies!$AI$3:$AI$502,0))))</f>
        <v/>
      </c>
      <c r="G51" s="12" t="str">
        <f aca="false">IF($J51="","",IF($J51&lt;700000,"Plan the first ask (partnership type cheat sheet) and create an opportunity",IF($J51&lt;800000,IF(INDEX(Companies!$W$3:$W$502,MATCH($J51,Companies!$AI$3:$AI$502,0))="","(add a path action)",INDEX(Companies!$W$3:$W$502,MATCH($J51,Companies!$AI$3:$AI$502,0))),IF($J51&lt;900000,"Need: "&amp;INDEX(Companies!$U$3:$U$502,MATCH($J51,Companies!$AI$3:$AI$502,0)),"Decide whether to start a path"))))</f>
        <v/>
      </c>
      <c r="H51" s="12" t="str">
        <f aca="false">IF($J51="","",INDEX(Companies!$AE$3:$AE$502,MATCH($J51,Companies!$AI$3:$AI$502,0)))</f>
        <v/>
      </c>
      <c r="I51" s="14" t="str">
        <f aca="false">IF($J51="","",IF(INDEX(Companies!$AF$3:$AF$502,MATCH($J51,Companies!$AI$3:$AI$502,0))="","",INDEX(Companies!$AF$3:$AF$502,MATCH($J51,Companies!$AI$3:$AI$502,0))))</f>
        <v/>
      </c>
      <c r="J51" s="15" t="str">
        <f aca="false">IFERROR(SMALL(Companies!$AI$3:$AI$502,13),"")</f>
        <v/>
      </c>
    </row>
    <row r="52" customFormat="false" ht="15" hidden="false" customHeight="false" outlineLevel="0" collapsed="false">
      <c r="A52" s="12" t="str">
        <f aca="false">IF($J52="","",14)</f>
        <v/>
      </c>
      <c r="B52" s="12" t="str">
        <f aca="false">IF($J52="","",IF($J52&lt;700000,"Priority: no deal yet",IF($J52&lt;800000,"Building a path",IF($J52&lt;900000,"Quick win for a need","Path candidate (space for one more)"))))</f>
        <v/>
      </c>
      <c r="C52" s="12" t="str">
        <f aca="false">IF($J52="","",INDEX(Companies!$A$3:$A$502,MATCH($J52,Companies!$AI$3:$AI$502,0)))</f>
        <v/>
      </c>
      <c r="D52" s="12" t="str">
        <f aca="false">IF($J52="","",INDEX(Companies!$AC$3:$AC$502,MATCH($J52,Companies!$AI$3:$AI$502,0)))</f>
        <v/>
      </c>
      <c r="E52" s="12" t="str">
        <f aca="false">IF($J52="","",INDEX(Companies!$AD$3:$AD$502,MATCH($J52,Companies!$AI$3:$AI$502,0)))</f>
        <v/>
      </c>
      <c r="F52" s="12" t="str">
        <f aca="false">IF($J52="","",IF(INDEX(Companies!$F$3:$F$502,MATCH($J52,Companies!$AI$3:$AI$502,0))="","(no owner)",INDEX(Companies!$F$3:$F$502,MATCH($J52,Companies!$AI$3:$AI$502,0))))</f>
        <v/>
      </c>
      <c r="G52" s="12" t="str">
        <f aca="false">IF($J52="","",IF($J52&lt;700000,"Plan the first ask (partnership type cheat sheet) and create an opportunity",IF($J52&lt;800000,IF(INDEX(Companies!$W$3:$W$502,MATCH($J52,Companies!$AI$3:$AI$502,0))="","(add a path action)",INDEX(Companies!$W$3:$W$502,MATCH($J52,Companies!$AI$3:$AI$502,0))),IF($J52&lt;900000,"Need: "&amp;INDEX(Companies!$U$3:$U$502,MATCH($J52,Companies!$AI$3:$AI$502,0)),"Decide whether to start a path"))))</f>
        <v/>
      </c>
      <c r="H52" s="12" t="str">
        <f aca="false">IF($J52="","",INDEX(Companies!$AE$3:$AE$502,MATCH($J52,Companies!$AI$3:$AI$502,0)))</f>
        <v/>
      </c>
      <c r="I52" s="14" t="str">
        <f aca="false">IF($J52="","",IF(INDEX(Companies!$AF$3:$AF$502,MATCH($J52,Companies!$AI$3:$AI$502,0))="","",INDEX(Companies!$AF$3:$AF$502,MATCH($J52,Companies!$AI$3:$AI$502,0))))</f>
        <v/>
      </c>
      <c r="J52" s="15" t="str">
        <f aca="false">IFERROR(SMALL(Companies!$AI$3:$AI$502,14),"")</f>
        <v/>
      </c>
    </row>
    <row r="53" customFormat="false" ht="15" hidden="false" customHeight="false" outlineLevel="0" collapsed="false">
      <c r="A53" s="12" t="str">
        <f aca="false">IF($J53="","",15)</f>
        <v/>
      </c>
      <c r="B53" s="12" t="str">
        <f aca="false">IF($J53="","",IF($J53&lt;700000,"Priority: no deal yet",IF($J53&lt;800000,"Building a path",IF($J53&lt;900000,"Quick win for a need","Path candidate (space for one more)"))))</f>
        <v/>
      </c>
      <c r="C53" s="12" t="str">
        <f aca="false">IF($J53="","",INDEX(Companies!$A$3:$A$502,MATCH($J53,Companies!$AI$3:$AI$502,0)))</f>
        <v/>
      </c>
      <c r="D53" s="12" t="str">
        <f aca="false">IF($J53="","",INDEX(Companies!$AC$3:$AC$502,MATCH($J53,Companies!$AI$3:$AI$502,0)))</f>
        <v/>
      </c>
      <c r="E53" s="12" t="str">
        <f aca="false">IF($J53="","",INDEX(Companies!$AD$3:$AD$502,MATCH($J53,Companies!$AI$3:$AI$502,0)))</f>
        <v/>
      </c>
      <c r="F53" s="12" t="str">
        <f aca="false">IF($J53="","",IF(INDEX(Companies!$F$3:$F$502,MATCH($J53,Companies!$AI$3:$AI$502,0))="","(no owner)",INDEX(Companies!$F$3:$F$502,MATCH($J53,Companies!$AI$3:$AI$502,0))))</f>
        <v/>
      </c>
      <c r="G53" s="12" t="str">
        <f aca="false">IF($J53="","",IF($J53&lt;700000,"Plan the first ask (partnership type cheat sheet) and create an opportunity",IF($J53&lt;800000,IF(INDEX(Companies!$W$3:$W$502,MATCH($J53,Companies!$AI$3:$AI$502,0))="","(add a path action)",INDEX(Companies!$W$3:$W$502,MATCH($J53,Companies!$AI$3:$AI$502,0))),IF($J53&lt;900000,"Need: "&amp;INDEX(Companies!$U$3:$U$502,MATCH($J53,Companies!$AI$3:$AI$502,0)),"Decide whether to start a path"))))</f>
        <v/>
      </c>
      <c r="H53" s="12" t="str">
        <f aca="false">IF($J53="","",INDEX(Companies!$AE$3:$AE$502,MATCH($J53,Companies!$AI$3:$AI$502,0)))</f>
        <v/>
      </c>
      <c r="I53" s="14" t="str">
        <f aca="false">IF($J53="","",IF(INDEX(Companies!$AF$3:$AF$502,MATCH($J53,Companies!$AI$3:$AI$502,0))="","",INDEX(Companies!$AF$3:$AF$502,MATCH($J53,Companies!$AI$3:$AI$502,0))))</f>
        <v/>
      </c>
      <c r="J53" s="15" t="str">
        <f aca="false">IFERROR(SMALL(Companies!$AI$3:$AI$502,15),"")</f>
        <v/>
      </c>
    </row>
    <row r="54" customFormat="false" ht="15" hidden="false" customHeight="false" outlineLevel="0" collapsed="false">
      <c r="A54" s="12" t="str">
        <f aca="false">IF($J54="","",16)</f>
        <v/>
      </c>
      <c r="B54" s="12" t="str">
        <f aca="false">IF($J54="","",IF($J54&lt;700000,"Priority: no deal yet",IF($J54&lt;800000,"Building a path",IF($J54&lt;900000,"Quick win for a need","Path candidate (space for one more)"))))</f>
        <v/>
      </c>
      <c r="C54" s="12" t="str">
        <f aca="false">IF($J54="","",INDEX(Companies!$A$3:$A$502,MATCH($J54,Companies!$AI$3:$AI$502,0)))</f>
        <v/>
      </c>
      <c r="D54" s="12" t="str">
        <f aca="false">IF($J54="","",INDEX(Companies!$AC$3:$AC$502,MATCH($J54,Companies!$AI$3:$AI$502,0)))</f>
        <v/>
      </c>
      <c r="E54" s="12" t="str">
        <f aca="false">IF($J54="","",INDEX(Companies!$AD$3:$AD$502,MATCH($J54,Companies!$AI$3:$AI$502,0)))</f>
        <v/>
      </c>
      <c r="F54" s="12" t="str">
        <f aca="false">IF($J54="","",IF(INDEX(Companies!$F$3:$F$502,MATCH($J54,Companies!$AI$3:$AI$502,0))="","(no owner)",INDEX(Companies!$F$3:$F$502,MATCH($J54,Companies!$AI$3:$AI$502,0))))</f>
        <v/>
      </c>
      <c r="G54" s="12" t="str">
        <f aca="false">IF($J54="","",IF($J54&lt;700000,"Plan the first ask (partnership type cheat sheet) and create an opportunity",IF($J54&lt;800000,IF(INDEX(Companies!$W$3:$W$502,MATCH($J54,Companies!$AI$3:$AI$502,0))="","(add a path action)",INDEX(Companies!$W$3:$W$502,MATCH($J54,Companies!$AI$3:$AI$502,0))),IF($J54&lt;900000,"Need: "&amp;INDEX(Companies!$U$3:$U$502,MATCH($J54,Companies!$AI$3:$AI$502,0)),"Decide whether to start a path"))))</f>
        <v/>
      </c>
      <c r="H54" s="12" t="str">
        <f aca="false">IF($J54="","",INDEX(Companies!$AE$3:$AE$502,MATCH($J54,Companies!$AI$3:$AI$502,0)))</f>
        <v/>
      </c>
      <c r="I54" s="14" t="str">
        <f aca="false">IF($J54="","",IF(INDEX(Companies!$AF$3:$AF$502,MATCH($J54,Companies!$AI$3:$AI$502,0))="","",INDEX(Companies!$AF$3:$AF$502,MATCH($J54,Companies!$AI$3:$AI$502,0))))</f>
        <v/>
      </c>
      <c r="J54" s="15" t="str">
        <f aca="false">IFERROR(SMALL(Companies!$AI$3:$AI$502,16),"")</f>
        <v/>
      </c>
    </row>
    <row r="55" customFormat="false" ht="15" hidden="false" customHeight="false" outlineLevel="0" collapsed="false">
      <c r="A55" s="12" t="str">
        <f aca="false">IF($J55="","",17)</f>
        <v/>
      </c>
      <c r="B55" s="12" t="str">
        <f aca="false">IF($J55="","",IF($J55&lt;700000,"Priority: no deal yet",IF($J55&lt;800000,"Building a path",IF($J55&lt;900000,"Quick win for a need","Path candidate (space for one more)"))))</f>
        <v/>
      </c>
      <c r="C55" s="12" t="str">
        <f aca="false">IF($J55="","",INDEX(Companies!$A$3:$A$502,MATCH($J55,Companies!$AI$3:$AI$502,0)))</f>
        <v/>
      </c>
      <c r="D55" s="12" t="str">
        <f aca="false">IF($J55="","",INDEX(Companies!$AC$3:$AC$502,MATCH($J55,Companies!$AI$3:$AI$502,0)))</f>
        <v/>
      </c>
      <c r="E55" s="12" t="str">
        <f aca="false">IF($J55="","",INDEX(Companies!$AD$3:$AD$502,MATCH($J55,Companies!$AI$3:$AI$502,0)))</f>
        <v/>
      </c>
      <c r="F55" s="12" t="str">
        <f aca="false">IF($J55="","",IF(INDEX(Companies!$F$3:$F$502,MATCH($J55,Companies!$AI$3:$AI$502,0))="","(no owner)",INDEX(Companies!$F$3:$F$502,MATCH($J55,Companies!$AI$3:$AI$502,0))))</f>
        <v/>
      </c>
      <c r="G55" s="12" t="str">
        <f aca="false">IF($J55="","",IF($J55&lt;700000,"Plan the first ask (partnership type cheat sheet) and create an opportunity",IF($J55&lt;800000,IF(INDEX(Companies!$W$3:$W$502,MATCH($J55,Companies!$AI$3:$AI$502,0))="","(add a path action)",INDEX(Companies!$W$3:$W$502,MATCH($J55,Companies!$AI$3:$AI$502,0))),IF($J55&lt;900000,"Need: "&amp;INDEX(Companies!$U$3:$U$502,MATCH($J55,Companies!$AI$3:$AI$502,0)),"Decide whether to start a path"))))</f>
        <v/>
      </c>
      <c r="H55" s="12" t="str">
        <f aca="false">IF($J55="","",INDEX(Companies!$AE$3:$AE$502,MATCH($J55,Companies!$AI$3:$AI$502,0)))</f>
        <v/>
      </c>
      <c r="I55" s="14" t="str">
        <f aca="false">IF($J55="","",IF(INDEX(Companies!$AF$3:$AF$502,MATCH($J55,Companies!$AI$3:$AI$502,0))="","",INDEX(Companies!$AF$3:$AF$502,MATCH($J55,Companies!$AI$3:$AI$502,0))))</f>
        <v/>
      </c>
      <c r="J55" s="15" t="str">
        <f aca="false">IFERROR(SMALL(Companies!$AI$3:$AI$502,17),"")</f>
        <v/>
      </c>
    </row>
    <row r="56" customFormat="false" ht="15" hidden="false" customHeight="false" outlineLevel="0" collapsed="false">
      <c r="A56" s="12" t="str">
        <f aca="false">IF($J56="","",18)</f>
        <v/>
      </c>
      <c r="B56" s="12" t="str">
        <f aca="false">IF($J56="","",IF($J56&lt;700000,"Priority: no deal yet",IF($J56&lt;800000,"Building a path",IF($J56&lt;900000,"Quick win for a need","Path candidate (space for one more)"))))</f>
        <v/>
      </c>
      <c r="C56" s="12" t="str">
        <f aca="false">IF($J56="","",INDEX(Companies!$A$3:$A$502,MATCH($J56,Companies!$AI$3:$AI$502,0)))</f>
        <v/>
      </c>
      <c r="D56" s="12" t="str">
        <f aca="false">IF($J56="","",INDEX(Companies!$AC$3:$AC$502,MATCH($J56,Companies!$AI$3:$AI$502,0)))</f>
        <v/>
      </c>
      <c r="E56" s="12" t="str">
        <f aca="false">IF($J56="","",INDEX(Companies!$AD$3:$AD$502,MATCH($J56,Companies!$AI$3:$AI$502,0)))</f>
        <v/>
      </c>
      <c r="F56" s="12" t="str">
        <f aca="false">IF($J56="","",IF(INDEX(Companies!$F$3:$F$502,MATCH($J56,Companies!$AI$3:$AI$502,0))="","(no owner)",INDEX(Companies!$F$3:$F$502,MATCH($J56,Companies!$AI$3:$AI$502,0))))</f>
        <v/>
      </c>
      <c r="G56" s="12" t="str">
        <f aca="false">IF($J56="","",IF($J56&lt;700000,"Plan the first ask (partnership type cheat sheet) and create an opportunity",IF($J56&lt;800000,IF(INDEX(Companies!$W$3:$W$502,MATCH($J56,Companies!$AI$3:$AI$502,0))="","(add a path action)",INDEX(Companies!$W$3:$W$502,MATCH($J56,Companies!$AI$3:$AI$502,0))),IF($J56&lt;900000,"Need: "&amp;INDEX(Companies!$U$3:$U$502,MATCH($J56,Companies!$AI$3:$AI$502,0)),"Decide whether to start a path"))))</f>
        <v/>
      </c>
      <c r="H56" s="12" t="str">
        <f aca="false">IF($J56="","",INDEX(Companies!$AE$3:$AE$502,MATCH($J56,Companies!$AI$3:$AI$502,0)))</f>
        <v/>
      </c>
      <c r="I56" s="14" t="str">
        <f aca="false">IF($J56="","",IF(INDEX(Companies!$AF$3:$AF$502,MATCH($J56,Companies!$AI$3:$AI$502,0))="","",INDEX(Companies!$AF$3:$AF$502,MATCH($J56,Companies!$AI$3:$AI$502,0))))</f>
        <v/>
      </c>
      <c r="J56" s="15" t="str">
        <f aca="false">IFERROR(SMALL(Companies!$AI$3:$AI$502,18),"")</f>
        <v/>
      </c>
    </row>
    <row r="57" customFormat="false" ht="15" hidden="false" customHeight="false" outlineLevel="0" collapsed="false">
      <c r="A57" s="12" t="str">
        <f aca="false">IF($J57="","",19)</f>
        <v/>
      </c>
      <c r="B57" s="12" t="str">
        <f aca="false">IF($J57="","",IF($J57&lt;700000,"Priority: no deal yet",IF($J57&lt;800000,"Building a path",IF($J57&lt;900000,"Quick win for a need","Path candidate (space for one more)"))))</f>
        <v/>
      </c>
      <c r="C57" s="12" t="str">
        <f aca="false">IF($J57="","",INDEX(Companies!$A$3:$A$502,MATCH($J57,Companies!$AI$3:$AI$502,0)))</f>
        <v/>
      </c>
      <c r="D57" s="12" t="str">
        <f aca="false">IF($J57="","",INDEX(Companies!$AC$3:$AC$502,MATCH($J57,Companies!$AI$3:$AI$502,0)))</f>
        <v/>
      </c>
      <c r="E57" s="12" t="str">
        <f aca="false">IF($J57="","",INDEX(Companies!$AD$3:$AD$502,MATCH($J57,Companies!$AI$3:$AI$502,0)))</f>
        <v/>
      </c>
      <c r="F57" s="12" t="str">
        <f aca="false">IF($J57="","",IF(INDEX(Companies!$F$3:$F$502,MATCH($J57,Companies!$AI$3:$AI$502,0))="","(no owner)",INDEX(Companies!$F$3:$F$502,MATCH($J57,Companies!$AI$3:$AI$502,0))))</f>
        <v/>
      </c>
      <c r="G57" s="12" t="str">
        <f aca="false">IF($J57="","",IF($J57&lt;700000,"Plan the first ask (partnership type cheat sheet) and create an opportunity",IF($J57&lt;800000,IF(INDEX(Companies!$W$3:$W$502,MATCH($J57,Companies!$AI$3:$AI$502,0))="","(add a path action)",INDEX(Companies!$W$3:$W$502,MATCH($J57,Companies!$AI$3:$AI$502,0))),IF($J57&lt;900000,"Need: "&amp;INDEX(Companies!$U$3:$U$502,MATCH($J57,Companies!$AI$3:$AI$502,0)),"Decide whether to start a path"))))</f>
        <v/>
      </c>
      <c r="H57" s="12" t="str">
        <f aca="false">IF($J57="","",INDEX(Companies!$AE$3:$AE$502,MATCH($J57,Companies!$AI$3:$AI$502,0)))</f>
        <v/>
      </c>
      <c r="I57" s="14" t="str">
        <f aca="false">IF($J57="","",IF(INDEX(Companies!$AF$3:$AF$502,MATCH($J57,Companies!$AI$3:$AI$502,0))="","",INDEX(Companies!$AF$3:$AF$502,MATCH($J57,Companies!$AI$3:$AI$502,0))))</f>
        <v/>
      </c>
      <c r="J57" s="15" t="str">
        <f aca="false">IFERROR(SMALL(Companies!$AI$3:$AI$502,19),"")</f>
        <v/>
      </c>
    </row>
    <row r="58" customFormat="false" ht="15" hidden="false" customHeight="false" outlineLevel="0" collapsed="false">
      <c r="A58" s="12" t="str">
        <f aca="false">IF($J58="","",20)</f>
        <v/>
      </c>
      <c r="B58" s="12" t="str">
        <f aca="false">IF($J58="","",IF($J58&lt;700000,"Priority: no deal yet",IF($J58&lt;800000,"Building a path",IF($J58&lt;900000,"Quick win for a need","Path candidate (space for one more)"))))</f>
        <v/>
      </c>
      <c r="C58" s="12" t="str">
        <f aca="false">IF($J58="","",INDEX(Companies!$A$3:$A$502,MATCH($J58,Companies!$AI$3:$AI$502,0)))</f>
        <v/>
      </c>
      <c r="D58" s="12" t="str">
        <f aca="false">IF($J58="","",INDEX(Companies!$AC$3:$AC$502,MATCH($J58,Companies!$AI$3:$AI$502,0)))</f>
        <v/>
      </c>
      <c r="E58" s="12" t="str">
        <f aca="false">IF($J58="","",INDEX(Companies!$AD$3:$AD$502,MATCH($J58,Companies!$AI$3:$AI$502,0)))</f>
        <v/>
      </c>
      <c r="F58" s="12" t="str">
        <f aca="false">IF($J58="","",IF(INDEX(Companies!$F$3:$F$502,MATCH($J58,Companies!$AI$3:$AI$502,0))="","(no owner)",INDEX(Companies!$F$3:$F$502,MATCH($J58,Companies!$AI$3:$AI$502,0))))</f>
        <v/>
      </c>
      <c r="G58" s="12" t="str">
        <f aca="false">IF($J58="","",IF($J58&lt;700000,"Plan the first ask (partnership type cheat sheet) and create an opportunity",IF($J58&lt;800000,IF(INDEX(Companies!$W$3:$W$502,MATCH($J58,Companies!$AI$3:$AI$502,0))="","(add a path action)",INDEX(Companies!$W$3:$W$502,MATCH($J58,Companies!$AI$3:$AI$502,0))),IF($J58&lt;900000,"Need: "&amp;INDEX(Companies!$U$3:$U$502,MATCH($J58,Companies!$AI$3:$AI$502,0)),"Decide whether to start a path"))))</f>
        <v/>
      </c>
      <c r="H58" s="12" t="str">
        <f aca="false">IF($J58="","",INDEX(Companies!$AE$3:$AE$502,MATCH($J58,Companies!$AI$3:$AI$502,0)))</f>
        <v/>
      </c>
      <c r="I58" s="14" t="str">
        <f aca="false">IF($J58="","",IF(INDEX(Companies!$AF$3:$AF$502,MATCH($J58,Companies!$AI$3:$AI$502,0))="","",INDEX(Companies!$AF$3:$AF$502,MATCH($J58,Companies!$AI$3:$AI$502,0))))</f>
        <v/>
      </c>
      <c r="J58" s="15" t="str">
        <f aca="false">IFERROR(SMALL(Companies!$AI$3:$AI$502,20),"")</f>
        <v/>
      </c>
    </row>
    <row r="59" customFormat="false" ht="15" hidden="false" customHeight="false" outlineLevel="0" collapsed="false">
      <c r="A59" s="12" t="str">
        <f aca="false">IF($J59="","",21)</f>
        <v/>
      </c>
      <c r="B59" s="12" t="str">
        <f aca="false">IF($J59="","",IF($J59&lt;700000,"Priority: no deal yet",IF($J59&lt;800000,"Building a path",IF($J59&lt;900000,"Quick win for a need","Path candidate (space for one more)"))))</f>
        <v/>
      </c>
      <c r="C59" s="12" t="str">
        <f aca="false">IF($J59="","",INDEX(Companies!$A$3:$A$502,MATCH($J59,Companies!$AI$3:$AI$502,0)))</f>
        <v/>
      </c>
      <c r="D59" s="12" t="str">
        <f aca="false">IF($J59="","",INDEX(Companies!$AC$3:$AC$502,MATCH($J59,Companies!$AI$3:$AI$502,0)))</f>
        <v/>
      </c>
      <c r="E59" s="12" t="str">
        <f aca="false">IF($J59="","",INDEX(Companies!$AD$3:$AD$502,MATCH($J59,Companies!$AI$3:$AI$502,0)))</f>
        <v/>
      </c>
      <c r="F59" s="12" t="str">
        <f aca="false">IF($J59="","",IF(INDEX(Companies!$F$3:$F$502,MATCH($J59,Companies!$AI$3:$AI$502,0))="","(no owner)",INDEX(Companies!$F$3:$F$502,MATCH($J59,Companies!$AI$3:$AI$502,0))))</f>
        <v/>
      </c>
      <c r="G59" s="12" t="str">
        <f aca="false">IF($J59="","",IF($J59&lt;700000,"Plan the first ask (partnership type cheat sheet) and create an opportunity",IF($J59&lt;800000,IF(INDEX(Companies!$W$3:$W$502,MATCH($J59,Companies!$AI$3:$AI$502,0))="","(add a path action)",INDEX(Companies!$W$3:$W$502,MATCH($J59,Companies!$AI$3:$AI$502,0))),IF($J59&lt;900000,"Need: "&amp;INDEX(Companies!$U$3:$U$502,MATCH($J59,Companies!$AI$3:$AI$502,0)),"Decide whether to start a path"))))</f>
        <v/>
      </c>
      <c r="H59" s="12" t="str">
        <f aca="false">IF($J59="","",INDEX(Companies!$AE$3:$AE$502,MATCH($J59,Companies!$AI$3:$AI$502,0)))</f>
        <v/>
      </c>
      <c r="I59" s="14" t="str">
        <f aca="false">IF($J59="","",IF(INDEX(Companies!$AF$3:$AF$502,MATCH($J59,Companies!$AI$3:$AI$502,0))="","",INDEX(Companies!$AF$3:$AF$502,MATCH($J59,Companies!$AI$3:$AI$502,0))))</f>
        <v/>
      </c>
      <c r="J59" s="15" t="str">
        <f aca="false">IFERROR(SMALL(Companies!$AI$3:$AI$502,21),"")</f>
        <v/>
      </c>
    </row>
    <row r="60" customFormat="false" ht="15" hidden="false" customHeight="false" outlineLevel="0" collapsed="false">
      <c r="A60" s="12" t="str">
        <f aca="false">IF($J60="","",22)</f>
        <v/>
      </c>
      <c r="B60" s="12" t="str">
        <f aca="false">IF($J60="","",IF($J60&lt;700000,"Priority: no deal yet",IF($J60&lt;800000,"Building a path",IF($J60&lt;900000,"Quick win for a need","Path candidate (space for one more)"))))</f>
        <v/>
      </c>
      <c r="C60" s="12" t="str">
        <f aca="false">IF($J60="","",INDEX(Companies!$A$3:$A$502,MATCH($J60,Companies!$AI$3:$AI$502,0)))</f>
        <v/>
      </c>
      <c r="D60" s="12" t="str">
        <f aca="false">IF($J60="","",INDEX(Companies!$AC$3:$AC$502,MATCH($J60,Companies!$AI$3:$AI$502,0)))</f>
        <v/>
      </c>
      <c r="E60" s="12" t="str">
        <f aca="false">IF($J60="","",INDEX(Companies!$AD$3:$AD$502,MATCH($J60,Companies!$AI$3:$AI$502,0)))</f>
        <v/>
      </c>
      <c r="F60" s="12" t="str">
        <f aca="false">IF($J60="","",IF(INDEX(Companies!$F$3:$F$502,MATCH($J60,Companies!$AI$3:$AI$502,0))="","(no owner)",INDEX(Companies!$F$3:$F$502,MATCH($J60,Companies!$AI$3:$AI$502,0))))</f>
        <v/>
      </c>
      <c r="G60" s="12" t="str">
        <f aca="false">IF($J60="","",IF($J60&lt;700000,"Plan the first ask (partnership type cheat sheet) and create an opportunity",IF($J60&lt;800000,IF(INDEX(Companies!$W$3:$W$502,MATCH($J60,Companies!$AI$3:$AI$502,0))="","(add a path action)",INDEX(Companies!$W$3:$W$502,MATCH($J60,Companies!$AI$3:$AI$502,0))),IF($J60&lt;900000,"Need: "&amp;INDEX(Companies!$U$3:$U$502,MATCH($J60,Companies!$AI$3:$AI$502,0)),"Decide whether to start a path"))))</f>
        <v/>
      </c>
      <c r="H60" s="12" t="str">
        <f aca="false">IF($J60="","",INDEX(Companies!$AE$3:$AE$502,MATCH($J60,Companies!$AI$3:$AI$502,0)))</f>
        <v/>
      </c>
      <c r="I60" s="14" t="str">
        <f aca="false">IF($J60="","",IF(INDEX(Companies!$AF$3:$AF$502,MATCH($J60,Companies!$AI$3:$AI$502,0))="","",INDEX(Companies!$AF$3:$AF$502,MATCH($J60,Companies!$AI$3:$AI$502,0))))</f>
        <v/>
      </c>
      <c r="J60" s="15" t="str">
        <f aca="false">IFERROR(SMALL(Companies!$AI$3:$AI$502,22),"")</f>
        <v/>
      </c>
    </row>
    <row r="61" customFormat="false" ht="15" hidden="false" customHeight="false" outlineLevel="0" collapsed="false">
      <c r="A61" s="12" t="str">
        <f aca="false">IF($J61="","",23)</f>
        <v/>
      </c>
      <c r="B61" s="12" t="str">
        <f aca="false">IF($J61="","",IF($J61&lt;700000,"Priority: no deal yet",IF($J61&lt;800000,"Building a path",IF($J61&lt;900000,"Quick win for a need","Path candidate (space for one more)"))))</f>
        <v/>
      </c>
      <c r="C61" s="12" t="str">
        <f aca="false">IF($J61="","",INDEX(Companies!$A$3:$A$502,MATCH($J61,Companies!$AI$3:$AI$502,0)))</f>
        <v/>
      </c>
      <c r="D61" s="12" t="str">
        <f aca="false">IF($J61="","",INDEX(Companies!$AC$3:$AC$502,MATCH($J61,Companies!$AI$3:$AI$502,0)))</f>
        <v/>
      </c>
      <c r="E61" s="12" t="str">
        <f aca="false">IF($J61="","",INDEX(Companies!$AD$3:$AD$502,MATCH($J61,Companies!$AI$3:$AI$502,0)))</f>
        <v/>
      </c>
      <c r="F61" s="12" t="str">
        <f aca="false">IF($J61="","",IF(INDEX(Companies!$F$3:$F$502,MATCH($J61,Companies!$AI$3:$AI$502,0))="","(no owner)",INDEX(Companies!$F$3:$F$502,MATCH($J61,Companies!$AI$3:$AI$502,0))))</f>
        <v/>
      </c>
      <c r="G61" s="12" t="str">
        <f aca="false">IF($J61="","",IF($J61&lt;700000,"Plan the first ask (partnership type cheat sheet) and create an opportunity",IF($J61&lt;800000,IF(INDEX(Companies!$W$3:$W$502,MATCH($J61,Companies!$AI$3:$AI$502,0))="","(add a path action)",INDEX(Companies!$W$3:$W$502,MATCH($J61,Companies!$AI$3:$AI$502,0))),IF($J61&lt;900000,"Need: "&amp;INDEX(Companies!$U$3:$U$502,MATCH($J61,Companies!$AI$3:$AI$502,0)),"Decide whether to start a path"))))</f>
        <v/>
      </c>
      <c r="H61" s="12" t="str">
        <f aca="false">IF($J61="","",INDEX(Companies!$AE$3:$AE$502,MATCH($J61,Companies!$AI$3:$AI$502,0)))</f>
        <v/>
      </c>
      <c r="I61" s="14" t="str">
        <f aca="false">IF($J61="","",IF(INDEX(Companies!$AF$3:$AF$502,MATCH($J61,Companies!$AI$3:$AI$502,0))="","",INDEX(Companies!$AF$3:$AF$502,MATCH($J61,Companies!$AI$3:$AI$502,0))))</f>
        <v/>
      </c>
      <c r="J61" s="15" t="str">
        <f aca="false">IFERROR(SMALL(Companies!$AI$3:$AI$502,23),"")</f>
        <v/>
      </c>
    </row>
    <row r="62" customFormat="false" ht="15" hidden="false" customHeight="false" outlineLevel="0" collapsed="false">
      <c r="A62" s="12" t="str">
        <f aca="false">IF($J62="","",24)</f>
        <v/>
      </c>
      <c r="B62" s="12" t="str">
        <f aca="false">IF($J62="","",IF($J62&lt;700000,"Priority: no deal yet",IF($J62&lt;800000,"Building a path",IF($J62&lt;900000,"Quick win for a need","Path candidate (space for one more)"))))</f>
        <v/>
      </c>
      <c r="C62" s="12" t="str">
        <f aca="false">IF($J62="","",INDEX(Companies!$A$3:$A$502,MATCH($J62,Companies!$AI$3:$AI$502,0)))</f>
        <v/>
      </c>
      <c r="D62" s="12" t="str">
        <f aca="false">IF($J62="","",INDEX(Companies!$AC$3:$AC$502,MATCH($J62,Companies!$AI$3:$AI$502,0)))</f>
        <v/>
      </c>
      <c r="E62" s="12" t="str">
        <f aca="false">IF($J62="","",INDEX(Companies!$AD$3:$AD$502,MATCH($J62,Companies!$AI$3:$AI$502,0)))</f>
        <v/>
      </c>
      <c r="F62" s="12" t="str">
        <f aca="false">IF($J62="","",IF(INDEX(Companies!$F$3:$F$502,MATCH($J62,Companies!$AI$3:$AI$502,0))="","(no owner)",INDEX(Companies!$F$3:$F$502,MATCH($J62,Companies!$AI$3:$AI$502,0))))</f>
        <v/>
      </c>
      <c r="G62" s="12" t="str">
        <f aca="false">IF($J62="","",IF($J62&lt;700000,"Plan the first ask (partnership type cheat sheet) and create an opportunity",IF($J62&lt;800000,IF(INDEX(Companies!$W$3:$W$502,MATCH($J62,Companies!$AI$3:$AI$502,0))="","(add a path action)",INDEX(Companies!$W$3:$W$502,MATCH($J62,Companies!$AI$3:$AI$502,0))),IF($J62&lt;900000,"Need: "&amp;INDEX(Companies!$U$3:$U$502,MATCH($J62,Companies!$AI$3:$AI$502,0)),"Decide whether to start a path"))))</f>
        <v/>
      </c>
      <c r="H62" s="12" t="str">
        <f aca="false">IF($J62="","",INDEX(Companies!$AE$3:$AE$502,MATCH($J62,Companies!$AI$3:$AI$502,0)))</f>
        <v/>
      </c>
      <c r="I62" s="14" t="str">
        <f aca="false">IF($J62="","",IF(INDEX(Companies!$AF$3:$AF$502,MATCH($J62,Companies!$AI$3:$AI$502,0))="","",INDEX(Companies!$AF$3:$AF$502,MATCH($J62,Companies!$AI$3:$AI$502,0))))</f>
        <v/>
      </c>
      <c r="J62" s="15" t="str">
        <f aca="false">IFERROR(SMALL(Companies!$AI$3:$AI$502,24),"")</f>
        <v/>
      </c>
    </row>
    <row r="63" customFormat="false" ht="15" hidden="false" customHeight="false" outlineLevel="0" collapsed="false">
      <c r="A63" s="12" t="str">
        <f aca="false">IF($J63="","",25)</f>
        <v/>
      </c>
      <c r="B63" s="12" t="str">
        <f aca="false">IF($J63="","",IF($J63&lt;700000,"Priority: no deal yet",IF($J63&lt;800000,"Building a path",IF($J63&lt;900000,"Quick win for a need","Path candidate (space for one more)"))))</f>
        <v/>
      </c>
      <c r="C63" s="12" t="str">
        <f aca="false">IF($J63="","",INDEX(Companies!$A$3:$A$502,MATCH($J63,Companies!$AI$3:$AI$502,0)))</f>
        <v/>
      </c>
      <c r="D63" s="12" t="str">
        <f aca="false">IF($J63="","",INDEX(Companies!$AC$3:$AC$502,MATCH($J63,Companies!$AI$3:$AI$502,0)))</f>
        <v/>
      </c>
      <c r="E63" s="12" t="str">
        <f aca="false">IF($J63="","",INDEX(Companies!$AD$3:$AD$502,MATCH($J63,Companies!$AI$3:$AI$502,0)))</f>
        <v/>
      </c>
      <c r="F63" s="12" t="str">
        <f aca="false">IF($J63="","",IF(INDEX(Companies!$F$3:$F$502,MATCH($J63,Companies!$AI$3:$AI$502,0))="","(no owner)",INDEX(Companies!$F$3:$F$502,MATCH($J63,Companies!$AI$3:$AI$502,0))))</f>
        <v/>
      </c>
      <c r="G63" s="12" t="str">
        <f aca="false">IF($J63="","",IF($J63&lt;700000,"Plan the first ask (partnership type cheat sheet) and create an opportunity",IF($J63&lt;800000,IF(INDEX(Companies!$W$3:$W$502,MATCH($J63,Companies!$AI$3:$AI$502,0))="","(add a path action)",INDEX(Companies!$W$3:$W$502,MATCH($J63,Companies!$AI$3:$AI$502,0))),IF($J63&lt;900000,"Need: "&amp;INDEX(Companies!$U$3:$U$502,MATCH($J63,Companies!$AI$3:$AI$502,0)),"Decide whether to start a path"))))</f>
        <v/>
      </c>
      <c r="H63" s="12" t="str">
        <f aca="false">IF($J63="","",INDEX(Companies!$AE$3:$AE$502,MATCH($J63,Companies!$AI$3:$AI$502,0)))</f>
        <v/>
      </c>
      <c r="I63" s="14" t="str">
        <f aca="false">IF($J63="","",IF(INDEX(Companies!$AF$3:$AF$502,MATCH($J63,Companies!$AI$3:$AI$502,0))="","",INDEX(Companies!$AF$3:$AF$502,MATCH($J63,Companies!$AI$3:$AI$502,0))))</f>
        <v/>
      </c>
      <c r="J63" s="15" t="str">
        <f aca="false">IFERROR(SMALL(Companies!$AI$3:$AI$502,25),"")</f>
        <v/>
      </c>
    </row>
    <row r="64" customFormat="false" ht="15" hidden="false" customHeight="false" outlineLevel="0" collapsed="false">
      <c r="A64" s="12" t="str">
        <f aca="false">IF($J64="","",26)</f>
        <v/>
      </c>
      <c r="B64" s="12" t="str">
        <f aca="false">IF($J64="","",IF($J64&lt;700000,"Priority: no deal yet",IF($J64&lt;800000,"Building a path",IF($J64&lt;900000,"Quick win for a need","Path candidate (space for one more)"))))</f>
        <v/>
      </c>
      <c r="C64" s="12" t="str">
        <f aca="false">IF($J64="","",INDEX(Companies!$A$3:$A$502,MATCH($J64,Companies!$AI$3:$AI$502,0)))</f>
        <v/>
      </c>
      <c r="D64" s="12" t="str">
        <f aca="false">IF($J64="","",INDEX(Companies!$AC$3:$AC$502,MATCH($J64,Companies!$AI$3:$AI$502,0)))</f>
        <v/>
      </c>
      <c r="E64" s="12" t="str">
        <f aca="false">IF($J64="","",INDEX(Companies!$AD$3:$AD$502,MATCH($J64,Companies!$AI$3:$AI$502,0)))</f>
        <v/>
      </c>
      <c r="F64" s="12" t="str">
        <f aca="false">IF($J64="","",IF(INDEX(Companies!$F$3:$F$502,MATCH($J64,Companies!$AI$3:$AI$502,0))="","(no owner)",INDEX(Companies!$F$3:$F$502,MATCH($J64,Companies!$AI$3:$AI$502,0))))</f>
        <v/>
      </c>
      <c r="G64" s="12" t="str">
        <f aca="false">IF($J64="","",IF($J64&lt;700000,"Plan the first ask (partnership type cheat sheet) and create an opportunity",IF($J64&lt;800000,IF(INDEX(Companies!$W$3:$W$502,MATCH($J64,Companies!$AI$3:$AI$502,0))="","(add a path action)",INDEX(Companies!$W$3:$W$502,MATCH($J64,Companies!$AI$3:$AI$502,0))),IF($J64&lt;900000,"Need: "&amp;INDEX(Companies!$U$3:$U$502,MATCH($J64,Companies!$AI$3:$AI$502,0)),"Decide whether to start a path"))))</f>
        <v/>
      </c>
      <c r="H64" s="12" t="str">
        <f aca="false">IF($J64="","",INDEX(Companies!$AE$3:$AE$502,MATCH($J64,Companies!$AI$3:$AI$502,0)))</f>
        <v/>
      </c>
      <c r="I64" s="14" t="str">
        <f aca="false">IF($J64="","",IF(INDEX(Companies!$AF$3:$AF$502,MATCH($J64,Companies!$AI$3:$AI$502,0))="","",INDEX(Companies!$AF$3:$AF$502,MATCH($J64,Companies!$AI$3:$AI$502,0))))</f>
        <v/>
      </c>
      <c r="J64" s="15" t="str">
        <f aca="false">IFERROR(SMALL(Companies!$AI$3:$AI$502,26),"")</f>
        <v/>
      </c>
    </row>
    <row r="65" customFormat="false" ht="15" hidden="false" customHeight="false" outlineLevel="0" collapsed="false">
      <c r="A65" s="12" t="str">
        <f aca="false">IF($J65="","",27)</f>
        <v/>
      </c>
      <c r="B65" s="12" t="str">
        <f aca="false">IF($J65="","",IF($J65&lt;700000,"Priority: no deal yet",IF($J65&lt;800000,"Building a path",IF($J65&lt;900000,"Quick win for a need","Path candidate (space for one more)"))))</f>
        <v/>
      </c>
      <c r="C65" s="12" t="str">
        <f aca="false">IF($J65="","",INDEX(Companies!$A$3:$A$502,MATCH($J65,Companies!$AI$3:$AI$502,0)))</f>
        <v/>
      </c>
      <c r="D65" s="12" t="str">
        <f aca="false">IF($J65="","",INDEX(Companies!$AC$3:$AC$502,MATCH($J65,Companies!$AI$3:$AI$502,0)))</f>
        <v/>
      </c>
      <c r="E65" s="12" t="str">
        <f aca="false">IF($J65="","",INDEX(Companies!$AD$3:$AD$502,MATCH($J65,Companies!$AI$3:$AI$502,0)))</f>
        <v/>
      </c>
      <c r="F65" s="12" t="str">
        <f aca="false">IF($J65="","",IF(INDEX(Companies!$F$3:$F$502,MATCH($J65,Companies!$AI$3:$AI$502,0))="","(no owner)",INDEX(Companies!$F$3:$F$502,MATCH($J65,Companies!$AI$3:$AI$502,0))))</f>
        <v/>
      </c>
      <c r="G65" s="12" t="str">
        <f aca="false">IF($J65="","",IF($J65&lt;700000,"Plan the first ask (partnership type cheat sheet) and create an opportunity",IF($J65&lt;800000,IF(INDEX(Companies!$W$3:$W$502,MATCH($J65,Companies!$AI$3:$AI$502,0))="","(add a path action)",INDEX(Companies!$W$3:$W$502,MATCH($J65,Companies!$AI$3:$AI$502,0))),IF($J65&lt;900000,"Need: "&amp;INDEX(Companies!$U$3:$U$502,MATCH($J65,Companies!$AI$3:$AI$502,0)),"Decide whether to start a path"))))</f>
        <v/>
      </c>
      <c r="H65" s="12" t="str">
        <f aca="false">IF($J65="","",INDEX(Companies!$AE$3:$AE$502,MATCH($J65,Companies!$AI$3:$AI$502,0)))</f>
        <v/>
      </c>
      <c r="I65" s="14" t="str">
        <f aca="false">IF($J65="","",IF(INDEX(Companies!$AF$3:$AF$502,MATCH($J65,Companies!$AI$3:$AI$502,0))="","",INDEX(Companies!$AF$3:$AF$502,MATCH($J65,Companies!$AI$3:$AI$502,0))))</f>
        <v/>
      </c>
      <c r="J65" s="15" t="str">
        <f aca="false">IFERROR(SMALL(Companies!$AI$3:$AI$502,27),"")</f>
        <v/>
      </c>
    </row>
    <row r="66" customFormat="false" ht="15" hidden="false" customHeight="false" outlineLevel="0" collapsed="false">
      <c r="A66" s="12" t="str">
        <f aca="false">IF($J66="","",28)</f>
        <v/>
      </c>
      <c r="B66" s="12" t="str">
        <f aca="false">IF($J66="","",IF($J66&lt;700000,"Priority: no deal yet",IF($J66&lt;800000,"Building a path",IF($J66&lt;900000,"Quick win for a need","Path candidate (space for one more)"))))</f>
        <v/>
      </c>
      <c r="C66" s="12" t="str">
        <f aca="false">IF($J66="","",INDEX(Companies!$A$3:$A$502,MATCH($J66,Companies!$AI$3:$AI$502,0)))</f>
        <v/>
      </c>
      <c r="D66" s="12" t="str">
        <f aca="false">IF($J66="","",INDEX(Companies!$AC$3:$AC$502,MATCH($J66,Companies!$AI$3:$AI$502,0)))</f>
        <v/>
      </c>
      <c r="E66" s="12" t="str">
        <f aca="false">IF($J66="","",INDEX(Companies!$AD$3:$AD$502,MATCH($J66,Companies!$AI$3:$AI$502,0)))</f>
        <v/>
      </c>
      <c r="F66" s="12" t="str">
        <f aca="false">IF($J66="","",IF(INDEX(Companies!$F$3:$F$502,MATCH($J66,Companies!$AI$3:$AI$502,0))="","(no owner)",INDEX(Companies!$F$3:$F$502,MATCH($J66,Companies!$AI$3:$AI$502,0))))</f>
        <v/>
      </c>
      <c r="G66" s="12" t="str">
        <f aca="false">IF($J66="","",IF($J66&lt;700000,"Plan the first ask (partnership type cheat sheet) and create an opportunity",IF($J66&lt;800000,IF(INDEX(Companies!$W$3:$W$502,MATCH($J66,Companies!$AI$3:$AI$502,0))="","(add a path action)",INDEX(Companies!$W$3:$W$502,MATCH($J66,Companies!$AI$3:$AI$502,0))),IF($J66&lt;900000,"Need: "&amp;INDEX(Companies!$U$3:$U$502,MATCH($J66,Companies!$AI$3:$AI$502,0)),"Decide whether to start a path"))))</f>
        <v/>
      </c>
      <c r="H66" s="12" t="str">
        <f aca="false">IF($J66="","",INDEX(Companies!$AE$3:$AE$502,MATCH($J66,Companies!$AI$3:$AI$502,0)))</f>
        <v/>
      </c>
      <c r="I66" s="14" t="str">
        <f aca="false">IF($J66="","",IF(INDEX(Companies!$AF$3:$AF$502,MATCH($J66,Companies!$AI$3:$AI$502,0))="","",INDEX(Companies!$AF$3:$AF$502,MATCH($J66,Companies!$AI$3:$AI$502,0))))</f>
        <v/>
      </c>
      <c r="J66" s="15" t="str">
        <f aca="false">IFERROR(SMALL(Companies!$AI$3:$AI$502,28),"")</f>
        <v/>
      </c>
    </row>
    <row r="67" customFormat="false" ht="15" hidden="false" customHeight="false" outlineLevel="0" collapsed="false">
      <c r="A67" s="12" t="str">
        <f aca="false">IF($J67="","",29)</f>
        <v/>
      </c>
      <c r="B67" s="12" t="str">
        <f aca="false">IF($J67="","",IF($J67&lt;700000,"Priority: no deal yet",IF($J67&lt;800000,"Building a path",IF($J67&lt;900000,"Quick win for a need","Path candidate (space for one more)"))))</f>
        <v/>
      </c>
      <c r="C67" s="12" t="str">
        <f aca="false">IF($J67="","",INDEX(Companies!$A$3:$A$502,MATCH($J67,Companies!$AI$3:$AI$502,0)))</f>
        <v/>
      </c>
      <c r="D67" s="12" t="str">
        <f aca="false">IF($J67="","",INDEX(Companies!$AC$3:$AC$502,MATCH($J67,Companies!$AI$3:$AI$502,0)))</f>
        <v/>
      </c>
      <c r="E67" s="12" t="str">
        <f aca="false">IF($J67="","",INDEX(Companies!$AD$3:$AD$502,MATCH($J67,Companies!$AI$3:$AI$502,0)))</f>
        <v/>
      </c>
      <c r="F67" s="12" t="str">
        <f aca="false">IF($J67="","",IF(INDEX(Companies!$F$3:$F$502,MATCH($J67,Companies!$AI$3:$AI$502,0))="","(no owner)",INDEX(Companies!$F$3:$F$502,MATCH($J67,Companies!$AI$3:$AI$502,0))))</f>
        <v/>
      </c>
      <c r="G67" s="12" t="str">
        <f aca="false">IF($J67="","",IF($J67&lt;700000,"Plan the first ask (partnership type cheat sheet) and create an opportunity",IF($J67&lt;800000,IF(INDEX(Companies!$W$3:$W$502,MATCH($J67,Companies!$AI$3:$AI$502,0))="","(add a path action)",INDEX(Companies!$W$3:$W$502,MATCH($J67,Companies!$AI$3:$AI$502,0))),IF($J67&lt;900000,"Need: "&amp;INDEX(Companies!$U$3:$U$502,MATCH($J67,Companies!$AI$3:$AI$502,0)),"Decide whether to start a path"))))</f>
        <v/>
      </c>
      <c r="H67" s="12" t="str">
        <f aca="false">IF($J67="","",INDEX(Companies!$AE$3:$AE$502,MATCH($J67,Companies!$AI$3:$AI$502,0)))</f>
        <v/>
      </c>
      <c r="I67" s="14" t="str">
        <f aca="false">IF($J67="","",IF(INDEX(Companies!$AF$3:$AF$502,MATCH($J67,Companies!$AI$3:$AI$502,0))="","",INDEX(Companies!$AF$3:$AF$502,MATCH($J67,Companies!$AI$3:$AI$502,0))))</f>
        <v/>
      </c>
      <c r="J67" s="15" t="str">
        <f aca="false">IFERROR(SMALL(Companies!$AI$3:$AI$502,29),"")</f>
        <v/>
      </c>
    </row>
    <row r="68" customFormat="false" ht="15" hidden="false" customHeight="false" outlineLevel="0" collapsed="false">
      <c r="A68" s="12" t="str">
        <f aca="false">IF($J68="","",30)</f>
        <v/>
      </c>
      <c r="B68" s="12" t="str">
        <f aca="false">IF($J68="","",IF($J68&lt;700000,"Priority: no deal yet",IF($J68&lt;800000,"Building a path",IF($J68&lt;900000,"Quick win for a need","Path candidate (space for one more)"))))</f>
        <v/>
      </c>
      <c r="C68" s="12" t="str">
        <f aca="false">IF($J68="","",INDEX(Companies!$A$3:$A$502,MATCH($J68,Companies!$AI$3:$AI$502,0)))</f>
        <v/>
      </c>
      <c r="D68" s="12" t="str">
        <f aca="false">IF($J68="","",INDEX(Companies!$AC$3:$AC$502,MATCH($J68,Companies!$AI$3:$AI$502,0)))</f>
        <v/>
      </c>
      <c r="E68" s="12" t="str">
        <f aca="false">IF($J68="","",INDEX(Companies!$AD$3:$AD$502,MATCH($J68,Companies!$AI$3:$AI$502,0)))</f>
        <v/>
      </c>
      <c r="F68" s="12" t="str">
        <f aca="false">IF($J68="","",IF(INDEX(Companies!$F$3:$F$502,MATCH($J68,Companies!$AI$3:$AI$502,0))="","(no owner)",INDEX(Companies!$F$3:$F$502,MATCH($J68,Companies!$AI$3:$AI$502,0))))</f>
        <v/>
      </c>
      <c r="G68" s="12" t="str">
        <f aca="false">IF($J68="","",IF($J68&lt;700000,"Plan the first ask (partnership type cheat sheet) and create an opportunity",IF($J68&lt;800000,IF(INDEX(Companies!$W$3:$W$502,MATCH($J68,Companies!$AI$3:$AI$502,0))="","(add a path action)",INDEX(Companies!$W$3:$W$502,MATCH($J68,Companies!$AI$3:$AI$502,0))),IF($J68&lt;900000,"Need: "&amp;INDEX(Companies!$U$3:$U$502,MATCH($J68,Companies!$AI$3:$AI$502,0)),"Decide whether to start a path"))))</f>
        <v/>
      </c>
      <c r="H68" s="12" t="str">
        <f aca="false">IF($J68="","",INDEX(Companies!$AE$3:$AE$502,MATCH($J68,Companies!$AI$3:$AI$502,0)))</f>
        <v/>
      </c>
      <c r="I68" s="14" t="str">
        <f aca="false">IF($J68="","",IF(INDEX(Companies!$AF$3:$AF$502,MATCH($J68,Companies!$AI$3:$AI$502,0))="","",INDEX(Companies!$AF$3:$AF$502,MATCH($J68,Companies!$AI$3:$AI$502,0))))</f>
        <v/>
      </c>
      <c r="J68" s="15" t="str">
        <f aca="false">IFERROR(SMALL(Companies!$AI$3:$AI$502,30),"")</f>
        <v/>
      </c>
    </row>
  </sheetData>
  <mergeCells count="1">
    <mergeCell ref="A2:H2"/>
  </mergeCells>
  <conditionalFormatting sqref="B6:B35">
    <cfRule type="expression" priority="2" aboveAverage="0" equalAverage="0" bottom="0" percent="0" rank="0" text="" dxfId="0">
      <formula>OR($B6="Overdue",$B6="No reply",$B6="Missing next action")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7" t="s">
        <v>40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>
      <c r="A2" s="9" t="str">
        <f aca="false">"Semester: "&amp;S_SemesterLabel&amp;" ("&amp;TEXT(S_SemStart,"d mmm yyyy")&amp;" – "&amp;TEXT(S_SemEnd,"d mmm yyyy")&amp;") · counts and recorded amounts only"</f>
        <v>Semester: Example semester (13 Aug 2026 – 9 Feb 2027) · counts and recorded amounts only</v>
      </c>
      <c r="B2" s="9"/>
      <c r="C2" s="9"/>
      <c r="D2" s="9"/>
      <c r="E2" s="9"/>
      <c r="F2" s="9"/>
      <c r="G2" s="8"/>
      <c r="H2" s="8"/>
      <c r="I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10" t="s">
        <v>41</v>
      </c>
      <c r="B4" s="8"/>
      <c r="C4" s="8"/>
      <c r="D4" s="10" t="s">
        <v>42</v>
      </c>
      <c r="E4" s="8"/>
      <c r="F4" s="8"/>
      <c r="G4" s="8"/>
      <c r="H4" s="8"/>
      <c r="I4" s="8"/>
    </row>
    <row r="5" customFormat="false" ht="15" hidden="false" customHeight="false" outlineLevel="0" collapsed="false">
      <c r="A5" s="16" t="s">
        <v>43</v>
      </c>
      <c r="B5" s="17" t="n">
        <f aca="false">COUNTIF(Companies!$AE$3:$AE$502,"Priority")</f>
        <v>2</v>
      </c>
      <c r="C5" s="8"/>
      <c r="D5" s="11" t="s">
        <v>26</v>
      </c>
      <c r="E5" s="11" t="s">
        <v>27</v>
      </c>
      <c r="F5" s="11" t="s">
        <v>44</v>
      </c>
      <c r="G5" s="11" t="s">
        <v>45</v>
      </c>
      <c r="H5" s="11" t="s">
        <v>32</v>
      </c>
      <c r="I5" s="11" t="s">
        <v>46</v>
      </c>
    </row>
    <row r="6" customFormat="false" ht="15" hidden="false" customHeight="false" outlineLevel="0" collapsed="false">
      <c r="A6" s="16" t="s">
        <v>47</v>
      </c>
      <c r="B6" s="17" t="n">
        <f aca="false">COUNTIF(Companies!$AE$3:$AE$502,"Build a Path")</f>
        <v>1</v>
      </c>
      <c r="C6" s="8"/>
      <c r="D6" s="12" t="str">
        <f aca="false">IF(COUNT(Opportunities!$AB$3:$AB$502)&lt;1,"",IFERROR(IF(INDEX(Opportunities!$A$3:$A$502,MATCH(IFERROR(SMALL(Opportunities!$AB$3:$AB$502,1),""),Opportunities!$AB$3:$AB$502,0))="","",INDEX(Opportunities!$A$3:$A$502,MATCH(IFERROR(SMALL(Opportunities!$AB$3:$AB$502,1),""),Opportunities!$AB$3:$AB$502,0))),""))</f>
        <v>Søby Foods (example)</v>
      </c>
      <c r="E6" s="12" t="str">
        <f aca="false">IF(COUNT(Opportunities!$AB$3:$AB$502)&lt;1,"",IFERROR(IF(INDEX(Opportunities!$B$3:$B$502,MATCH(IFERROR(SMALL(Opportunities!$AB$3:$AB$502,1),""),Opportunities!$AB$3:$AB$502,0))="","",INDEX(Opportunities!$B$3:$B$502,MATCH(IFERROR(SMALL(Opportunities!$AB$3:$AB$502,1),""),Opportunities!$AB$3:$AB$502,0))),""))</f>
        <v>Event sponsor</v>
      </c>
      <c r="F6" s="18" t="n">
        <f aca="false">IF(COUNT(Opportunities!$AB$3:$AB$502)&lt;1,"",IFERROR(IF(INDEX(Opportunities!$J$3:$J$502,MATCH(IFERROR(SMALL(Opportunities!$AB$3:$AB$502,1),""),Opportunities!$AB$3:$AB$502,0))="","",INDEX(Opportunities!$J$3:$J$502,MATCH(IFERROR(SMALL(Opportunities!$AB$3:$AB$502,1),""),Opportunities!$AB$3:$AB$502,0))),""))</f>
        <v>8000</v>
      </c>
      <c r="G6" s="12" t="str">
        <f aca="false">IF(COUNT(Opportunities!$AB$3:$AB$502)&lt;1,"",IFERROR(IF(INDEX(Opportunities!$K$3:$K$502,MATCH(IFERROR(SMALL(Opportunities!$AB$3:$AB$502,1),""),Opportunities!$AB$3:$AB$502,0))="","",INDEX(Opportunities!$K$3:$K$502,MATCH(IFERROR(SMALL(Opportunities!$AB$3:$AB$502,1),""),Opportunities!$AB$3:$AB$502,0))),""))</f>
        <v/>
      </c>
      <c r="H6" s="14" t="n">
        <f aca="false">IF(COUNT(Opportunities!$AB$3:$AB$502)&lt;1,"",IFERROR(IF(INDEX(Opportunities!$P$3:$P$502,MATCH(IFERROR(SMALL(Opportunities!$AB$3:$AB$502,1),""),Opportunities!$AB$3:$AB$502,0))="","",INDEX(Opportunities!$P$3:$P$502,MATCH(IFERROR(SMALL(Opportunities!$AB$3:$AB$502,1),""),Opportunities!$AB$3:$AB$502,0))),""))</f>
        <v>46607</v>
      </c>
      <c r="I6" s="12" t="str">
        <f aca="false">IF(COUNT(Opportunities!$AB$3:$AB$502)&lt;1,"",IFERROR(IF(INDEX(Opportunities!$Q$3:$Q$502,MATCH(IFERROR(SMALL(Opportunities!$AB$3:$AB$502,1),""),Opportunities!$AB$3:$AB$502,0))="","",INDEX(Opportunities!$Q$3:$Q$502,MATCH(IFERROR(SMALL(Opportunities!$AB$3:$AB$502,1),""),Opportunities!$AB$3:$AB$502,0))),""))</f>
        <v>Unknown</v>
      </c>
    </row>
    <row r="7" customFormat="false" ht="15" hidden="false" customHeight="false" outlineLevel="0" collapsed="false">
      <c r="A7" s="16" t="s">
        <v>48</v>
      </c>
      <c r="B7" s="17" t="n">
        <f aca="false">COUNTIF(Companies!$AE$3:$AE$502,"Quick Win")</f>
        <v>2</v>
      </c>
      <c r="C7" s="8"/>
      <c r="D7" s="12" t="str">
        <f aca="false">IF(COUNT(Opportunities!$AB$3:$AB$502)&lt;2,"",IFERROR(IF(INDEX(Opportunities!$A$3:$A$502,MATCH(IFERROR(SMALL(Opportunities!$AB$3:$AB$502,2),""),Opportunities!$AB$3:$AB$502,0))="","",INDEX(Opportunities!$A$3:$A$502,MATCH(IFERROR(SMALL(Opportunities!$AB$3:$AB$502,2),""),Opportunities!$AB$3:$AB$502,0))),""))</f>
        <v/>
      </c>
      <c r="E7" s="12" t="str">
        <f aca="false">IF(COUNT(Opportunities!$AB$3:$AB$502)&lt;2,"",IFERROR(IF(INDEX(Opportunities!$B$3:$B$502,MATCH(IFERROR(SMALL(Opportunities!$AB$3:$AB$502,2),""),Opportunities!$AB$3:$AB$502,0))="","",INDEX(Opportunities!$B$3:$B$502,MATCH(IFERROR(SMALL(Opportunities!$AB$3:$AB$502,2),""),Opportunities!$AB$3:$AB$502,0))),""))</f>
        <v/>
      </c>
      <c r="F7" s="18" t="str">
        <f aca="false">IF(COUNT(Opportunities!$AB$3:$AB$502)&lt;2,"",IFERROR(IF(INDEX(Opportunities!$J$3:$J$502,MATCH(IFERROR(SMALL(Opportunities!$AB$3:$AB$502,2),""),Opportunities!$AB$3:$AB$502,0))="","",INDEX(Opportunities!$J$3:$J$502,MATCH(IFERROR(SMALL(Opportunities!$AB$3:$AB$502,2),""),Opportunities!$AB$3:$AB$502,0))),""))</f>
        <v/>
      </c>
      <c r="G7" s="12" t="str">
        <f aca="false">IF(COUNT(Opportunities!$AB$3:$AB$502)&lt;2,"",IFERROR(IF(INDEX(Opportunities!$K$3:$K$502,MATCH(IFERROR(SMALL(Opportunities!$AB$3:$AB$502,2),""),Opportunities!$AB$3:$AB$502,0))="","",INDEX(Opportunities!$K$3:$K$502,MATCH(IFERROR(SMALL(Opportunities!$AB$3:$AB$502,2),""),Opportunities!$AB$3:$AB$502,0))),""))</f>
        <v/>
      </c>
      <c r="H7" s="14" t="str">
        <f aca="false">IF(COUNT(Opportunities!$AB$3:$AB$502)&lt;2,"",IFERROR(IF(INDEX(Opportunities!$P$3:$P$502,MATCH(IFERROR(SMALL(Opportunities!$AB$3:$AB$502,2),""),Opportunities!$AB$3:$AB$502,0))="","",INDEX(Opportunities!$P$3:$P$502,MATCH(IFERROR(SMALL(Opportunities!$AB$3:$AB$502,2),""),Opportunities!$AB$3:$AB$502,0))),""))</f>
        <v/>
      </c>
      <c r="I7" s="12" t="str">
        <f aca="false">IF(COUNT(Opportunities!$AB$3:$AB$502)&lt;2,"",IFERROR(IF(INDEX(Opportunities!$Q$3:$Q$502,MATCH(IFERROR(SMALL(Opportunities!$AB$3:$AB$502,2),""),Opportunities!$AB$3:$AB$502,0))="","",INDEX(Opportunities!$Q$3:$Q$502,MATCH(IFERROR(SMALL(Opportunities!$AB$3:$AB$502,2),""),Opportunities!$AB$3:$AB$502,0))),""))</f>
        <v/>
      </c>
    </row>
    <row r="8" customFormat="false" ht="15" hidden="false" customHeight="false" outlineLevel="0" collapsed="false">
      <c r="A8" s="16" t="s">
        <v>49</v>
      </c>
      <c r="B8" s="17" t="n">
        <f aca="false">COUNTIF(Companies!$AE$3:$AE$502,"Low Priority")</f>
        <v>1</v>
      </c>
      <c r="C8" s="8"/>
      <c r="D8" s="12" t="str">
        <f aca="false">IF(COUNT(Opportunities!$AB$3:$AB$502)&lt;3,"",IFERROR(IF(INDEX(Opportunities!$A$3:$A$502,MATCH(IFERROR(SMALL(Opportunities!$AB$3:$AB$502,3),""),Opportunities!$AB$3:$AB$502,0))="","",INDEX(Opportunities!$A$3:$A$502,MATCH(IFERROR(SMALL(Opportunities!$AB$3:$AB$502,3),""),Opportunities!$AB$3:$AB$502,0))),""))</f>
        <v/>
      </c>
      <c r="E8" s="12" t="str">
        <f aca="false">IF(COUNT(Opportunities!$AB$3:$AB$502)&lt;3,"",IFERROR(IF(INDEX(Opportunities!$B$3:$B$502,MATCH(IFERROR(SMALL(Opportunities!$AB$3:$AB$502,3),""),Opportunities!$AB$3:$AB$502,0))="","",INDEX(Opportunities!$B$3:$B$502,MATCH(IFERROR(SMALL(Opportunities!$AB$3:$AB$502,3),""),Opportunities!$AB$3:$AB$502,0))),""))</f>
        <v/>
      </c>
      <c r="F8" s="18" t="str">
        <f aca="false">IF(COUNT(Opportunities!$AB$3:$AB$502)&lt;3,"",IFERROR(IF(INDEX(Opportunities!$J$3:$J$502,MATCH(IFERROR(SMALL(Opportunities!$AB$3:$AB$502,3),""),Opportunities!$AB$3:$AB$502,0))="","",INDEX(Opportunities!$J$3:$J$502,MATCH(IFERROR(SMALL(Opportunities!$AB$3:$AB$502,3),""),Opportunities!$AB$3:$AB$502,0))),""))</f>
        <v/>
      </c>
      <c r="G8" s="12" t="str">
        <f aca="false">IF(COUNT(Opportunities!$AB$3:$AB$502)&lt;3,"",IFERROR(IF(INDEX(Opportunities!$K$3:$K$502,MATCH(IFERROR(SMALL(Opportunities!$AB$3:$AB$502,3),""),Opportunities!$AB$3:$AB$502,0))="","",INDEX(Opportunities!$K$3:$K$502,MATCH(IFERROR(SMALL(Opportunities!$AB$3:$AB$502,3),""),Opportunities!$AB$3:$AB$502,0))),""))</f>
        <v/>
      </c>
      <c r="H8" s="14" t="str">
        <f aca="false">IF(COUNT(Opportunities!$AB$3:$AB$502)&lt;3,"",IFERROR(IF(INDEX(Opportunities!$P$3:$P$502,MATCH(IFERROR(SMALL(Opportunities!$AB$3:$AB$502,3),""),Opportunities!$AB$3:$AB$502,0))="","",INDEX(Opportunities!$P$3:$P$502,MATCH(IFERROR(SMALL(Opportunities!$AB$3:$AB$502,3),""),Opportunities!$AB$3:$AB$502,0))),""))</f>
        <v/>
      </c>
      <c r="I8" s="12" t="str">
        <f aca="false">IF(COUNT(Opportunities!$AB$3:$AB$502)&lt;3,"",IFERROR(IF(INDEX(Opportunities!$Q$3:$Q$502,MATCH(IFERROR(SMALL(Opportunities!$AB$3:$AB$502,3),""),Opportunities!$AB$3:$AB$502,0))="","",INDEX(Opportunities!$Q$3:$Q$502,MATCH(IFERROR(SMALL(Opportunities!$AB$3:$AB$502,3),""),Opportunities!$AB$3:$AB$502,0))),""))</f>
        <v/>
      </c>
    </row>
    <row r="9" customFormat="false" ht="15" hidden="false" customHeight="false" outlineLevel="0" collapsed="false">
      <c r="A9" s="16" t="s">
        <v>50</v>
      </c>
      <c r="B9" s="17" t="n">
        <f aca="false">COUNTIF(Companies!$AE$3:$AE$502,"Research")</f>
        <v>2</v>
      </c>
      <c r="C9" s="8"/>
      <c r="D9" s="12" t="str">
        <f aca="false">IF(COUNT(Opportunities!$AB$3:$AB$502)&lt;4,"",IFERROR(IF(INDEX(Opportunities!$A$3:$A$502,MATCH(IFERROR(SMALL(Opportunities!$AB$3:$AB$502,4),""),Opportunities!$AB$3:$AB$502,0))="","",INDEX(Opportunities!$A$3:$A$502,MATCH(IFERROR(SMALL(Opportunities!$AB$3:$AB$502,4),""),Opportunities!$AB$3:$AB$502,0))),""))</f>
        <v/>
      </c>
      <c r="E9" s="12" t="str">
        <f aca="false">IF(COUNT(Opportunities!$AB$3:$AB$502)&lt;4,"",IFERROR(IF(INDEX(Opportunities!$B$3:$B$502,MATCH(IFERROR(SMALL(Opportunities!$AB$3:$AB$502,4),""),Opportunities!$AB$3:$AB$502,0))="","",INDEX(Opportunities!$B$3:$B$502,MATCH(IFERROR(SMALL(Opportunities!$AB$3:$AB$502,4),""),Opportunities!$AB$3:$AB$502,0))),""))</f>
        <v/>
      </c>
      <c r="F9" s="18" t="str">
        <f aca="false">IF(COUNT(Opportunities!$AB$3:$AB$502)&lt;4,"",IFERROR(IF(INDEX(Opportunities!$J$3:$J$502,MATCH(IFERROR(SMALL(Opportunities!$AB$3:$AB$502,4),""),Opportunities!$AB$3:$AB$502,0))="","",INDEX(Opportunities!$J$3:$J$502,MATCH(IFERROR(SMALL(Opportunities!$AB$3:$AB$502,4),""),Opportunities!$AB$3:$AB$502,0))),""))</f>
        <v/>
      </c>
      <c r="G9" s="12" t="str">
        <f aca="false">IF(COUNT(Opportunities!$AB$3:$AB$502)&lt;4,"",IFERROR(IF(INDEX(Opportunities!$K$3:$K$502,MATCH(IFERROR(SMALL(Opportunities!$AB$3:$AB$502,4),""),Opportunities!$AB$3:$AB$502,0))="","",INDEX(Opportunities!$K$3:$K$502,MATCH(IFERROR(SMALL(Opportunities!$AB$3:$AB$502,4),""),Opportunities!$AB$3:$AB$502,0))),""))</f>
        <v/>
      </c>
      <c r="H9" s="14" t="str">
        <f aca="false">IF(COUNT(Opportunities!$AB$3:$AB$502)&lt;4,"",IFERROR(IF(INDEX(Opportunities!$P$3:$P$502,MATCH(IFERROR(SMALL(Opportunities!$AB$3:$AB$502,4),""),Opportunities!$AB$3:$AB$502,0))="","",INDEX(Opportunities!$P$3:$P$502,MATCH(IFERROR(SMALL(Opportunities!$AB$3:$AB$502,4),""),Opportunities!$AB$3:$AB$502,0))),""))</f>
        <v/>
      </c>
      <c r="I9" s="12" t="str">
        <f aca="false">IF(COUNT(Opportunities!$AB$3:$AB$502)&lt;4,"",IFERROR(IF(INDEX(Opportunities!$Q$3:$Q$502,MATCH(IFERROR(SMALL(Opportunities!$AB$3:$AB$502,4),""),Opportunities!$AB$3:$AB$502,0))="","",INDEX(Opportunities!$Q$3:$Q$502,MATCH(IFERROR(SMALL(Opportunities!$AB$3:$AB$502,4),""),Opportunities!$AB$3:$AB$502,0))),""))</f>
        <v/>
      </c>
    </row>
    <row r="10" customFormat="false" ht="15" hidden="false" customHeight="false" outlineLevel="0" collapsed="false">
      <c r="A10" s="16" t="s">
        <v>51</v>
      </c>
      <c r="B10" s="17" t="str">
        <f aca="false">COUNTIF(Companies!$V$3:$V$502,"Yes")&amp;" / "&amp;S_PathCap</f>
        <v>1 / 5</v>
      </c>
      <c r="C10" s="8"/>
      <c r="D10" s="12" t="str">
        <f aca="false">IF(COUNT(Opportunities!$AB$3:$AB$502)&lt;5,"",IFERROR(IF(INDEX(Opportunities!$A$3:$A$502,MATCH(IFERROR(SMALL(Opportunities!$AB$3:$AB$502,5),""),Opportunities!$AB$3:$AB$502,0))="","",INDEX(Opportunities!$A$3:$A$502,MATCH(IFERROR(SMALL(Opportunities!$AB$3:$AB$502,5),""),Opportunities!$AB$3:$AB$502,0))),""))</f>
        <v/>
      </c>
      <c r="E10" s="12" t="str">
        <f aca="false">IF(COUNT(Opportunities!$AB$3:$AB$502)&lt;5,"",IFERROR(IF(INDEX(Opportunities!$B$3:$B$502,MATCH(IFERROR(SMALL(Opportunities!$AB$3:$AB$502,5),""),Opportunities!$AB$3:$AB$502,0))="","",INDEX(Opportunities!$B$3:$B$502,MATCH(IFERROR(SMALL(Opportunities!$AB$3:$AB$502,5),""),Opportunities!$AB$3:$AB$502,0))),""))</f>
        <v/>
      </c>
      <c r="F10" s="18" t="str">
        <f aca="false">IF(COUNT(Opportunities!$AB$3:$AB$502)&lt;5,"",IFERROR(IF(INDEX(Opportunities!$J$3:$J$502,MATCH(IFERROR(SMALL(Opportunities!$AB$3:$AB$502,5),""),Opportunities!$AB$3:$AB$502,0))="","",INDEX(Opportunities!$J$3:$J$502,MATCH(IFERROR(SMALL(Opportunities!$AB$3:$AB$502,5),""),Opportunities!$AB$3:$AB$502,0))),""))</f>
        <v/>
      </c>
      <c r="G10" s="12" t="str">
        <f aca="false">IF(COUNT(Opportunities!$AB$3:$AB$502)&lt;5,"",IFERROR(IF(INDEX(Opportunities!$K$3:$K$502,MATCH(IFERROR(SMALL(Opportunities!$AB$3:$AB$502,5),""),Opportunities!$AB$3:$AB$502,0))="","",INDEX(Opportunities!$K$3:$K$502,MATCH(IFERROR(SMALL(Opportunities!$AB$3:$AB$502,5),""),Opportunities!$AB$3:$AB$502,0))),""))</f>
        <v/>
      </c>
      <c r="H10" s="14" t="str">
        <f aca="false">IF(COUNT(Opportunities!$AB$3:$AB$502)&lt;5,"",IFERROR(IF(INDEX(Opportunities!$P$3:$P$502,MATCH(IFERROR(SMALL(Opportunities!$AB$3:$AB$502,5),""),Opportunities!$AB$3:$AB$502,0))="","",INDEX(Opportunities!$P$3:$P$502,MATCH(IFERROR(SMALL(Opportunities!$AB$3:$AB$502,5),""),Opportunities!$AB$3:$AB$502,0))),""))</f>
        <v/>
      </c>
      <c r="I10" s="12" t="str">
        <f aca="false">IF(COUNT(Opportunities!$AB$3:$AB$502)&lt;5,"",IFERROR(IF(INDEX(Opportunities!$Q$3:$Q$502,MATCH(IFERROR(SMALL(Opportunities!$AB$3:$AB$502,5),""),Opportunities!$AB$3:$AB$502,0))="","",INDEX(Opportunities!$Q$3:$Q$502,MATCH(IFERROR(SMALL(Opportunities!$AB$3:$AB$502,5),""),Opportunities!$AB$3:$AB$502,0))),""))</f>
        <v/>
      </c>
    </row>
    <row r="11" customFormat="false" ht="15" hidden="false" customHeight="false" outlineLevel="0" collapsed="false">
      <c r="A11" s="8"/>
      <c r="B11" s="8"/>
      <c r="C11" s="8"/>
      <c r="D11" s="12" t="str">
        <f aca="false">IF(COUNT(Opportunities!$AB$3:$AB$502)&lt;6,"",IFERROR(IF(INDEX(Opportunities!$A$3:$A$502,MATCH(IFERROR(SMALL(Opportunities!$AB$3:$AB$502,6),""),Opportunities!$AB$3:$AB$502,0))="","",INDEX(Opportunities!$A$3:$A$502,MATCH(IFERROR(SMALL(Opportunities!$AB$3:$AB$502,6),""),Opportunities!$AB$3:$AB$502,0))),""))</f>
        <v/>
      </c>
      <c r="E11" s="12" t="str">
        <f aca="false">IF(COUNT(Opportunities!$AB$3:$AB$502)&lt;6,"",IFERROR(IF(INDEX(Opportunities!$B$3:$B$502,MATCH(IFERROR(SMALL(Opportunities!$AB$3:$AB$502,6),""),Opportunities!$AB$3:$AB$502,0))="","",INDEX(Opportunities!$B$3:$B$502,MATCH(IFERROR(SMALL(Opportunities!$AB$3:$AB$502,6),""),Opportunities!$AB$3:$AB$502,0))),""))</f>
        <v/>
      </c>
      <c r="F11" s="18" t="str">
        <f aca="false">IF(COUNT(Opportunities!$AB$3:$AB$502)&lt;6,"",IFERROR(IF(INDEX(Opportunities!$J$3:$J$502,MATCH(IFERROR(SMALL(Opportunities!$AB$3:$AB$502,6),""),Opportunities!$AB$3:$AB$502,0))="","",INDEX(Opportunities!$J$3:$J$502,MATCH(IFERROR(SMALL(Opportunities!$AB$3:$AB$502,6),""),Opportunities!$AB$3:$AB$502,0))),""))</f>
        <v/>
      </c>
      <c r="G11" s="12" t="str">
        <f aca="false">IF(COUNT(Opportunities!$AB$3:$AB$502)&lt;6,"",IFERROR(IF(INDEX(Opportunities!$K$3:$K$502,MATCH(IFERROR(SMALL(Opportunities!$AB$3:$AB$502,6),""),Opportunities!$AB$3:$AB$502,0))="","",INDEX(Opportunities!$K$3:$K$502,MATCH(IFERROR(SMALL(Opportunities!$AB$3:$AB$502,6),""),Opportunities!$AB$3:$AB$502,0))),""))</f>
        <v/>
      </c>
      <c r="H11" s="14" t="str">
        <f aca="false">IF(COUNT(Opportunities!$AB$3:$AB$502)&lt;6,"",IFERROR(IF(INDEX(Opportunities!$P$3:$P$502,MATCH(IFERROR(SMALL(Opportunities!$AB$3:$AB$502,6),""),Opportunities!$AB$3:$AB$502,0))="","",INDEX(Opportunities!$P$3:$P$502,MATCH(IFERROR(SMALL(Opportunities!$AB$3:$AB$502,6),""),Opportunities!$AB$3:$AB$502,0))),""))</f>
        <v/>
      </c>
      <c r="I11" s="12" t="str">
        <f aca="false">IF(COUNT(Opportunities!$AB$3:$AB$502)&lt;6,"",IFERROR(IF(INDEX(Opportunities!$Q$3:$Q$502,MATCH(IFERROR(SMALL(Opportunities!$AB$3:$AB$502,6),""),Opportunities!$AB$3:$AB$502,0))="","",INDEX(Opportunities!$Q$3:$Q$502,MATCH(IFERROR(SMALL(Opportunities!$AB$3:$AB$502,6),""),Opportunities!$AB$3:$AB$502,0))),""))</f>
        <v/>
      </c>
    </row>
    <row r="12" customFormat="false" ht="15" hidden="false" customHeight="false" outlineLevel="0" collapsed="false">
      <c r="A12" s="10" t="s">
        <v>52</v>
      </c>
      <c r="B12" s="8"/>
      <c r="C12" s="8"/>
      <c r="D12" s="12" t="str">
        <f aca="false">IF(COUNT(Opportunities!$AB$3:$AB$502)&lt;7,"",IFERROR(IF(INDEX(Opportunities!$A$3:$A$502,MATCH(IFERROR(SMALL(Opportunities!$AB$3:$AB$502,7),""),Opportunities!$AB$3:$AB$502,0))="","",INDEX(Opportunities!$A$3:$A$502,MATCH(IFERROR(SMALL(Opportunities!$AB$3:$AB$502,7),""),Opportunities!$AB$3:$AB$502,0))),""))</f>
        <v/>
      </c>
      <c r="E12" s="12" t="str">
        <f aca="false">IF(COUNT(Opportunities!$AB$3:$AB$502)&lt;7,"",IFERROR(IF(INDEX(Opportunities!$B$3:$B$502,MATCH(IFERROR(SMALL(Opportunities!$AB$3:$AB$502,7),""),Opportunities!$AB$3:$AB$502,0))="","",INDEX(Opportunities!$B$3:$B$502,MATCH(IFERROR(SMALL(Opportunities!$AB$3:$AB$502,7),""),Opportunities!$AB$3:$AB$502,0))),""))</f>
        <v/>
      </c>
      <c r="F12" s="18" t="str">
        <f aca="false">IF(COUNT(Opportunities!$AB$3:$AB$502)&lt;7,"",IFERROR(IF(INDEX(Opportunities!$J$3:$J$502,MATCH(IFERROR(SMALL(Opportunities!$AB$3:$AB$502,7),""),Opportunities!$AB$3:$AB$502,0))="","",INDEX(Opportunities!$J$3:$J$502,MATCH(IFERROR(SMALL(Opportunities!$AB$3:$AB$502,7),""),Opportunities!$AB$3:$AB$502,0))),""))</f>
        <v/>
      </c>
      <c r="G12" s="12" t="str">
        <f aca="false">IF(COUNT(Opportunities!$AB$3:$AB$502)&lt;7,"",IFERROR(IF(INDEX(Opportunities!$K$3:$K$502,MATCH(IFERROR(SMALL(Opportunities!$AB$3:$AB$502,7),""),Opportunities!$AB$3:$AB$502,0))="","",INDEX(Opportunities!$K$3:$K$502,MATCH(IFERROR(SMALL(Opportunities!$AB$3:$AB$502,7),""),Opportunities!$AB$3:$AB$502,0))),""))</f>
        <v/>
      </c>
      <c r="H12" s="14" t="str">
        <f aca="false">IF(COUNT(Opportunities!$AB$3:$AB$502)&lt;7,"",IFERROR(IF(INDEX(Opportunities!$P$3:$P$502,MATCH(IFERROR(SMALL(Opportunities!$AB$3:$AB$502,7),""),Opportunities!$AB$3:$AB$502,0))="","",INDEX(Opportunities!$P$3:$P$502,MATCH(IFERROR(SMALL(Opportunities!$AB$3:$AB$502,7),""),Opportunities!$AB$3:$AB$502,0))),""))</f>
        <v/>
      </c>
      <c r="I12" s="12" t="str">
        <f aca="false">IF(COUNT(Opportunities!$AB$3:$AB$502)&lt;7,"",IFERROR(IF(INDEX(Opportunities!$Q$3:$Q$502,MATCH(IFERROR(SMALL(Opportunities!$AB$3:$AB$502,7),""),Opportunities!$AB$3:$AB$502,0))="","",INDEX(Opportunities!$Q$3:$Q$502,MATCH(IFERROR(SMALL(Opportunities!$AB$3:$AB$502,7),""),Opportunities!$AB$3:$AB$502,0))),""))</f>
        <v/>
      </c>
    </row>
    <row r="13" customFormat="false" ht="15" hidden="false" customHeight="false" outlineLevel="0" collapsed="false">
      <c r="A13" s="16" t="s">
        <v>53</v>
      </c>
      <c r="B13" s="19" t="n">
        <f aca="false">SUMIFS(Opportunities!$J$3:$J$502,Opportunities!$C$3:$C$502,"Won",Opportunities!$G$3:$G$502,"Cash",Opportunities!$V$3:$V$502,"&gt;="&amp;S_SemStart,Opportunities!$V$3:$V$502,"&lt;="&amp;S_SemEnd)</f>
        <v>8000</v>
      </c>
      <c r="C13" s="8"/>
      <c r="D13" s="12" t="str">
        <f aca="false">IF(COUNT(Opportunities!$AB$3:$AB$502)&lt;8,"",IFERROR(IF(INDEX(Opportunities!$A$3:$A$502,MATCH(IFERROR(SMALL(Opportunities!$AB$3:$AB$502,8),""),Opportunities!$AB$3:$AB$502,0))="","",INDEX(Opportunities!$A$3:$A$502,MATCH(IFERROR(SMALL(Opportunities!$AB$3:$AB$502,8),""),Opportunities!$AB$3:$AB$502,0))),""))</f>
        <v/>
      </c>
      <c r="E13" s="12" t="str">
        <f aca="false">IF(COUNT(Opportunities!$AB$3:$AB$502)&lt;8,"",IFERROR(IF(INDEX(Opportunities!$B$3:$B$502,MATCH(IFERROR(SMALL(Opportunities!$AB$3:$AB$502,8),""),Opportunities!$AB$3:$AB$502,0))="","",INDEX(Opportunities!$B$3:$B$502,MATCH(IFERROR(SMALL(Opportunities!$AB$3:$AB$502,8),""),Opportunities!$AB$3:$AB$502,0))),""))</f>
        <v/>
      </c>
      <c r="F13" s="18" t="str">
        <f aca="false">IF(COUNT(Opportunities!$AB$3:$AB$502)&lt;8,"",IFERROR(IF(INDEX(Opportunities!$J$3:$J$502,MATCH(IFERROR(SMALL(Opportunities!$AB$3:$AB$502,8),""),Opportunities!$AB$3:$AB$502,0))="","",INDEX(Opportunities!$J$3:$J$502,MATCH(IFERROR(SMALL(Opportunities!$AB$3:$AB$502,8),""),Opportunities!$AB$3:$AB$502,0))),""))</f>
        <v/>
      </c>
      <c r="G13" s="12" t="str">
        <f aca="false">IF(COUNT(Opportunities!$AB$3:$AB$502)&lt;8,"",IFERROR(IF(INDEX(Opportunities!$K$3:$K$502,MATCH(IFERROR(SMALL(Opportunities!$AB$3:$AB$502,8),""),Opportunities!$AB$3:$AB$502,0))="","",INDEX(Opportunities!$K$3:$K$502,MATCH(IFERROR(SMALL(Opportunities!$AB$3:$AB$502,8),""),Opportunities!$AB$3:$AB$502,0))),""))</f>
        <v/>
      </c>
      <c r="H13" s="14" t="str">
        <f aca="false">IF(COUNT(Opportunities!$AB$3:$AB$502)&lt;8,"",IFERROR(IF(INDEX(Opportunities!$P$3:$P$502,MATCH(IFERROR(SMALL(Opportunities!$AB$3:$AB$502,8),""),Opportunities!$AB$3:$AB$502,0))="","",INDEX(Opportunities!$P$3:$P$502,MATCH(IFERROR(SMALL(Opportunities!$AB$3:$AB$502,8),""),Opportunities!$AB$3:$AB$502,0))),""))</f>
        <v/>
      </c>
      <c r="I13" s="12" t="str">
        <f aca="false">IF(COUNT(Opportunities!$AB$3:$AB$502)&lt;8,"",IFERROR(IF(INDEX(Opportunities!$Q$3:$Q$502,MATCH(IFERROR(SMALL(Opportunities!$AB$3:$AB$502,8),""),Opportunities!$AB$3:$AB$502,0))="","",INDEX(Opportunities!$Q$3:$Q$502,MATCH(IFERROR(SMALL(Opportunities!$AB$3:$AB$502,8),""),Opportunities!$AB$3:$AB$502,0))),""))</f>
        <v/>
      </c>
    </row>
    <row r="14" customFormat="false" ht="15" hidden="false" customHeight="false" outlineLevel="0" collapsed="false">
      <c r="A14" s="16" t="s">
        <v>54</v>
      </c>
      <c r="B14" s="19" t="n">
        <f aca="false">S_Target</f>
        <v>120000</v>
      </c>
      <c r="C14" s="8"/>
      <c r="D14" s="12" t="str">
        <f aca="false">IF(COUNT(Opportunities!$AB$3:$AB$502)&lt;9,"",IFERROR(IF(INDEX(Opportunities!$A$3:$A$502,MATCH(IFERROR(SMALL(Opportunities!$AB$3:$AB$502,9),""),Opportunities!$AB$3:$AB$502,0))="","",INDEX(Opportunities!$A$3:$A$502,MATCH(IFERROR(SMALL(Opportunities!$AB$3:$AB$502,9),""),Opportunities!$AB$3:$AB$502,0))),""))</f>
        <v/>
      </c>
      <c r="E14" s="12" t="str">
        <f aca="false">IF(COUNT(Opportunities!$AB$3:$AB$502)&lt;9,"",IFERROR(IF(INDEX(Opportunities!$B$3:$B$502,MATCH(IFERROR(SMALL(Opportunities!$AB$3:$AB$502,9),""),Opportunities!$AB$3:$AB$502,0))="","",INDEX(Opportunities!$B$3:$B$502,MATCH(IFERROR(SMALL(Opportunities!$AB$3:$AB$502,9),""),Opportunities!$AB$3:$AB$502,0))),""))</f>
        <v/>
      </c>
      <c r="F14" s="18" t="str">
        <f aca="false">IF(COUNT(Opportunities!$AB$3:$AB$502)&lt;9,"",IFERROR(IF(INDEX(Opportunities!$J$3:$J$502,MATCH(IFERROR(SMALL(Opportunities!$AB$3:$AB$502,9),""),Opportunities!$AB$3:$AB$502,0))="","",INDEX(Opportunities!$J$3:$J$502,MATCH(IFERROR(SMALL(Opportunities!$AB$3:$AB$502,9),""),Opportunities!$AB$3:$AB$502,0))),""))</f>
        <v/>
      </c>
      <c r="G14" s="12" t="str">
        <f aca="false">IF(COUNT(Opportunities!$AB$3:$AB$502)&lt;9,"",IFERROR(IF(INDEX(Opportunities!$K$3:$K$502,MATCH(IFERROR(SMALL(Opportunities!$AB$3:$AB$502,9),""),Opportunities!$AB$3:$AB$502,0))="","",INDEX(Opportunities!$K$3:$K$502,MATCH(IFERROR(SMALL(Opportunities!$AB$3:$AB$502,9),""),Opportunities!$AB$3:$AB$502,0))),""))</f>
        <v/>
      </c>
      <c r="H14" s="14" t="str">
        <f aca="false">IF(COUNT(Opportunities!$AB$3:$AB$502)&lt;9,"",IFERROR(IF(INDEX(Opportunities!$P$3:$P$502,MATCH(IFERROR(SMALL(Opportunities!$AB$3:$AB$502,9),""),Opportunities!$AB$3:$AB$502,0))="","",INDEX(Opportunities!$P$3:$P$502,MATCH(IFERROR(SMALL(Opportunities!$AB$3:$AB$502,9),""),Opportunities!$AB$3:$AB$502,0))),""))</f>
        <v/>
      </c>
      <c r="I14" s="12" t="str">
        <f aca="false">IF(COUNT(Opportunities!$AB$3:$AB$502)&lt;9,"",IFERROR(IF(INDEX(Opportunities!$Q$3:$Q$502,MATCH(IFERROR(SMALL(Opportunities!$AB$3:$AB$502,9),""),Opportunities!$AB$3:$AB$502,0))="","",INDEX(Opportunities!$Q$3:$Q$502,MATCH(IFERROR(SMALL(Opportunities!$AB$3:$AB$502,9),""),Opportunities!$AB$3:$AB$502,0))),""))</f>
        <v/>
      </c>
    </row>
    <row r="15" customFormat="false" ht="15" hidden="false" customHeight="false" outlineLevel="0" collapsed="false">
      <c r="A15" s="16" t="s">
        <v>55</v>
      </c>
      <c r="B15" s="17" t="str">
        <f aca="false">IF(S_Target=0,"",REPT("█",ROUND(MIN(B13/S_Target,1)*20,0))&amp;REPT("░",20-ROUND(MIN(B13/S_Target,1)*20,0))&amp;"  "&amp;TEXT(B13/S_Target,"0%"))</f>
        <v>█░░░░░░░░░░░░░░░░░░░  7%</v>
      </c>
      <c r="C15" s="8"/>
      <c r="D15" s="12" t="str">
        <f aca="false">IF(COUNT(Opportunities!$AB$3:$AB$502)&lt;10,"",IFERROR(IF(INDEX(Opportunities!$A$3:$A$502,MATCH(IFERROR(SMALL(Opportunities!$AB$3:$AB$502,10),""),Opportunities!$AB$3:$AB$502,0))="","",INDEX(Opportunities!$A$3:$A$502,MATCH(IFERROR(SMALL(Opportunities!$AB$3:$AB$502,10),""),Opportunities!$AB$3:$AB$502,0))),""))</f>
        <v/>
      </c>
      <c r="E15" s="12" t="str">
        <f aca="false">IF(COUNT(Opportunities!$AB$3:$AB$502)&lt;10,"",IFERROR(IF(INDEX(Opportunities!$B$3:$B$502,MATCH(IFERROR(SMALL(Opportunities!$AB$3:$AB$502,10),""),Opportunities!$AB$3:$AB$502,0))="","",INDEX(Opportunities!$B$3:$B$502,MATCH(IFERROR(SMALL(Opportunities!$AB$3:$AB$502,10),""),Opportunities!$AB$3:$AB$502,0))),""))</f>
        <v/>
      </c>
      <c r="F15" s="18" t="str">
        <f aca="false">IF(COUNT(Opportunities!$AB$3:$AB$502)&lt;10,"",IFERROR(IF(INDEX(Opportunities!$J$3:$J$502,MATCH(IFERROR(SMALL(Opportunities!$AB$3:$AB$502,10),""),Opportunities!$AB$3:$AB$502,0))="","",INDEX(Opportunities!$J$3:$J$502,MATCH(IFERROR(SMALL(Opportunities!$AB$3:$AB$502,10),""),Opportunities!$AB$3:$AB$502,0))),""))</f>
        <v/>
      </c>
      <c r="G15" s="12" t="str">
        <f aca="false">IF(COUNT(Opportunities!$AB$3:$AB$502)&lt;10,"",IFERROR(IF(INDEX(Opportunities!$K$3:$K$502,MATCH(IFERROR(SMALL(Opportunities!$AB$3:$AB$502,10),""),Opportunities!$AB$3:$AB$502,0))="","",INDEX(Opportunities!$K$3:$K$502,MATCH(IFERROR(SMALL(Opportunities!$AB$3:$AB$502,10),""),Opportunities!$AB$3:$AB$502,0))),""))</f>
        <v/>
      </c>
      <c r="H15" s="14" t="str">
        <f aca="false">IF(COUNT(Opportunities!$AB$3:$AB$502)&lt;10,"",IFERROR(IF(INDEX(Opportunities!$P$3:$P$502,MATCH(IFERROR(SMALL(Opportunities!$AB$3:$AB$502,10),""),Opportunities!$AB$3:$AB$502,0))="","",INDEX(Opportunities!$P$3:$P$502,MATCH(IFERROR(SMALL(Opportunities!$AB$3:$AB$502,10),""),Opportunities!$AB$3:$AB$502,0))),""))</f>
        <v/>
      </c>
      <c r="I15" s="12" t="str">
        <f aca="false">IF(COUNT(Opportunities!$AB$3:$AB$502)&lt;10,"",IFERROR(IF(INDEX(Opportunities!$Q$3:$Q$502,MATCH(IFERROR(SMALL(Opportunities!$AB$3:$AB$502,10),""),Opportunities!$AB$3:$AB$502,0))="","",INDEX(Opportunities!$Q$3:$Q$502,MATCH(IFERROR(SMALL(Opportunities!$AB$3:$AB$502,10),""),Opportunities!$AB$3:$AB$502,0))),""))</f>
        <v/>
      </c>
    </row>
    <row r="16" customFormat="false" ht="15" hidden="false" customHeight="false" outlineLevel="0" collapsed="false">
      <c r="A16" s="16" t="s">
        <v>56</v>
      </c>
      <c r="B16" s="19" t="n">
        <f aca="false">SUMIFS(Opportunities!$I$3:$I$502,Opportunities!$C$3:$C$502,"Proposal sent",Opportunities!$G$3:$G$502,"Cash")+SUMIFS(Opportunities!$I$3:$I$502,Opportunities!$C$3:$C$502,"Negotiation",Opportunities!$G$3:$G$502,"Cash")</f>
        <v>0</v>
      </c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10" t="s">
        <v>57</v>
      </c>
      <c r="E17" s="8"/>
      <c r="F17" s="8"/>
      <c r="G17" s="8"/>
      <c r="H17" s="8"/>
      <c r="I17" s="8"/>
    </row>
    <row r="18" customFormat="false" ht="15" hidden="false" customHeight="false" outlineLevel="0" collapsed="false">
      <c r="A18" s="10" t="s">
        <v>58</v>
      </c>
      <c r="B18" s="8"/>
      <c r="C18" s="8"/>
      <c r="D18" s="11" t="s">
        <v>26</v>
      </c>
      <c r="E18" s="11" t="s">
        <v>27</v>
      </c>
      <c r="F18" s="11" t="s">
        <v>59</v>
      </c>
      <c r="G18" s="11" t="s">
        <v>60</v>
      </c>
      <c r="H18" s="8"/>
      <c r="I18" s="8"/>
    </row>
    <row r="19" customFormat="false" ht="15" hidden="false" customHeight="false" outlineLevel="0" collapsed="false">
      <c r="A19" s="16" t="s">
        <v>61</v>
      </c>
      <c r="B19" s="17" t="n">
        <f aca="false">COUNTIF(Opportunities!$C$3:$C$502,"Planned")</f>
        <v>0</v>
      </c>
      <c r="C19" s="8"/>
      <c r="D19" s="12" t="str">
        <f aca="false">IF(COUNT(Opportunities!$AC$3:$AC$502)&lt;1,"",IFERROR(IF(INDEX(Opportunities!$A$3:$A$502,MATCH(IFERROR(SMALL(Opportunities!$AC$3:$AC$502,1),""),Opportunities!$AC$3:$AC$502,0))="","",INDEX(Opportunities!$A$3:$A$502,MATCH(IFERROR(SMALL(Opportunities!$AC$3:$AC$502,1),""),Opportunities!$AC$3:$AC$502,0))),""))</f>
        <v>Strandvej Studio (example)</v>
      </c>
      <c r="E19" s="12" t="str">
        <f aca="false">IF(COUNT(Opportunities!$AC$3:$AC$502)&lt;1,"",IFERROR(IF(INDEX(Opportunities!$B$3:$B$502,MATCH(IFERROR(SMALL(Opportunities!$AC$3:$AC$502,1),""),Opportunities!$AC$3:$AC$502,0))="","",INDEX(Opportunities!$B$3:$B$502,MATCH(IFERROR(SMALL(Opportunities!$AC$3:$AC$502,1),""),Opportunities!$AC$3:$AC$502,0))),""))</f>
        <v>Event sponsor</v>
      </c>
      <c r="F19" s="12" t="str">
        <f aca="false">IF(COUNT(Opportunities!$AC$3:$AC$502)&lt;1,"",IFERROR(IF(INDEX(Opportunities!$S$3:$S$502,MATCH(IFERROR(SMALL(Opportunities!$AC$3:$AC$502,1),""),Opportunities!$AC$3:$AC$502,0))="","",INDEX(Opportunities!$S$3:$S$502,MATCH(IFERROR(SMALL(Opportunities!$AC$3:$AC$502,1),""),Opportunities!$AC$3:$AC$502,0))),""))</f>
        <v>No budget</v>
      </c>
      <c r="G19" s="14" t="n">
        <f aca="false">IF(COUNT(Opportunities!$AC$3:$AC$502)&lt;1,"",IFERROR(IF(INDEX(Opportunities!$V$3:$V$502,MATCH(IFERROR(SMALL(Opportunities!$AC$3:$AC$502,1),""),Opportunities!$AC$3:$AC$502,0))="","",INDEX(Opportunities!$V$3:$V$502,MATCH(IFERROR(SMALL(Opportunities!$AC$3:$AC$502,1),""),Opportunities!$AC$3:$AC$502,0))),""))</f>
        <v>46282</v>
      </c>
      <c r="H19" s="8"/>
      <c r="I19" s="8"/>
    </row>
    <row r="20" customFormat="false" ht="15" hidden="false" customHeight="false" outlineLevel="0" collapsed="false">
      <c r="A20" s="16" t="s">
        <v>62</v>
      </c>
      <c r="B20" s="17" t="n">
        <f aca="false">COUNTIF(Opportunities!$C$3:$C$502,"Contacted")</f>
        <v>1</v>
      </c>
      <c r="C20" s="8"/>
      <c r="D20" s="12" t="str">
        <f aca="false">IF(COUNT(Opportunities!$AC$3:$AC$502)&lt;2,"",IFERROR(IF(INDEX(Opportunities!$A$3:$A$502,MATCH(IFERROR(SMALL(Opportunities!$AC$3:$AC$502,2),""),Opportunities!$AC$3:$AC$502,0))="","",INDEX(Opportunities!$A$3:$A$502,MATCH(IFERROR(SMALL(Opportunities!$AC$3:$AC$502,2),""),Opportunities!$AC$3:$AC$502,0))),""))</f>
        <v/>
      </c>
      <c r="E20" s="12" t="str">
        <f aca="false">IF(COUNT(Opportunities!$AC$3:$AC$502)&lt;2,"",IFERROR(IF(INDEX(Opportunities!$B$3:$B$502,MATCH(IFERROR(SMALL(Opportunities!$AC$3:$AC$502,2),""),Opportunities!$AC$3:$AC$502,0))="","",INDEX(Opportunities!$B$3:$B$502,MATCH(IFERROR(SMALL(Opportunities!$AC$3:$AC$502,2),""),Opportunities!$AC$3:$AC$502,0))),""))</f>
        <v/>
      </c>
      <c r="F20" s="12" t="str">
        <f aca="false">IF(COUNT(Opportunities!$AC$3:$AC$502)&lt;2,"",IFERROR(IF(INDEX(Opportunities!$S$3:$S$502,MATCH(IFERROR(SMALL(Opportunities!$AC$3:$AC$502,2),""),Opportunities!$AC$3:$AC$502,0))="","",INDEX(Opportunities!$S$3:$S$502,MATCH(IFERROR(SMALL(Opportunities!$AC$3:$AC$502,2),""),Opportunities!$AC$3:$AC$502,0))),""))</f>
        <v/>
      </c>
      <c r="G20" s="14" t="str">
        <f aca="false">IF(COUNT(Opportunities!$AC$3:$AC$502)&lt;2,"",IFERROR(IF(INDEX(Opportunities!$V$3:$V$502,MATCH(IFERROR(SMALL(Opportunities!$AC$3:$AC$502,2),""),Opportunities!$AC$3:$AC$502,0))="","",INDEX(Opportunities!$V$3:$V$502,MATCH(IFERROR(SMALL(Opportunities!$AC$3:$AC$502,2),""),Opportunities!$AC$3:$AC$502,0))),""))</f>
        <v/>
      </c>
      <c r="H20" s="8"/>
      <c r="I20" s="8"/>
    </row>
    <row r="21" customFormat="false" ht="15" hidden="false" customHeight="false" outlineLevel="0" collapsed="false">
      <c r="A21" s="16" t="s">
        <v>63</v>
      </c>
      <c r="B21" s="17" t="n">
        <f aca="false">COUNTIF(Opportunities!$C$3:$C$502,"Meeting")</f>
        <v>1</v>
      </c>
      <c r="C21" s="8"/>
      <c r="D21" s="12" t="str">
        <f aca="false">IF(COUNT(Opportunities!$AC$3:$AC$502)&lt;3,"",IFERROR(IF(INDEX(Opportunities!$A$3:$A$502,MATCH(IFERROR(SMALL(Opportunities!$AC$3:$AC$502,3),""),Opportunities!$AC$3:$AC$502,0))="","",INDEX(Opportunities!$A$3:$A$502,MATCH(IFERROR(SMALL(Opportunities!$AC$3:$AC$502,3),""),Opportunities!$AC$3:$AC$502,0))),""))</f>
        <v/>
      </c>
      <c r="E21" s="12" t="str">
        <f aca="false">IF(COUNT(Opportunities!$AC$3:$AC$502)&lt;3,"",IFERROR(IF(INDEX(Opportunities!$B$3:$B$502,MATCH(IFERROR(SMALL(Opportunities!$AC$3:$AC$502,3),""),Opportunities!$AC$3:$AC$502,0))="","",INDEX(Opportunities!$B$3:$B$502,MATCH(IFERROR(SMALL(Opportunities!$AC$3:$AC$502,3),""),Opportunities!$AC$3:$AC$502,0))),""))</f>
        <v/>
      </c>
      <c r="F21" s="12" t="str">
        <f aca="false">IF(COUNT(Opportunities!$AC$3:$AC$502)&lt;3,"",IFERROR(IF(INDEX(Opportunities!$S$3:$S$502,MATCH(IFERROR(SMALL(Opportunities!$AC$3:$AC$502,3),""),Opportunities!$AC$3:$AC$502,0))="","",INDEX(Opportunities!$S$3:$S$502,MATCH(IFERROR(SMALL(Opportunities!$AC$3:$AC$502,3),""),Opportunities!$AC$3:$AC$502,0))),""))</f>
        <v/>
      </c>
      <c r="G21" s="14" t="str">
        <f aca="false">IF(COUNT(Opportunities!$AC$3:$AC$502)&lt;3,"",IFERROR(IF(INDEX(Opportunities!$V$3:$V$502,MATCH(IFERROR(SMALL(Opportunities!$AC$3:$AC$502,3),""),Opportunities!$AC$3:$AC$502,0))="","",INDEX(Opportunities!$V$3:$V$502,MATCH(IFERROR(SMALL(Opportunities!$AC$3:$AC$502,3),""),Opportunities!$AC$3:$AC$502,0))),""))</f>
        <v/>
      </c>
      <c r="H21" s="8"/>
      <c r="I21" s="8"/>
    </row>
    <row r="22" customFormat="false" ht="15" hidden="false" customHeight="false" outlineLevel="0" collapsed="false">
      <c r="A22" s="16" t="s">
        <v>64</v>
      </c>
      <c r="B22" s="17" t="n">
        <f aca="false">COUNTIF(Opportunities!$C$3:$C$502,"Proposal sent")</f>
        <v>1</v>
      </c>
      <c r="C22" s="8"/>
      <c r="D22" s="12" t="str">
        <f aca="false">IF(COUNT(Opportunities!$AC$3:$AC$502)&lt;4,"",IFERROR(IF(INDEX(Opportunities!$A$3:$A$502,MATCH(IFERROR(SMALL(Opportunities!$AC$3:$AC$502,4),""),Opportunities!$AC$3:$AC$502,0))="","",INDEX(Opportunities!$A$3:$A$502,MATCH(IFERROR(SMALL(Opportunities!$AC$3:$AC$502,4),""),Opportunities!$AC$3:$AC$502,0))),""))</f>
        <v/>
      </c>
      <c r="E22" s="12" t="str">
        <f aca="false">IF(COUNT(Opportunities!$AC$3:$AC$502)&lt;4,"",IFERROR(IF(INDEX(Opportunities!$B$3:$B$502,MATCH(IFERROR(SMALL(Opportunities!$AC$3:$AC$502,4),""),Opportunities!$AC$3:$AC$502,0))="","",INDEX(Opportunities!$B$3:$B$502,MATCH(IFERROR(SMALL(Opportunities!$AC$3:$AC$502,4),""),Opportunities!$AC$3:$AC$502,0))),""))</f>
        <v/>
      </c>
      <c r="F22" s="12" t="str">
        <f aca="false">IF(COUNT(Opportunities!$AC$3:$AC$502)&lt;4,"",IFERROR(IF(INDEX(Opportunities!$S$3:$S$502,MATCH(IFERROR(SMALL(Opportunities!$AC$3:$AC$502,4),""),Opportunities!$AC$3:$AC$502,0))="","",INDEX(Opportunities!$S$3:$S$502,MATCH(IFERROR(SMALL(Opportunities!$AC$3:$AC$502,4),""),Opportunities!$AC$3:$AC$502,0))),""))</f>
        <v/>
      </c>
      <c r="G22" s="14" t="str">
        <f aca="false">IF(COUNT(Opportunities!$AC$3:$AC$502)&lt;4,"",IFERROR(IF(INDEX(Opportunities!$V$3:$V$502,MATCH(IFERROR(SMALL(Opportunities!$AC$3:$AC$502,4),""),Opportunities!$AC$3:$AC$502,0))="","",INDEX(Opportunities!$V$3:$V$502,MATCH(IFERROR(SMALL(Opportunities!$AC$3:$AC$502,4),""),Opportunities!$AC$3:$AC$502,0))),""))</f>
        <v/>
      </c>
      <c r="H22" s="8"/>
      <c r="I22" s="8"/>
    </row>
    <row r="23" customFormat="false" ht="15" hidden="false" customHeight="false" outlineLevel="0" collapsed="false">
      <c r="A23" s="16" t="s">
        <v>65</v>
      </c>
      <c r="B23" s="17" t="n">
        <f aca="false">COUNTIF(Opportunities!$C$3:$C$502,"Negotiation")</f>
        <v>0</v>
      </c>
      <c r="C23" s="8"/>
      <c r="D23" s="12" t="str">
        <f aca="false">IF(COUNT(Opportunities!$AC$3:$AC$502)&lt;5,"",IFERROR(IF(INDEX(Opportunities!$A$3:$A$502,MATCH(IFERROR(SMALL(Opportunities!$AC$3:$AC$502,5),""),Opportunities!$AC$3:$AC$502,0))="","",INDEX(Opportunities!$A$3:$A$502,MATCH(IFERROR(SMALL(Opportunities!$AC$3:$AC$502,5),""),Opportunities!$AC$3:$AC$502,0))),""))</f>
        <v/>
      </c>
      <c r="E23" s="12" t="str">
        <f aca="false">IF(COUNT(Opportunities!$AC$3:$AC$502)&lt;5,"",IFERROR(IF(INDEX(Opportunities!$B$3:$B$502,MATCH(IFERROR(SMALL(Opportunities!$AC$3:$AC$502,5),""),Opportunities!$AC$3:$AC$502,0))="","",INDEX(Opportunities!$B$3:$B$502,MATCH(IFERROR(SMALL(Opportunities!$AC$3:$AC$502,5),""),Opportunities!$AC$3:$AC$502,0))),""))</f>
        <v/>
      </c>
      <c r="F23" s="12" t="str">
        <f aca="false">IF(COUNT(Opportunities!$AC$3:$AC$502)&lt;5,"",IFERROR(IF(INDEX(Opportunities!$S$3:$S$502,MATCH(IFERROR(SMALL(Opportunities!$AC$3:$AC$502,5),""),Opportunities!$AC$3:$AC$502,0))="","",INDEX(Opportunities!$S$3:$S$502,MATCH(IFERROR(SMALL(Opportunities!$AC$3:$AC$502,5),""),Opportunities!$AC$3:$AC$502,0))),""))</f>
        <v/>
      </c>
      <c r="G23" s="14" t="str">
        <f aca="false">IF(COUNT(Opportunities!$AC$3:$AC$502)&lt;5,"",IFERROR(IF(INDEX(Opportunities!$V$3:$V$502,MATCH(IFERROR(SMALL(Opportunities!$AC$3:$AC$502,5),""),Opportunities!$AC$3:$AC$502,0))="","",INDEX(Opportunities!$V$3:$V$502,MATCH(IFERROR(SMALL(Opportunities!$AC$3:$AC$502,5),""),Opportunities!$AC$3:$AC$502,0))),""))</f>
        <v/>
      </c>
      <c r="H23" s="8"/>
      <c r="I23" s="8"/>
    </row>
    <row r="24" customFormat="false" ht="15" hidden="false" customHeight="false" outlineLevel="0" collapsed="false">
      <c r="A24" s="16" t="s">
        <v>66</v>
      </c>
      <c r="B24" s="17" t="n">
        <f aca="false">COUNTIF(Opportunities!$C$3:$C$502,"Nurture")</f>
        <v>0</v>
      </c>
      <c r="C24" s="8"/>
      <c r="D24" s="12" t="str">
        <f aca="false">IF(COUNT(Opportunities!$AC$3:$AC$502)&lt;6,"",IFERROR(IF(INDEX(Opportunities!$A$3:$A$502,MATCH(IFERROR(SMALL(Opportunities!$AC$3:$AC$502,6),""),Opportunities!$AC$3:$AC$502,0))="","",INDEX(Opportunities!$A$3:$A$502,MATCH(IFERROR(SMALL(Opportunities!$AC$3:$AC$502,6),""),Opportunities!$AC$3:$AC$502,0))),""))</f>
        <v/>
      </c>
      <c r="E24" s="12" t="str">
        <f aca="false">IF(COUNT(Opportunities!$AC$3:$AC$502)&lt;6,"",IFERROR(IF(INDEX(Opportunities!$B$3:$B$502,MATCH(IFERROR(SMALL(Opportunities!$AC$3:$AC$502,6),""),Opportunities!$AC$3:$AC$502,0))="","",INDEX(Opportunities!$B$3:$B$502,MATCH(IFERROR(SMALL(Opportunities!$AC$3:$AC$502,6),""),Opportunities!$AC$3:$AC$502,0))),""))</f>
        <v/>
      </c>
      <c r="F24" s="12" t="str">
        <f aca="false">IF(COUNT(Opportunities!$AC$3:$AC$502)&lt;6,"",IFERROR(IF(INDEX(Opportunities!$S$3:$S$502,MATCH(IFERROR(SMALL(Opportunities!$AC$3:$AC$502,6),""),Opportunities!$AC$3:$AC$502,0))="","",INDEX(Opportunities!$S$3:$S$502,MATCH(IFERROR(SMALL(Opportunities!$AC$3:$AC$502,6),""),Opportunities!$AC$3:$AC$502,0))),""))</f>
        <v/>
      </c>
      <c r="G24" s="14" t="str">
        <f aca="false">IF(COUNT(Opportunities!$AC$3:$AC$502)&lt;6,"",IFERROR(IF(INDEX(Opportunities!$V$3:$V$502,MATCH(IFERROR(SMALL(Opportunities!$AC$3:$AC$502,6),""),Opportunities!$AC$3:$AC$502,0))="","",INDEX(Opportunities!$V$3:$V$502,MATCH(IFERROR(SMALL(Opportunities!$AC$3:$AC$502,6),""),Opportunities!$AC$3:$AC$502,0))),""))</f>
        <v/>
      </c>
      <c r="H24" s="8"/>
      <c r="I24" s="8"/>
    </row>
    <row r="25" customFormat="false" ht="15" hidden="false" customHeight="false" outlineLevel="0" collapsed="false">
      <c r="A25" s="8"/>
      <c r="B25" s="8"/>
      <c r="C25" s="8"/>
      <c r="D25" s="12" t="str">
        <f aca="false">IF(COUNT(Opportunities!$AC$3:$AC$502)&lt;7,"",IFERROR(IF(INDEX(Opportunities!$A$3:$A$502,MATCH(IFERROR(SMALL(Opportunities!$AC$3:$AC$502,7),""),Opportunities!$AC$3:$AC$502,0))="","",INDEX(Opportunities!$A$3:$A$502,MATCH(IFERROR(SMALL(Opportunities!$AC$3:$AC$502,7),""),Opportunities!$AC$3:$AC$502,0))),""))</f>
        <v/>
      </c>
      <c r="E25" s="12" t="str">
        <f aca="false">IF(COUNT(Opportunities!$AC$3:$AC$502)&lt;7,"",IFERROR(IF(INDEX(Opportunities!$B$3:$B$502,MATCH(IFERROR(SMALL(Opportunities!$AC$3:$AC$502,7),""),Opportunities!$AC$3:$AC$502,0))="","",INDEX(Opportunities!$B$3:$B$502,MATCH(IFERROR(SMALL(Opportunities!$AC$3:$AC$502,7),""),Opportunities!$AC$3:$AC$502,0))),""))</f>
        <v/>
      </c>
      <c r="F25" s="12" t="str">
        <f aca="false">IF(COUNT(Opportunities!$AC$3:$AC$502)&lt;7,"",IFERROR(IF(INDEX(Opportunities!$S$3:$S$502,MATCH(IFERROR(SMALL(Opportunities!$AC$3:$AC$502,7),""),Opportunities!$AC$3:$AC$502,0))="","",INDEX(Opportunities!$S$3:$S$502,MATCH(IFERROR(SMALL(Opportunities!$AC$3:$AC$502,7),""),Opportunities!$AC$3:$AC$502,0))),""))</f>
        <v/>
      </c>
      <c r="G25" s="14" t="str">
        <f aca="false">IF(COUNT(Opportunities!$AC$3:$AC$502)&lt;7,"",IFERROR(IF(INDEX(Opportunities!$V$3:$V$502,MATCH(IFERROR(SMALL(Opportunities!$AC$3:$AC$502,7),""),Opportunities!$AC$3:$AC$502,0))="","",INDEX(Opportunities!$V$3:$V$502,MATCH(IFERROR(SMALL(Opportunities!$AC$3:$AC$502,7),""),Opportunities!$AC$3:$AC$502,0))),""))</f>
        <v/>
      </c>
      <c r="H25" s="8"/>
      <c r="I25" s="8"/>
    </row>
    <row r="26" customFormat="false" ht="15" hidden="false" customHeight="false" outlineLevel="0" collapsed="false">
      <c r="A26" s="10" t="s">
        <v>67</v>
      </c>
      <c r="B26" s="8"/>
      <c r="C26" s="8"/>
      <c r="D26" s="12" t="str">
        <f aca="false">IF(COUNT(Opportunities!$AC$3:$AC$502)&lt;8,"",IFERROR(IF(INDEX(Opportunities!$A$3:$A$502,MATCH(IFERROR(SMALL(Opportunities!$AC$3:$AC$502,8),""),Opportunities!$AC$3:$AC$502,0))="","",INDEX(Opportunities!$A$3:$A$502,MATCH(IFERROR(SMALL(Opportunities!$AC$3:$AC$502,8),""),Opportunities!$AC$3:$AC$502,0))),""))</f>
        <v/>
      </c>
      <c r="E26" s="12" t="str">
        <f aca="false">IF(COUNT(Opportunities!$AC$3:$AC$502)&lt;8,"",IFERROR(IF(INDEX(Opportunities!$B$3:$B$502,MATCH(IFERROR(SMALL(Opportunities!$AC$3:$AC$502,8),""),Opportunities!$AC$3:$AC$502,0))="","",INDEX(Opportunities!$B$3:$B$502,MATCH(IFERROR(SMALL(Opportunities!$AC$3:$AC$502,8),""),Opportunities!$AC$3:$AC$502,0))),""))</f>
        <v/>
      </c>
      <c r="F26" s="12" t="str">
        <f aca="false">IF(COUNT(Opportunities!$AC$3:$AC$502)&lt;8,"",IFERROR(IF(INDEX(Opportunities!$S$3:$S$502,MATCH(IFERROR(SMALL(Opportunities!$AC$3:$AC$502,8),""),Opportunities!$AC$3:$AC$502,0))="","",INDEX(Opportunities!$S$3:$S$502,MATCH(IFERROR(SMALL(Opportunities!$AC$3:$AC$502,8),""),Opportunities!$AC$3:$AC$502,0))),""))</f>
        <v/>
      </c>
      <c r="G26" s="14" t="str">
        <f aca="false">IF(COUNT(Opportunities!$AC$3:$AC$502)&lt;8,"",IFERROR(IF(INDEX(Opportunities!$V$3:$V$502,MATCH(IFERROR(SMALL(Opportunities!$AC$3:$AC$502,8),""),Opportunities!$AC$3:$AC$502,0))="","",INDEX(Opportunities!$V$3:$V$502,MATCH(IFERROR(SMALL(Opportunities!$AC$3:$AC$502,8),""),Opportunities!$AC$3:$AC$502,0))),""))</f>
        <v/>
      </c>
      <c r="H26" s="8"/>
      <c r="I26" s="8"/>
    </row>
    <row r="27" customFormat="false" ht="15" hidden="false" customHeight="false" outlineLevel="0" collapsed="false">
      <c r="A27" s="16" t="s">
        <v>68</v>
      </c>
      <c r="B27" s="17" t="n">
        <f aca="false">COUNTIFS(Opportunities!$C$3:$C$502,"Won",Opportunities!$G$3:$G$502,"Non-cash",Opportunities!$V$3:$V$502,"&gt;="&amp;S_SemStart,Opportunities!$V$3:$V$502,"&lt;="&amp;S_SemEnd)</f>
        <v>0</v>
      </c>
      <c r="C27" s="8"/>
      <c r="D27" s="12" t="str">
        <f aca="false">IF(COUNT(Opportunities!$AC$3:$AC$502)&lt;9,"",IFERROR(IF(INDEX(Opportunities!$A$3:$A$502,MATCH(IFERROR(SMALL(Opportunities!$AC$3:$AC$502,9),""),Opportunities!$AC$3:$AC$502,0))="","",INDEX(Opportunities!$A$3:$A$502,MATCH(IFERROR(SMALL(Opportunities!$AC$3:$AC$502,9),""),Opportunities!$AC$3:$AC$502,0))),""))</f>
        <v/>
      </c>
      <c r="E27" s="12" t="str">
        <f aca="false">IF(COUNT(Opportunities!$AC$3:$AC$502)&lt;9,"",IFERROR(IF(INDEX(Opportunities!$B$3:$B$502,MATCH(IFERROR(SMALL(Opportunities!$AC$3:$AC$502,9),""),Opportunities!$AC$3:$AC$502,0))="","",INDEX(Opportunities!$B$3:$B$502,MATCH(IFERROR(SMALL(Opportunities!$AC$3:$AC$502,9),""),Opportunities!$AC$3:$AC$502,0))),""))</f>
        <v/>
      </c>
      <c r="F27" s="12" t="str">
        <f aca="false">IF(COUNT(Opportunities!$AC$3:$AC$502)&lt;9,"",IFERROR(IF(INDEX(Opportunities!$S$3:$S$502,MATCH(IFERROR(SMALL(Opportunities!$AC$3:$AC$502,9),""),Opportunities!$AC$3:$AC$502,0))="","",INDEX(Opportunities!$S$3:$S$502,MATCH(IFERROR(SMALL(Opportunities!$AC$3:$AC$502,9),""),Opportunities!$AC$3:$AC$502,0))),""))</f>
        <v/>
      </c>
      <c r="G27" s="14" t="str">
        <f aca="false">IF(COUNT(Opportunities!$AC$3:$AC$502)&lt;9,"",IFERROR(IF(INDEX(Opportunities!$V$3:$V$502,MATCH(IFERROR(SMALL(Opportunities!$AC$3:$AC$502,9),""),Opportunities!$AC$3:$AC$502,0))="","",INDEX(Opportunities!$V$3:$V$502,MATCH(IFERROR(SMALL(Opportunities!$AC$3:$AC$502,9),""),Opportunities!$AC$3:$AC$502,0))),""))</f>
        <v/>
      </c>
      <c r="H27" s="8"/>
      <c r="I27" s="8"/>
    </row>
    <row r="28" customFormat="false" ht="15" hidden="false" customHeight="false" outlineLevel="0" collapsed="false">
      <c r="A28" s="16" t="s">
        <v>69</v>
      </c>
      <c r="B28" s="17" t="n">
        <f aca="false">COUNTIFS(Opportunities!$C$3:$C$502,"Won",Opportunities!$G$3:$G$502,"In-kind",Opportunities!$V$3:$V$502,"&gt;="&amp;S_SemStart,Opportunities!$V$3:$V$502,"&lt;="&amp;S_SemEnd)</f>
        <v>0</v>
      </c>
      <c r="C28" s="8"/>
      <c r="D28" s="12" t="str">
        <f aca="false">IF(COUNT(Opportunities!$AC$3:$AC$502)&lt;10,"",IFERROR(IF(INDEX(Opportunities!$A$3:$A$502,MATCH(IFERROR(SMALL(Opportunities!$AC$3:$AC$502,10),""),Opportunities!$AC$3:$AC$502,0))="","",INDEX(Opportunities!$A$3:$A$502,MATCH(IFERROR(SMALL(Opportunities!$AC$3:$AC$502,10),""),Opportunities!$AC$3:$AC$502,0))),""))</f>
        <v/>
      </c>
      <c r="E28" s="12" t="str">
        <f aca="false">IF(COUNT(Opportunities!$AC$3:$AC$502)&lt;10,"",IFERROR(IF(INDEX(Opportunities!$B$3:$B$502,MATCH(IFERROR(SMALL(Opportunities!$AC$3:$AC$502,10),""),Opportunities!$AC$3:$AC$502,0))="","",INDEX(Opportunities!$B$3:$B$502,MATCH(IFERROR(SMALL(Opportunities!$AC$3:$AC$502,10),""),Opportunities!$AC$3:$AC$502,0))),""))</f>
        <v/>
      </c>
      <c r="F28" s="12" t="str">
        <f aca="false">IF(COUNT(Opportunities!$AC$3:$AC$502)&lt;10,"",IFERROR(IF(INDEX(Opportunities!$S$3:$S$502,MATCH(IFERROR(SMALL(Opportunities!$AC$3:$AC$502,10),""),Opportunities!$AC$3:$AC$502,0))="","",INDEX(Opportunities!$S$3:$S$502,MATCH(IFERROR(SMALL(Opportunities!$AC$3:$AC$502,10),""),Opportunities!$AC$3:$AC$502,0))),""))</f>
        <v/>
      </c>
      <c r="G28" s="14" t="str">
        <f aca="false">IF(COUNT(Opportunities!$AC$3:$AC$502)&lt;10,"",IFERROR(IF(INDEX(Opportunities!$V$3:$V$502,MATCH(IFERROR(SMALL(Opportunities!$AC$3:$AC$502,10),""),Opportunities!$AC$3:$AC$502,0))="","",INDEX(Opportunities!$V$3:$V$502,MATCH(IFERROR(SMALL(Opportunities!$AC$3:$AC$502,10),""),Opportunities!$AC$3:$AC$502,0))),""))</f>
        <v/>
      </c>
      <c r="H28" s="8"/>
      <c r="I28" s="8"/>
    </row>
    <row r="29" customFormat="false" ht="15" hidden="false" customHeight="false" outlineLevel="0" collapsed="false">
      <c r="A29" s="16" t="s">
        <v>70</v>
      </c>
      <c r="B29" s="17" t="n">
        <f aca="false">COUNTIFS(Opportunities!$X$3:$X$502,"Yes",Opportunities!$G$3:$G$502,"Non-cash")+COUNTIFS(Opportunities!$X$3:$X$502,"Yes",Opportunities!$G$3:$G$502,"In-kind")</f>
        <v>2</v>
      </c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8"/>
      <c r="B30" s="8"/>
      <c r="C30" s="8"/>
      <c r="D30" s="10" t="s">
        <v>71</v>
      </c>
      <c r="E30" s="8"/>
      <c r="F30" s="8"/>
      <c r="G30" s="8"/>
      <c r="H30" s="8"/>
      <c r="I30" s="8"/>
    </row>
    <row r="31" customFormat="false" ht="15" hidden="false" customHeight="false" outlineLevel="0" collapsed="false">
      <c r="A31" s="10" t="s">
        <v>72</v>
      </c>
      <c r="B31" s="8"/>
      <c r="C31" s="8"/>
      <c r="D31" s="16" t="s">
        <v>73</v>
      </c>
      <c r="E31" s="17" t="n">
        <f aca="false">COUNTIFS(Opportunities!$C$3:$C$502,"Lost",Opportunities!$S$3:$S$502,D31,Opportunities!$V$3:$V$502,"&gt;="&amp;S_SemStart,Opportunities!$V$3:$V$502,"&lt;="&amp;S_SemEnd)</f>
        <v>1</v>
      </c>
      <c r="F31" s="8"/>
      <c r="G31" s="8"/>
      <c r="H31" s="8"/>
      <c r="I31" s="8"/>
    </row>
    <row r="32" customFormat="false" ht="15" hidden="false" customHeight="false" outlineLevel="0" collapsed="false">
      <c r="A32" s="16" t="s">
        <v>74</v>
      </c>
      <c r="B32" s="17" t="n">
        <f aca="false">COUNTIF(Opportunities!$Y$3:$Y$502,"Missing next action")</f>
        <v>0</v>
      </c>
      <c r="C32" s="8"/>
      <c r="D32" s="16" t="s">
        <v>75</v>
      </c>
      <c r="E32" s="17" t="n">
        <f aca="false">COUNTIFS(Opportunities!$C$3:$C$502,"Lost",Opportunities!$S$3:$S$502,D32,Opportunities!$V$3:$V$502,"&gt;="&amp;S_SemStart,Opportunities!$V$3:$V$502,"&lt;="&amp;S_SemEnd)</f>
        <v>0</v>
      </c>
      <c r="F32" s="8"/>
      <c r="G32" s="8"/>
      <c r="H32" s="8"/>
      <c r="I32" s="8"/>
    </row>
    <row r="33" customFormat="false" ht="15" hidden="false" customHeight="false" outlineLevel="0" collapsed="false">
      <c r="A33" s="16" t="s">
        <v>76</v>
      </c>
      <c r="B33" s="17" t="n">
        <f aca="false">COUNTIF(Companies!$AH$3:$AH$502,"?*")</f>
        <v>3</v>
      </c>
      <c r="C33" s="8"/>
      <c r="D33" s="16" t="s">
        <v>77</v>
      </c>
      <c r="E33" s="17" t="n">
        <f aca="false">COUNTIFS(Opportunities!$C$3:$C$502,"Lost",Opportunities!$S$3:$S$502,D33,Opportunities!$V$3:$V$502,"&gt;="&amp;S_SemStart,Opportunities!$V$3:$V$502,"&lt;="&amp;S_SemEnd)</f>
        <v>0</v>
      </c>
      <c r="F33" s="8"/>
      <c r="G33" s="8"/>
      <c r="H33" s="8"/>
      <c r="I33" s="8"/>
    </row>
    <row r="34" customFormat="false" ht="15" hidden="false" customHeight="false" outlineLevel="0" collapsed="false">
      <c r="A34" s="16" t="s">
        <v>78</v>
      </c>
      <c r="B34" s="17" t="n">
        <f aca="false">COUNTIF(Opportunities!$AA$3:$AA$502,"?*")</f>
        <v>1</v>
      </c>
      <c r="C34" s="8"/>
      <c r="D34" s="16" t="s">
        <v>79</v>
      </c>
      <c r="E34" s="17" t="n">
        <f aca="false">COUNTIFS(Opportunities!$C$3:$C$502,"Lost",Opportunities!$S$3:$S$502,D34,Opportunities!$V$3:$V$502,"&gt;="&amp;S_SemStart,Opportunities!$V$3:$V$502,"&lt;="&amp;S_SemEnd)</f>
        <v>0</v>
      </c>
      <c r="F34" s="8"/>
      <c r="G34" s="8"/>
      <c r="H34" s="8"/>
      <c r="I34" s="8"/>
    </row>
    <row r="35" customFormat="false" ht="15" hidden="false" customHeight="false" outlineLevel="0" collapsed="false">
      <c r="A35" s="16" t="s">
        <v>80</v>
      </c>
      <c r="B35" s="17" t="n">
        <f aca="false">COUNTIF(Contacts!$N$3:$N$502,"*Re-check*")</f>
        <v>1</v>
      </c>
      <c r="C35" s="8"/>
      <c r="D35" s="16" t="s">
        <v>81</v>
      </c>
      <c r="E35" s="17" t="n">
        <f aca="false">COUNTIFS(Opportunities!$C$3:$C$502,"Lost",Opportunities!$S$3:$S$502,D35,Opportunities!$V$3:$V$502,"&gt;="&amp;S_SemStart,Opportunities!$V$3:$V$502,"&lt;="&amp;S_SemEnd)</f>
        <v>0</v>
      </c>
      <c r="F35" s="8"/>
      <c r="G35" s="8"/>
      <c r="H35" s="8"/>
      <c r="I35" s="8"/>
    </row>
    <row r="36" customFormat="false" ht="15" hidden="false" customHeight="false" outlineLevel="0" collapsed="false">
      <c r="A36" s="16" t="s">
        <v>82</v>
      </c>
      <c r="B36" s="17" t="n">
        <f aca="false">COUNTIF(Evidence!$J$3:$J$502,"Unchecked*")</f>
        <v>1</v>
      </c>
      <c r="C36" s="8"/>
      <c r="D36" s="16" t="s">
        <v>83</v>
      </c>
      <c r="E36" s="17" t="n">
        <f aca="false">COUNTIFS(Opportunities!$C$3:$C$502,"Lost",Opportunities!$S$3:$S$502,D36,Opportunities!$V$3:$V$502,"&gt;="&amp;S_SemStart,Opportunities!$V$3:$V$502,"&lt;="&amp;S_SemEnd)</f>
        <v>0</v>
      </c>
      <c r="F36" s="8"/>
      <c r="G36" s="8"/>
      <c r="H36" s="8"/>
      <c r="I36" s="8"/>
    </row>
    <row r="37" customFormat="false" ht="15" hidden="false" customHeight="false" outlineLevel="0" collapsed="false">
      <c r="A37" s="16" t="s">
        <v>84</v>
      </c>
      <c r="B37" s="17" t="n">
        <f aca="false">MAX(0,COUNTIF(Companies!$V$3:$V$502,"Yes")-S_PathCap)</f>
        <v>0</v>
      </c>
      <c r="C37" s="8"/>
      <c r="D37" s="16" t="s">
        <v>85</v>
      </c>
      <c r="E37" s="17" t="n">
        <f aca="false">COUNTIFS(Opportunities!$C$3:$C$502,"Lost",Opportunities!$S$3:$S$502,D37,Opportunities!$V$3:$V$502,"&gt;="&amp;S_SemStart,Opportunities!$V$3:$V$502,"&lt;="&amp;S_SemEnd)</f>
        <v>0</v>
      </c>
      <c r="F37" s="8"/>
      <c r="G37" s="8"/>
      <c r="H37" s="8"/>
      <c r="I37" s="8"/>
    </row>
    <row r="38" customFormat="false" ht="15" hidden="false" customHeight="false" outlineLevel="0" collapsed="false">
      <c r="A38" s="8"/>
      <c r="B38" s="8"/>
      <c r="C38" s="8"/>
      <c r="D38" s="16" t="s">
        <v>86</v>
      </c>
      <c r="E38" s="17" t="n">
        <f aca="false">COUNTIFS(Opportunities!$C$3:$C$502,"Lost",Opportunities!$S$3:$S$502,D38,Opportunities!$V$3:$V$502,"&gt;="&amp;S_SemStart,Opportunities!$V$3:$V$502,"&lt;="&amp;S_SemEnd)</f>
        <v>0</v>
      </c>
      <c r="F38" s="8"/>
      <c r="G38" s="8"/>
      <c r="H38" s="8"/>
      <c r="I38" s="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500"/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7" t="s">
        <v>87</v>
      </c>
      <c r="B1" s="8"/>
      <c r="C1" s="8"/>
    </row>
    <row r="2" customFormat="false" ht="15" hidden="false" customHeight="false" outlineLevel="0" collapsed="false">
      <c r="A2" s="9" t="s">
        <v>88</v>
      </c>
      <c r="B2" s="9"/>
      <c r="C2" s="9"/>
    </row>
    <row r="3" customFormat="false" ht="15" hidden="false" customHeight="false" outlineLevel="0" collapsed="false">
      <c r="A3" s="8"/>
      <c r="B3" s="8"/>
      <c r="C3" s="8"/>
    </row>
    <row r="4" customFormat="false" ht="15" hidden="false" customHeight="false" outlineLevel="0" collapsed="false">
      <c r="A4" s="10" t="s">
        <v>89</v>
      </c>
      <c r="B4" s="8"/>
      <c r="C4" s="8"/>
    </row>
    <row r="5" customFormat="false" ht="15" hidden="false" customHeight="false" outlineLevel="0" collapsed="false">
      <c r="A5" s="16" t="s">
        <v>90</v>
      </c>
      <c r="B5" s="20"/>
      <c r="C5" s="8"/>
    </row>
    <row r="6" customFormat="false" ht="15" hidden="false" customHeight="false" outlineLevel="0" collapsed="false">
      <c r="A6" s="16" t="s">
        <v>91</v>
      </c>
      <c r="B6" s="20"/>
      <c r="C6" s="8"/>
    </row>
    <row r="7" customFormat="false" ht="15" hidden="false" customHeight="false" outlineLevel="0" collapsed="false">
      <c r="A7" s="16" t="s">
        <v>92</v>
      </c>
      <c r="B7" s="21"/>
      <c r="C7" s="8"/>
    </row>
    <row r="8" customFormat="false" ht="15" hidden="false" customHeight="false" outlineLevel="0" collapsed="false">
      <c r="A8" s="16" t="s">
        <v>93</v>
      </c>
      <c r="B8" s="20"/>
      <c r="C8" s="8"/>
    </row>
    <row r="9" customFormat="false" ht="15" hidden="false" customHeight="false" outlineLevel="0" collapsed="false">
      <c r="A9" s="16" t="s">
        <v>94</v>
      </c>
      <c r="B9" s="20"/>
      <c r="C9" s="8"/>
    </row>
    <row r="10" customFormat="false" ht="15" hidden="false" customHeight="false" outlineLevel="0" collapsed="false">
      <c r="A10" s="16" t="s">
        <v>95</v>
      </c>
      <c r="B10" s="20"/>
      <c r="C10" s="8"/>
    </row>
    <row r="11" customFormat="false" ht="15" hidden="false" customHeight="false" outlineLevel="0" collapsed="false">
      <c r="A11" s="16" t="s">
        <v>96</v>
      </c>
      <c r="B11" s="20"/>
      <c r="C11" s="8"/>
    </row>
    <row r="12" customFormat="false" ht="15" hidden="false" customHeight="false" outlineLevel="0" collapsed="false">
      <c r="A12" s="16" t="s">
        <v>97</v>
      </c>
      <c r="B12" s="20"/>
      <c r="C12" s="8"/>
    </row>
    <row r="13" customFormat="false" ht="15" hidden="false" customHeight="false" outlineLevel="0" collapsed="false">
      <c r="A13" s="16" t="s">
        <v>98</v>
      </c>
      <c r="B13" s="20"/>
      <c r="C13" s="8"/>
    </row>
    <row r="14" customFormat="false" ht="15" hidden="false" customHeight="false" outlineLevel="0" collapsed="false">
      <c r="A14" s="10" t="s">
        <v>99</v>
      </c>
      <c r="B14" s="8"/>
      <c r="C14" s="8"/>
    </row>
    <row r="15" customFormat="false" ht="15" hidden="false" customHeight="false" outlineLevel="0" collapsed="false">
      <c r="A15" s="16" t="s">
        <v>100</v>
      </c>
      <c r="B15" s="20" t="s">
        <v>101</v>
      </c>
      <c r="C15" s="8"/>
    </row>
    <row r="16" customFormat="false" ht="15" hidden="false" customHeight="false" outlineLevel="0" collapsed="false">
      <c r="A16" s="16" t="s">
        <v>102</v>
      </c>
      <c r="B16" s="22" t="n">
        <f aca="true">TODAY()-60</f>
        <v>46247</v>
      </c>
      <c r="C16" s="23" t="s">
        <v>103</v>
      </c>
    </row>
    <row r="17" customFormat="false" ht="15" hidden="false" customHeight="false" outlineLevel="0" collapsed="false">
      <c r="A17" s="16" t="s">
        <v>104</v>
      </c>
      <c r="B17" s="22" t="n">
        <f aca="true">TODAY()+120</f>
        <v>46427</v>
      </c>
      <c r="C17" s="8"/>
    </row>
    <row r="18" customFormat="false" ht="15" hidden="false" customHeight="false" outlineLevel="0" collapsed="false">
      <c r="A18" s="16" t="s">
        <v>105</v>
      </c>
      <c r="B18" s="24" t="n">
        <v>120000</v>
      </c>
      <c r="C18" s="23" t="s">
        <v>106</v>
      </c>
    </row>
    <row r="19" customFormat="false" ht="15" hidden="false" customHeight="false" outlineLevel="0" collapsed="false">
      <c r="A19" s="16" t="s">
        <v>107</v>
      </c>
      <c r="B19" s="22" t="n">
        <f aca="true">TODAY()</f>
        <v>46307</v>
      </c>
      <c r="C19" s="23" t="s">
        <v>108</v>
      </c>
    </row>
    <row r="20" customFormat="false" ht="15" hidden="false" customHeight="false" outlineLevel="0" collapsed="false">
      <c r="A20" s="10" t="s">
        <v>109</v>
      </c>
      <c r="B20" s="8"/>
      <c r="C20" s="8"/>
    </row>
    <row r="21" customFormat="false" ht="15" hidden="false" customHeight="false" outlineLevel="0" collapsed="false">
      <c r="A21" s="16" t="s">
        <v>110</v>
      </c>
      <c r="B21" s="21" t="n">
        <v>6</v>
      </c>
      <c r="C21" s="8"/>
    </row>
    <row r="22" customFormat="false" ht="15" hidden="false" customHeight="false" outlineLevel="0" collapsed="false">
      <c r="A22" s="16" t="s">
        <v>111</v>
      </c>
      <c r="B22" s="21" t="n">
        <v>2</v>
      </c>
      <c r="C22" s="8"/>
    </row>
    <row r="23" customFormat="false" ht="15" hidden="false" customHeight="false" outlineLevel="0" collapsed="false">
      <c r="A23" s="16" t="s">
        <v>112</v>
      </c>
      <c r="B23" s="21" t="n">
        <v>5</v>
      </c>
      <c r="C23" s="8"/>
    </row>
    <row r="24" customFormat="false" ht="15" hidden="false" customHeight="false" outlineLevel="0" collapsed="false">
      <c r="A24" s="16" t="s">
        <v>113</v>
      </c>
      <c r="B24" s="21" t="n">
        <v>90</v>
      </c>
      <c r="C24" s="8"/>
    </row>
    <row r="25" customFormat="false" ht="15" hidden="false" customHeight="false" outlineLevel="0" collapsed="false">
      <c r="A25" s="16" t="s">
        <v>114</v>
      </c>
      <c r="B25" s="21" t="n">
        <v>10</v>
      </c>
      <c r="C25" s="8"/>
    </row>
    <row r="26" customFormat="false" ht="15" hidden="false" customHeight="false" outlineLevel="0" collapsed="false">
      <c r="A26" s="16" t="s">
        <v>115</v>
      </c>
      <c r="B26" s="21" t="n">
        <v>365</v>
      </c>
      <c r="C26" s="8"/>
    </row>
    <row r="27" customFormat="false" ht="15" hidden="false" customHeight="false" outlineLevel="0" collapsed="false">
      <c r="A27" s="16" t="s">
        <v>116</v>
      </c>
      <c r="B27" s="21" t="n">
        <v>183</v>
      </c>
      <c r="C27" s="8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F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6" min="5" style="0" width="12"/>
  </cols>
  <sheetData>
    <row r="1" customFormat="false" ht="30" hidden="false" customHeight="true" outlineLevel="0" collapsed="false">
      <c r="A1" s="25" t="s">
        <v>117</v>
      </c>
      <c r="B1" s="25"/>
      <c r="C1" s="25"/>
      <c r="D1" s="25"/>
      <c r="E1" s="25"/>
      <c r="F1" s="25"/>
    </row>
    <row r="2" customFormat="false" ht="31.5" hidden="false" customHeight="true" outlineLevel="0" collapsed="false">
      <c r="A2" s="26" t="s">
        <v>118</v>
      </c>
      <c r="B2" s="26" t="s">
        <v>119</v>
      </c>
      <c r="C2" s="26" t="s">
        <v>120</v>
      </c>
      <c r="D2" s="26" t="s">
        <v>121</v>
      </c>
      <c r="E2" s="26" t="s">
        <v>122</v>
      </c>
      <c r="F2" s="26" t="s">
        <v>123</v>
      </c>
    </row>
    <row r="3" customFormat="false" ht="15" hidden="false" customHeight="false" outlineLevel="0" collapsed="false">
      <c r="A3" s="27" t="s">
        <v>124</v>
      </c>
      <c r="B3" s="27" t="s">
        <v>125</v>
      </c>
      <c r="C3" s="27"/>
      <c r="D3" s="27" t="s">
        <v>126</v>
      </c>
      <c r="E3" s="28" t="n">
        <f aca="true">TODAY()-200</f>
        <v>46107</v>
      </c>
      <c r="F3" s="28" t="n">
        <f aca="true">TODAY()+160</f>
        <v>46467</v>
      </c>
    </row>
    <row r="4" customFormat="false" ht="15" hidden="false" customHeight="false" outlineLevel="0" collapsed="false">
      <c r="A4" s="27" t="s">
        <v>127</v>
      </c>
      <c r="B4" s="27" t="s">
        <v>128</v>
      </c>
      <c r="C4" s="27"/>
      <c r="D4" s="27" t="s">
        <v>126</v>
      </c>
      <c r="E4" s="28" t="n">
        <f aca="true">TODAY()-200</f>
        <v>46107</v>
      </c>
      <c r="F4" s="28" t="n">
        <f aca="true">TODAY()+160</f>
        <v>46467</v>
      </c>
    </row>
    <row r="5" customFormat="false" ht="15" hidden="false" customHeight="false" outlineLevel="0" collapsed="false">
      <c r="A5" s="27" t="s">
        <v>129</v>
      </c>
      <c r="B5" s="27" t="s">
        <v>128</v>
      </c>
      <c r="C5" s="27"/>
      <c r="D5" s="27" t="s">
        <v>126</v>
      </c>
      <c r="E5" s="28" t="n">
        <f aca="true">TODAY()-200</f>
        <v>46107</v>
      </c>
      <c r="F5" s="28" t="n">
        <f aca="true">TODAY()+160</f>
        <v>46467</v>
      </c>
    </row>
    <row r="6" customFormat="false" ht="15" hidden="false" customHeight="false" outlineLevel="0" collapsed="false">
      <c r="A6" s="27" t="s">
        <v>130</v>
      </c>
      <c r="B6" s="27" t="s">
        <v>131</v>
      </c>
      <c r="C6" s="27"/>
      <c r="D6" s="27" t="s">
        <v>132</v>
      </c>
      <c r="E6" s="28" t="n">
        <f aca="true">TODAY()-560</f>
        <v>45747</v>
      </c>
      <c r="F6" s="28" t="n">
        <f aca="true">TODAY()-30</f>
        <v>46277</v>
      </c>
    </row>
    <row r="7" customFormat="false" ht="15" hidden="false" customHeight="false" outlineLevel="0" collapsed="false">
      <c r="A7" s="27"/>
      <c r="B7" s="27"/>
      <c r="C7" s="27"/>
      <c r="D7" s="27"/>
      <c r="E7" s="28"/>
      <c r="F7" s="28"/>
    </row>
    <row r="8" customFormat="false" ht="15" hidden="false" customHeight="false" outlineLevel="0" collapsed="false">
      <c r="A8" s="27"/>
      <c r="B8" s="27"/>
      <c r="C8" s="27"/>
      <c r="D8" s="27"/>
      <c r="E8" s="28"/>
      <c r="F8" s="28"/>
    </row>
    <row r="9" customFormat="false" ht="15" hidden="false" customHeight="false" outlineLevel="0" collapsed="false">
      <c r="A9" s="27"/>
      <c r="B9" s="27"/>
      <c r="C9" s="27"/>
      <c r="D9" s="27"/>
      <c r="E9" s="28"/>
      <c r="F9" s="28"/>
    </row>
    <row r="10" customFormat="false" ht="15" hidden="false" customHeight="false" outlineLevel="0" collapsed="false">
      <c r="A10" s="27"/>
      <c r="B10" s="27"/>
      <c r="C10" s="27"/>
      <c r="D10" s="27"/>
      <c r="E10" s="28"/>
      <c r="F10" s="28"/>
    </row>
    <row r="11" customFormat="false" ht="15" hidden="false" customHeight="false" outlineLevel="0" collapsed="false">
      <c r="A11" s="27"/>
      <c r="B11" s="27"/>
      <c r="C11" s="27"/>
      <c r="D11" s="27"/>
      <c r="E11" s="28"/>
      <c r="F11" s="28"/>
    </row>
    <row r="12" customFormat="false" ht="15" hidden="false" customHeight="false" outlineLevel="0" collapsed="false">
      <c r="A12" s="27"/>
      <c r="B12" s="27"/>
      <c r="C12" s="27"/>
      <c r="D12" s="27"/>
      <c r="E12" s="28"/>
      <c r="F12" s="28"/>
    </row>
    <row r="13" customFormat="false" ht="15" hidden="false" customHeight="false" outlineLevel="0" collapsed="false">
      <c r="A13" s="27"/>
      <c r="B13" s="27"/>
      <c r="C13" s="27"/>
      <c r="D13" s="27"/>
      <c r="E13" s="28"/>
      <c r="F13" s="28"/>
    </row>
    <row r="14" customFormat="false" ht="15" hidden="false" customHeight="false" outlineLevel="0" collapsed="false">
      <c r="A14" s="27"/>
      <c r="B14" s="27"/>
      <c r="C14" s="27"/>
      <c r="D14" s="27"/>
      <c r="E14" s="28"/>
      <c r="F14" s="28"/>
    </row>
    <row r="15" customFormat="false" ht="15" hidden="false" customHeight="false" outlineLevel="0" collapsed="false">
      <c r="A15" s="27"/>
      <c r="B15" s="27"/>
      <c r="C15" s="27"/>
      <c r="D15" s="27"/>
      <c r="E15" s="28"/>
      <c r="F15" s="28"/>
    </row>
    <row r="16" customFormat="false" ht="15" hidden="false" customHeight="false" outlineLevel="0" collapsed="false">
      <c r="A16" s="27"/>
      <c r="B16" s="27"/>
      <c r="C16" s="27"/>
      <c r="D16" s="27"/>
      <c r="E16" s="28"/>
      <c r="F16" s="28"/>
    </row>
    <row r="17" customFormat="false" ht="15" hidden="false" customHeight="false" outlineLevel="0" collapsed="false">
      <c r="A17" s="27"/>
      <c r="B17" s="27"/>
      <c r="C17" s="27"/>
      <c r="D17" s="27"/>
      <c r="E17" s="28"/>
      <c r="F17" s="28"/>
    </row>
    <row r="18" customFormat="false" ht="15" hidden="false" customHeight="false" outlineLevel="0" collapsed="false">
      <c r="A18" s="27"/>
      <c r="B18" s="27"/>
      <c r="C18" s="27"/>
      <c r="D18" s="27"/>
      <c r="E18" s="28"/>
      <c r="F18" s="28"/>
    </row>
    <row r="19" customFormat="false" ht="15" hidden="false" customHeight="false" outlineLevel="0" collapsed="false">
      <c r="A19" s="27"/>
      <c r="B19" s="27"/>
      <c r="C19" s="27"/>
      <c r="D19" s="27"/>
      <c r="E19" s="28"/>
      <c r="F19" s="28"/>
    </row>
    <row r="20" customFormat="false" ht="15" hidden="false" customHeight="false" outlineLevel="0" collapsed="false">
      <c r="A20" s="27"/>
      <c r="B20" s="27"/>
      <c r="C20" s="27"/>
      <c r="D20" s="27"/>
      <c r="E20" s="28"/>
      <c r="F20" s="28"/>
    </row>
    <row r="21" customFormat="false" ht="15" hidden="false" customHeight="false" outlineLevel="0" collapsed="false">
      <c r="A21" s="27"/>
      <c r="B21" s="27"/>
      <c r="C21" s="27"/>
      <c r="D21" s="27"/>
      <c r="E21" s="28"/>
      <c r="F21" s="28"/>
    </row>
    <row r="22" customFormat="false" ht="15" hidden="false" customHeight="false" outlineLevel="0" collapsed="false">
      <c r="A22" s="27"/>
      <c r="B22" s="27"/>
      <c r="C22" s="27"/>
      <c r="D22" s="27"/>
      <c r="E22" s="28"/>
      <c r="F22" s="28"/>
    </row>
    <row r="23" customFormat="false" ht="15" hidden="false" customHeight="false" outlineLevel="0" collapsed="false">
      <c r="A23" s="27"/>
      <c r="B23" s="27"/>
      <c r="C23" s="27"/>
      <c r="D23" s="27"/>
      <c r="E23" s="28"/>
      <c r="F23" s="28"/>
    </row>
    <row r="24" customFormat="false" ht="15" hidden="false" customHeight="false" outlineLevel="0" collapsed="false">
      <c r="A24" s="27"/>
      <c r="B24" s="27"/>
      <c r="C24" s="27"/>
      <c r="D24" s="27"/>
      <c r="E24" s="28"/>
      <c r="F24" s="28"/>
    </row>
    <row r="25" customFormat="false" ht="15" hidden="false" customHeight="false" outlineLevel="0" collapsed="false">
      <c r="A25" s="27"/>
      <c r="B25" s="27"/>
      <c r="C25" s="27"/>
      <c r="D25" s="27"/>
      <c r="E25" s="28"/>
      <c r="F25" s="28"/>
    </row>
    <row r="26" customFormat="false" ht="15" hidden="false" customHeight="false" outlineLevel="0" collapsed="false">
      <c r="A26" s="27"/>
      <c r="B26" s="27"/>
      <c r="C26" s="27"/>
      <c r="D26" s="27"/>
      <c r="E26" s="28"/>
      <c r="F26" s="28"/>
    </row>
    <row r="27" customFormat="false" ht="15" hidden="false" customHeight="false" outlineLevel="0" collapsed="false">
      <c r="A27" s="27"/>
      <c r="B27" s="27"/>
      <c r="C27" s="27"/>
      <c r="D27" s="27"/>
      <c r="E27" s="28"/>
      <c r="F27" s="28"/>
    </row>
    <row r="28" customFormat="false" ht="15" hidden="false" customHeight="false" outlineLevel="0" collapsed="false">
      <c r="A28" s="27"/>
      <c r="B28" s="27"/>
      <c r="C28" s="27"/>
      <c r="D28" s="27"/>
      <c r="E28" s="28"/>
      <c r="F28" s="28"/>
    </row>
    <row r="29" customFormat="false" ht="15" hidden="false" customHeight="false" outlineLevel="0" collapsed="false">
      <c r="A29" s="27"/>
      <c r="B29" s="27"/>
      <c r="C29" s="27"/>
      <c r="D29" s="27"/>
      <c r="E29" s="28"/>
      <c r="F29" s="28"/>
    </row>
    <row r="30" customFormat="false" ht="15" hidden="false" customHeight="false" outlineLevel="0" collapsed="false">
      <c r="A30" s="27"/>
      <c r="B30" s="27"/>
      <c r="C30" s="27"/>
      <c r="D30" s="27"/>
      <c r="E30" s="28"/>
      <c r="F30" s="28"/>
    </row>
    <row r="31" customFormat="false" ht="15" hidden="false" customHeight="false" outlineLevel="0" collapsed="false">
      <c r="A31" s="27"/>
      <c r="B31" s="27"/>
      <c r="C31" s="27"/>
      <c r="D31" s="27"/>
      <c r="E31" s="28"/>
      <c r="F31" s="28"/>
    </row>
    <row r="32" customFormat="false" ht="15" hidden="false" customHeight="false" outlineLevel="0" collapsed="false">
      <c r="A32" s="27"/>
      <c r="B32" s="27"/>
      <c r="C32" s="27"/>
      <c r="D32" s="27"/>
      <c r="E32" s="28"/>
      <c r="F32" s="28"/>
    </row>
    <row r="33" customFormat="false" ht="15" hidden="false" customHeight="false" outlineLevel="0" collapsed="false">
      <c r="A33" s="27"/>
      <c r="B33" s="27"/>
      <c r="C33" s="27"/>
      <c r="D33" s="27"/>
      <c r="E33" s="28"/>
      <c r="F33" s="28"/>
    </row>
    <row r="34" customFormat="false" ht="15" hidden="false" customHeight="false" outlineLevel="0" collapsed="false">
      <c r="A34" s="27"/>
      <c r="B34" s="27"/>
      <c r="C34" s="27"/>
      <c r="D34" s="27"/>
      <c r="E34" s="28"/>
      <c r="F34" s="28"/>
    </row>
    <row r="35" customFormat="false" ht="15" hidden="false" customHeight="false" outlineLevel="0" collapsed="false">
      <c r="A35" s="27"/>
      <c r="B35" s="27"/>
      <c r="C35" s="27"/>
      <c r="D35" s="27"/>
      <c r="E35" s="28"/>
      <c r="F35" s="28"/>
    </row>
    <row r="36" customFormat="false" ht="15" hidden="false" customHeight="false" outlineLevel="0" collapsed="false">
      <c r="A36" s="27"/>
      <c r="B36" s="27"/>
      <c r="C36" s="27"/>
      <c r="D36" s="27"/>
      <c r="E36" s="28"/>
      <c r="F36" s="28"/>
    </row>
    <row r="37" customFormat="false" ht="15" hidden="false" customHeight="false" outlineLevel="0" collapsed="false">
      <c r="A37" s="27"/>
      <c r="B37" s="27"/>
      <c r="C37" s="27"/>
      <c r="D37" s="27"/>
      <c r="E37" s="28"/>
      <c r="F37" s="28"/>
    </row>
    <row r="38" customFormat="false" ht="15" hidden="false" customHeight="false" outlineLevel="0" collapsed="false">
      <c r="A38" s="27"/>
      <c r="B38" s="27"/>
      <c r="C38" s="27"/>
      <c r="D38" s="27"/>
      <c r="E38" s="28"/>
      <c r="F38" s="28"/>
    </row>
    <row r="39" customFormat="false" ht="15" hidden="false" customHeight="false" outlineLevel="0" collapsed="false">
      <c r="A39" s="27"/>
      <c r="B39" s="27"/>
      <c r="C39" s="27"/>
      <c r="D39" s="27"/>
      <c r="E39" s="28"/>
      <c r="F39" s="28"/>
    </row>
    <row r="40" customFormat="false" ht="15" hidden="false" customHeight="false" outlineLevel="0" collapsed="false">
      <c r="A40" s="27"/>
      <c r="B40" s="27"/>
      <c r="C40" s="27"/>
      <c r="D40" s="27"/>
      <c r="E40" s="28"/>
      <c r="F40" s="28"/>
    </row>
    <row r="41" customFormat="false" ht="15" hidden="false" customHeight="false" outlineLevel="0" collapsed="false">
      <c r="A41" s="27"/>
      <c r="B41" s="27"/>
      <c r="C41" s="27"/>
      <c r="D41" s="27"/>
      <c r="E41" s="28"/>
      <c r="F41" s="28"/>
    </row>
    <row r="42" customFormat="false" ht="15" hidden="false" customHeight="false" outlineLevel="0" collapsed="false">
      <c r="A42" s="27"/>
      <c r="B42" s="27"/>
      <c r="C42" s="27"/>
      <c r="D42" s="27"/>
      <c r="E42" s="28"/>
      <c r="F42" s="28"/>
    </row>
    <row r="43" customFormat="false" ht="15" hidden="false" customHeight="false" outlineLevel="0" collapsed="false">
      <c r="A43" s="27"/>
      <c r="B43" s="27"/>
      <c r="C43" s="27"/>
      <c r="D43" s="27"/>
      <c r="E43" s="28"/>
      <c r="F43" s="28"/>
    </row>
    <row r="44" customFormat="false" ht="15" hidden="false" customHeight="false" outlineLevel="0" collapsed="false">
      <c r="A44" s="27"/>
      <c r="B44" s="27"/>
      <c r="C44" s="27"/>
      <c r="D44" s="27"/>
      <c r="E44" s="28"/>
      <c r="F44" s="28"/>
    </row>
    <row r="45" customFormat="false" ht="15" hidden="false" customHeight="false" outlineLevel="0" collapsed="false">
      <c r="A45" s="27"/>
      <c r="B45" s="27"/>
      <c r="C45" s="27"/>
      <c r="D45" s="27"/>
      <c r="E45" s="28"/>
      <c r="F45" s="28"/>
    </row>
    <row r="46" customFormat="false" ht="15" hidden="false" customHeight="false" outlineLevel="0" collapsed="false">
      <c r="A46" s="27"/>
      <c r="B46" s="27"/>
      <c r="C46" s="27"/>
      <c r="D46" s="27"/>
      <c r="E46" s="28"/>
      <c r="F46" s="28"/>
    </row>
    <row r="47" customFormat="false" ht="15" hidden="false" customHeight="false" outlineLevel="0" collapsed="false">
      <c r="A47" s="27"/>
      <c r="B47" s="27"/>
      <c r="C47" s="27"/>
      <c r="D47" s="27"/>
      <c r="E47" s="28"/>
      <c r="F47" s="28"/>
    </row>
    <row r="48" customFormat="false" ht="15" hidden="false" customHeight="false" outlineLevel="0" collapsed="false">
      <c r="A48" s="27"/>
      <c r="B48" s="27"/>
      <c r="C48" s="27"/>
      <c r="D48" s="27"/>
      <c r="E48" s="28"/>
      <c r="F48" s="28"/>
    </row>
    <row r="49" customFormat="false" ht="15" hidden="false" customHeight="false" outlineLevel="0" collapsed="false">
      <c r="A49" s="27"/>
      <c r="B49" s="27"/>
      <c r="C49" s="27"/>
      <c r="D49" s="27"/>
      <c r="E49" s="28"/>
      <c r="F49" s="28"/>
    </row>
    <row r="50" customFormat="false" ht="15" hidden="false" customHeight="false" outlineLevel="0" collapsed="false">
      <c r="A50" s="27"/>
      <c r="B50" s="27"/>
      <c r="C50" s="27"/>
      <c r="D50" s="27"/>
      <c r="E50" s="28"/>
      <c r="F50" s="28"/>
    </row>
    <row r="51" customFormat="false" ht="15" hidden="false" customHeight="false" outlineLevel="0" collapsed="false">
      <c r="A51" s="27"/>
      <c r="B51" s="27"/>
      <c r="C51" s="27"/>
      <c r="D51" s="27"/>
      <c r="E51" s="28"/>
      <c r="F51" s="28"/>
    </row>
    <row r="52" customFormat="false" ht="15" hidden="false" customHeight="false" outlineLevel="0" collapsed="false">
      <c r="A52" s="27"/>
      <c r="B52" s="27"/>
      <c r="C52" s="27"/>
      <c r="D52" s="27"/>
      <c r="E52" s="28"/>
      <c r="F52" s="28"/>
    </row>
    <row r="53" customFormat="false" ht="15" hidden="false" customHeight="false" outlineLevel="0" collapsed="false">
      <c r="A53" s="27"/>
      <c r="B53" s="27"/>
      <c r="C53" s="27"/>
      <c r="D53" s="27"/>
      <c r="E53" s="28"/>
      <c r="F53" s="28"/>
    </row>
    <row r="54" customFormat="false" ht="15" hidden="false" customHeight="false" outlineLevel="0" collapsed="false">
      <c r="A54" s="27"/>
      <c r="B54" s="27"/>
      <c r="C54" s="27"/>
      <c r="D54" s="27"/>
      <c r="E54" s="28"/>
      <c r="F54" s="28"/>
    </row>
    <row r="55" customFormat="false" ht="15" hidden="false" customHeight="false" outlineLevel="0" collapsed="false">
      <c r="A55" s="27"/>
      <c r="B55" s="27"/>
      <c r="C55" s="27"/>
      <c r="D55" s="27"/>
      <c r="E55" s="28"/>
      <c r="F55" s="28"/>
    </row>
    <row r="56" customFormat="false" ht="15" hidden="false" customHeight="false" outlineLevel="0" collapsed="false">
      <c r="A56" s="27"/>
      <c r="B56" s="27"/>
      <c r="C56" s="27"/>
      <c r="D56" s="27"/>
      <c r="E56" s="28"/>
      <c r="F56" s="28"/>
    </row>
    <row r="57" customFormat="false" ht="15" hidden="false" customHeight="false" outlineLevel="0" collapsed="false">
      <c r="A57" s="27"/>
      <c r="B57" s="27"/>
      <c r="C57" s="27"/>
      <c r="D57" s="27"/>
      <c r="E57" s="28"/>
      <c r="F57" s="28"/>
    </row>
    <row r="58" customFormat="false" ht="15" hidden="false" customHeight="false" outlineLevel="0" collapsed="false">
      <c r="A58" s="27"/>
      <c r="B58" s="27"/>
      <c r="C58" s="27"/>
      <c r="D58" s="27"/>
      <c r="E58" s="28"/>
      <c r="F58" s="28"/>
    </row>
    <row r="59" customFormat="false" ht="15" hidden="false" customHeight="false" outlineLevel="0" collapsed="false">
      <c r="A59" s="27"/>
      <c r="B59" s="27"/>
      <c r="C59" s="27"/>
      <c r="D59" s="27"/>
      <c r="E59" s="28"/>
      <c r="F59" s="28"/>
    </row>
    <row r="60" customFormat="false" ht="15" hidden="false" customHeight="false" outlineLevel="0" collapsed="false">
      <c r="A60" s="27"/>
      <c r="B60" s="27"/>
      <c r="C60" s="27"/>
      <c r="D60" s="27"/>
      <c r="E60" s="28"/>
      <c r="F60" s="28"/>
    </row>
    <row r="61" customFormat="false" ht="15" hidden="false" customHeight="false" outlineLevel="0" collapsed="false">
      <c r="A61" s="27"/>
      <c r="B61" s="27"/>
      <c r="C61" s="27"/>
      <c r="D61" s="27"/>
      <c r="E61" s="28"/>
      <c r="F61" s="28"/>
    </row>
    <row r="62" customFormat="false" ht="15" hidden="false" customHeight="false" outlineLevel="0" collapsed="false">
      <c r="A62" s="27"/>
      <c r="B62" s="27"/>
      <c r="C62" s="27"/>
      <c r="D62" s="27"/>
      <c r="E62" s="28"/>
      <c r="F62" s="28"/>
    </row>
    <row r="63" customFormat="false" ht="15" hidden="false" customHeight="false" outlineLevel="0" collapsed="false">
      <c r="A63" s="27"/>
      <c r="B63" s="27"/>
      <c r="C63" s="27"/>
      <c r="D63" s="27"/>
      <c r="E63" s="28"/>
      <c r="F63" s="28"/>
    </row>
    <row r="64" customFormat="false" ht="15" hidden="false" customHeight="false" outlineLevel="0" collapsed="false">
      <c r="A64" s="27"/>
      <c r="B64" s="27"/>
      <c r="C64" s="27"/>
      <c r="D64" s="27"/>
      <c r="E64" s="28"/>
      <c r="F64" s="28"/>
    </row>
    <row r="65" customFormat="false" ht="15" hidden="false" customHeight="false" outlineLevel="0" collapsed="false">
      <c r="A65" s="27"/>
      <c r="B65" s="27"/>
      <c r="C65" s="27"/>
      <c r="D65" s="27"/>
      <c r="E65" s="28"/>
      <c r="F65" s="28"/>
    </row>
    <row r="66" customFormat="false" ht="15" hidden="false" customHeight="false" outlineLevel="0" collapsed="false">
      <c r="A66" s="27"/>
      <c r="B66" s="27"/>
      <c r="C66" s="27"/>
      <c r="D66" s="27"/>
      <c r="E66" s="28"/>
      <c r="F66" s="28"/>
    </row>
    <row r="67" customFormat="false" ht="15" hidden="false" customHeight="false" outlineLevel="0" collapsed="false">
      <c r="A67" s="27"/>
      <c r="B67" s="27"/>
      <c r="C67" s="27"/>
      <c r="D67" s="27"/>
      <c r="E67" s="28"/>
      <c r="F67" s="28"/>
    </row>
    <row r="68" customFormat="false" ht="15" hidden="false" customHeight="false" outlineLevel="0" collapsed="false">
      <c r="A68" s="27"/>
      <c r="B68" s="27"/>
      <c r="C68" s="27"/>
      <c r="D68" s="27"/>
      <c r="E68" s="28"/>
      <c r="F68" s="28"/>
    </row>
    <row r="69" customFormat="false" ht="15" hidden="false" customHeight="false" outlineLevel="0" collapsed="false">
      <c r="A69" s="27"/>
      <c r="B69" s="27"/>
      <c r="C69" s="27"/>
      <c r="D69" s="27"/>
      <c r="E69" s="28"/>
      <c r="F69" s="28"/>
    </row>
    <row r="70" customFormat="false" ht="15" hidden="false" customHeight="false" outlineLevel="0" collapsed="false">
      <c r="A70" s="27"/>
      <c r="B70" s="27"/>
      <c r="C70" s="27"/>
      <c r="D70" s="27"/>
      <c r="E70" s="28"/>
      <c r="F70" s="28"/>
    </row>
    <row r="71" customFormat="false" ht="15" hidden="false" customHeight="false" outlineLevel="0" collapsed="false">
      <c r="A71" s="27"/>
      <c r="B71" s="27"/>
      <c r="C71" s="27"/>
      <c r="D71" s="27"/>
      <c r="E71" s="28"/>
      <c r="F71" s="28"/>
    </row>
    <row r="72" customFormat="false" ht="15" hidden="false" customHeight="false" outlineLevel="0" collapsed="false">
      <c r="A72" s="27"/>
      <c r="B72" s="27"/>
      <c r="C72" s="27"/>
      <c r="D72" s="27"/>
      <c r="E72" s="28"/>
      <c r="F72" s="28"/>
    </row>
    <row r="73" customFormat="false" ht="15" hidden="false" customHeight="false" outlineLevel="0" collapsed="false">
      <c r="A73" s="27"/>
      <c r="B73" s="27"/>
      <c r="C73" s="27"/>
      <c r="D73" s="27"/>
      <c r="E73" s="28"/>
      <c r="F73" s="28"/>
    </row>
    <row r="74" customFormat="false" ht="15" hidden="false" customHeight="false" outlineLevel="0" collapsed="false">
      <c r="A74" s="27"/>
      <c r="B74" s="27"/>
      <c r="C74" s="27"/>
      <c r="D74" s="27"/>
      <c r="E74" s="28"/>
      <c r="F74" s="28"/>
    </row>
    <row r="75" customFormat="false" ht="15" hidden="false" customHeight="false" outlineLevel="0" collapsed="false">
      <c r="A75" s="27"/>
      <c r="B75" s="27"/>
      <c r="C75" s="27"/>
      <c r="D75" s="27"/>
      <c r="E75" s="28"/>
      <c r="F75" s="28"/>
    </row>
    <row r="76" customFormat="false" ht="15" hidden="false" customHeight="false" outlineLevel="0" collapsed="false">
      <c r="A76" s="27"/>
      <c r="B76" s="27"/>
      <c r="C76" s="27"/>
      <c r="D76" s="27"/>
      <c r="E76" s="28"/>
      <c r="F76" s="28"/>
    </row>
    <row r="77" customFormat="false" ht="15" hidden="false" customHeight="false" outlineLevel="0" collapsed="false">
      <c r="A77" s="27"/>
      <c r="B77" s="27"/>
      <c r="C77" s="27"/>
      <c r="D77" s="27"/>
      <c r="E77" s="28"/>
      <c r="F77" s="28"/>
    </row>
    <row r="78" customFormat="false" ht="15" hidden="false" customHeight="false" outlineLevel="0" collapsed="false">
      <c r="A78" s="27"/>
      <c r="B78" s="27"/>
      <c r="C78" s="27"/>
      <c r="D78" s="27"/>
      <c r="E78" s="28"/>
      <c r="F78" s="28"/>
    </row>
    <row r="79" customFormat="false" ht="15" hidden="false" customHeight="false" outlineLevel="0" collapsed="false">
      <c r="A79" s="27"/>
      <c r="B79" s="27"/>
      <c r="C79" s="27"/>
      <c r="D79" s="27"/>
      <c r="E79" s="28"/>
      <c r="F79" s="28"/>
    </row>
    <row r="80" customFormat="false" ht="15" hidden="false" customHeight="false" outlineLevel="0" collapsed="false">
      <c r="A80" s="27"/>
      <c r="B80" s="27"/>
      <c r="C80" s="27"/>
      <c r="D80" s="27"/>
      <c r="E80" s="28"/>
      <c r="F80" s="28"/>
    </row>
    <row r="81" customFormat="false" ht="15" hidden="false" customHeight="false" outlineLevel="0" collapsed="false">
      <c r="A81" s="27"/>
      <c r="B81" s="27"/>
      <c r="C81" s="27"/>
      <c r="D81" s="27"/>
      <c r="E81" s="28"/>
      <c r="F81" s="28"/>
    </row>
    <row r="82" customFormat="false" ht="15" hidden="false" customHeight="false" outlineLevel="0" collapsed="false">
      <c r="A82" s="27"/>
      <c r="B82" s="27"/>
      <c r="C82" s="27"/>
      <c r="D82" s="27"/>
      <c r="E82" s="28"/>
      <c r="F82" s="28"/>
    </row>
    <row r="83" customFormat="false" ht="15" hidden="false" customHeight="false" outlineLevel="0" collapsed="false">
      <c r="A83" s="27"/>
      <c r="B83" s="27"/>
      <c r="C83" s="27"/>
      <c r="D83" s="27"/>
      <c r="E83" s="28"/>
      <c r="F83" s="28"/>
    </row>
    <row r="84" customFormat="false" ht="15" hidden="false" customHeight="false" outlineLevel="0" collapsed="false">
      <c r="A84" s="27"/>
      <c r="B84" s="27"/>
      <c r="C84" s="27"/>
      <c r="D84" s="27"/>
      <c r="E84" s="28"/>
      <c r="F84" s="28"/>
    </row>
    <row r="85" customFormat="false" ht="15" hidden="false" customHeight="false" outlineLevel="0" collapsed="false">
      <c r="A85" s="27"/>
      <c r="B85" s="27"/>
      <c r="C85" s="27"/>
      <c r="D85" s="27"/>
      <c r="E85" s="28"/>
      <c r="F85" s="28"/>
    </row>
    <row r="86" customFormat="false" ht="15" hidden="false" customHeight="false" outlineLevel="0" collapsed="false">
      <c r="A86" s="27"/>
      <c r="B86" s="27"/>
      <c r="C86" s="27"/>
      <c r="D86" s="27"/>
      <c r="E86" s="28"/>
      <c r="F86" s="28"/>
    </row>
    <row r="87" customFormat="false" ht="15" hidden="false" customHeight="false" outlineLevel="0" collapsed="false">
      <c r="A87" s="27"/>
      <c r="B87" s="27"/>
      <c r="C87" s="27"/>
      <c r="D87" s="27"/>
      <c r="E87" s="28"/>
      <c r="F87" s="28"/>
    </row>
    <row r="88" customFormat="false" ht="15" hidden="false" customHeight="false" outlineLevel="0" collapsed="false">
      <c r="A88" s="27"/>
      <c r="B88" s="27"/>
      <c r="C88" s="27"/>
      <c r="D88" s="27"/>
      <c r="E88" s="28"/>
      <c r="F88" s="28"/>
    </row>
    <row r="89" customFormat="false" ht="15" hidden="false" customHeight="false" outlineLevel="0" collapsed="false">
      <c r="A89" s="27"/>
      <c r="B89" s="27"/>
      <c r="C89" s="27"/>
      <c r="D89" s="27"/>
      <c r="E89" s="28"/>
      <c r="F89" s="28"/>
    </row>
    <row r="90" customFormat="false" ht="15" hidden="false" customHeight="false" outlineLevel="0" collapsed="false">
      <c r="A90" s="27"/>
      <c r="B90" s="27"/>
      <c r="C90" s="27"/>
      <c r="D90" s="27"/>
      <c r="E90" s="28"/>
      <c r="F90" s="28"/>
    </row>
    <row r="91" customFormat="false" ht="15" hidden="false" customHeight="false" outlineLevel="0" collapsed="false">
      <c r="A91" s="27"/>
      <c r="B91" s="27"/>
      <c r="C91" s="27"/>
      <c r="D91" s="27"/>
      <c r="E91" s="28"/>
      <c r="F91" s="28"/>
    </row>
    <row r="92" customFormat="false" ht="15" hidden="false" customHeight="false" outlineLevel="0" collapsed="false">
      <c r="A92" s="27"/>
      <c r="B92" s="27"/>
      <c r="C92" s="27"/>
      <c r="D92" s="27"/>
      <c r="E92" s="28"/>
      <c r="F92" s="28"/>
    </row>
    <row r="93" customFormat="false" ht="15" hidden="false" customHeight="false" outlineLevel="0" collapsed="false">
      <c r="A93" s="27"/>
      <c r="B93" s="27"/>
      <c r="C93" s="27"/>
      <c r="D93" s="27"/>
      <c r="E93" s="28"/>
      <c r="F93" s="28"/>
    </row>
    <row r="94" customFormat="false" ht="15" hidden="false" customHeight="false" outlineLevel="0" collapsed="false">
      <c r="A94" s="27"/>
      <c r="B94" s="27"/>
      <c r="C94" s="27"/>
      <c r="D94" s="27"/>
      <c r="E94" s="28"/>
      <c r="F94" s="28"/>
    </row>
    <row r="95" customFormat="false" ht="15" hidden="false" customHeight="false" outlineLevel="0" collapsed="false">
      <c r="A95" s="27"/>
      <c r="B95" s="27"/>
      <c r="C95" s="27"/>
      <c r="D95" s="27"/>
      <c r="E95" s="28"/>
      <c r="F95" s="28"/>
    </row>
    <row r="96" customFormat="false" ht="15" hidden="false" customHeight="false" outlineLevel="0" collapsed="false">
      <c r="A96" s="27"/>
      <c r="B96" s="27"/>
      <c r="C96" s="27"/>
      <c r="D96" s="27"/>
      <c r="E96" s="28"/>
      <c r="F96" s="28"/>
    </row>
    <row r="97" customFormat="false" ht="15" hidden="false" customHeight="false" outlineLevel="0" collapsed="false">
      <c r="A97" s="27"/>
      <c r="B97" s="27"/>
      <c r="C97" s="27"/>
      <c r="D97" s="27"/>
      <c r="E97" s="28"/>
      <c r="F97" s="28"/>
    </row>
    <row r="98" customFormat="false" ht="15" hidden="false" customHeight="false" outlineLevel="0" collapsed="false">
      <c r="A98" s="27"/>
      <c r="B98" s="27"/>
      <c r="C98" s="27"/>
      <c r="D98" s="27"/>
      <c r="E98" s="28"/>
      <c r="F98" s="28"/>
    </row>
    <row r="99" customFormat="false" ht="15" hidden="false" customHeight="false" outlineLevel="0" collapsed="false">
      <c r="A99" s="27"/>
      <c r="B99" s="27"/>
      <c r="C99" s="27"/>
      <c r="D99" s="27"/>
      <c r="E99" s="28"/>
      <c r="F99" s="28"/>
    </row>
    <row r="100" customFormat="false" ht="15" hidden="false" customHeight="false" outlineLevel="0" collapsed="false">
      <c r="A100" s="27"/>
      <c r="B100" s="27"/>
      <c r="C100" s="27"/>
      <c r="D100" s="27"/>
      <c r="E100" s="28"/>
      <c r="F100" s="28"/>
    </row>
    <row r="101" customFormat="false" ht="15" hidden="false" customHeight="false" outlineLevel="0" collapsed="false">
      <c r="A101" s="27"/>
      <c r="B101" s="27"/>
      <c r="C101" s="27"/>
      <c r="D101" s="27"/>
      <c r="E101" s="28"/>
      <c r="F101" s="28"/>
    </row>
    <row r="102" customFormat="false" ht="15" hidden="false" customHeight="false" outlineLevel="0" collapsed="false">
      <c r="A102" s="27"/>
      <c r="B102" s="27"/>
      <c r="C102" s="27"/>
      <c r="D102" s="27"/>
      <c r="E102" s="28"/>
      <c r="F102" s="28"/>
    </row>
    <row r="103" customFormat="false" ht="15" hidden="false" customHeight="false" outlineLevel="0" collapsed="false">
      <c r="A103" s="27"/>
      <c r="B103" s="27"/>
      <c r="C103" s="27"/>
      <c r="D103" s="27"/>
      <c r="E103" s="28"/>
      <c r="F103" s="28"/>
    </row>
    <row r="104" customFormat="false" ht="15" hidden="false" customHeight="false" outlineLevel="0" collapsed="false">
      <c r="A104" s="27"/>
      <c r="B104" s="27"/>
      <c r="C104" s="27"/>
      <c r="D104" s="27"/>
      <c r="E104" s="28"/>
      <c r="F104" s="28"/>
    </row>
    <row r="105" customFormat="false" ht="15" hidden="false" customHeight="false" outlineLevel="0" collapsed="false">
      <c r="A105" s="27"/>
      <c r="B105" s="27"/>
      <c r="C105" s="27"/>
      <c r="D105" s="27"/>
      <c r="E105" s="28"/>
      <c r="F105" s="28"/>
    </row>
    <row r="106" customFormat="false" ht="15" hidden="false" customHeight="false" outlineLevel="0" collapsed="false">
      <c r="A106" s="27"/>
      <c r="B106" s="27"/>
      <c r="C106" s="27"/>
      <c r="D106" s="27"/>
      <c r="E106" s="28"/>
      <c r="F106" s="28"/>
    </row>
    <row r="107" customFormat="false" ht="15" hidden="false" customHeight="false" outlineLevel="0" collapsed="false">
      <c r="A107" s="27"/>
      <c r="B107" s="27"/>
      <c r="C107" s="27"/>
      <c r="D107" s="27"/>
      <c r="E107" s="28"/>
      <c r="F107" s="28"/>
    </row>
    <row r="108" customFormat="false" ht="15" hidden="false" customHeight="false" outlineLevel="0" collapsed="false">
      <c r="A108" s="27"/>
      <c r="B108" s="27"/>
      <c r="C108" s="27"/>
      <c r="D108" s="27"/>
      <c r="E108" s="28"/>
      <c r="F108" s="28"/>
    </row>
    <row r="109" customFormat="false" ht="15" hidden="false" customHeight="false" outlineLevel="0" collapsed="false">
      <c r="A109" s="27"/>
      <c r="B109" s="27"/>
      <c r="C109" s="27"/>
      <c r="D109" s="27"/>
      <c r="E109" s="28"/>
      <c r="F109" s="28"/>
    </row>
    <row r="110" customFormat="false" ht="15" hidden="false" customHeight="false" outlineLevel="0" collapsed="false">
      <c r="A110" s="27"/>
      <c r="B110" s="27"/>
      <c r="C110" s="27"/>
      <c r="D110" s="27"/>
      <c r="E110" s="28"/>
      <c r="F110" s="28"/>
    </row>
    <row r="111" customFormat="false" ht="15" hidden="false" customHeight="false" outlineLevel="0" collapsed="false">
      <c r="A111" s="27"/>
      <c r="B111" s="27"/>
      <c r="C111" s="27"/>
      <c r="D111" s="27"/>
      <c r="E111" s="28"/>
      <c r="F111" s="28"/>
    </row>
    <row r="112" customFormat="false" ht="15" hidden="false" customHeight="false" outlineLevel="0" collapsed="false">
      <c r="A112" s="27"/>
      <c r="B112" s="27"/>
      <c r="C112" s="27"/>
      <c r="D112" s="27"/>
      <c r="E112" s="28"/>
      <c r="F112" s="28"/>
    </row>
    <row r="113" customFormat="false" ht="15" hidden="false" customHeight="false" outlineLevel="0" collapsed="false">
      <c r="A113" s="27"/>
      <c r="B113" s="27"/>
      <c r="C113" s="27"/>
      <c r="D113" s="27"/>
      <c r="E113" s="28"/>
      <c r="F113" s="28"/>
    </row>
    <row r="114" customFormat="false" ht="15" hidden="false" customHeight="false" outlineLevel="0" collapsed="false">
      <c r="A114" s="27"/>
      <c r="B114" s="27"/>
      <c r="C114" s="27"/>
      <c r="D114" s="27"/>
      <c r="E114" s="28"/>
      <c r="F114" s="28"/>
    </row>
    <row r="115" customFormat="false" ht="15" hidden="false" customHeight="false" outlineLevel="0" collapsed="false">
      <c r="A115" s="27"/>
      <c r="B115" s="27"/>
      <c r="C115" s="27"/>
      <c r="D115" s="27"/>
      <c r="E115" s="28"/>
      <c r="F115" s="28"/>
    </row>
    <row r="116" customFormat="false" ht="15" hidden="false" customHeight="false" outlineLevel="0" collapsed="false">
      <c r="A116" s="27"/>
      <c r="B116" s="27"/>
      <c r="C116" s="27"/>
      <c r="D116" s="27"/>
      <c r="E116" s="28"/>
      <c r="F116" s="28"/>
    </row>
    <row r="117" customFormat="false" ht="15" hidden="false" customHeight="false" outlineLevel="0" collapsed="false">
      <c r="A117" s="27"/>
      <c r="B117" s="27"/>
      <c r="C117" s="27"/>
      <c r="D117" s="27"/>
      <c r="E117" s="28"/>
      <c r="F117" s="28"/>
    </row>
    <row r="118" customFormat="false" ht="15" hidden="false" customHeight="false" outlineLevel="0" collapsed="false">
      <c r="A118" s="27"/>
      <c r="B118" s="27"/>
      <c r="C118" s="27"/>
      <c r="D118" s="27"/>
      <c r="E118" s="28"/>
      <c r="F118" s="28"/>
    </row>
    <row r="119" customFormat="false" ht="15" hidden="false" customHeight="false" outlineLevel="0" collapsed="false">
      <c r="A119" s="27"/>
      <c r="B119" s="27"/>
      <c r="C119" s="27"/>
      <c r="D119" s="27"/>
      <c r="E119" s="28"/>
      <c r="F119" s="28"/>
    </row>
    <row r="120" customFormat="false" ht="15" hidden="false" customHeight="false" outlineLevel="0" collapsed="false">
      <c r="A120" s="27"/>
      <c r="B120" s="27"/>
      <c r="C120" s="27"/>
      <c r="D120" s="27"/>
      <c r="E120" s="28"/>
      <c r="F120" s="28"/>
    </row>
    <row r="121" customFormat="false" ht="15" hidden="false" customHeight="false" outlineLevel="0" collapsed="false">
      <c r="A121" s="27"/>
      <c r="B121" s="27"/>
      <c r="C121" s="27"/>
      <c r="D121" s="27"/>
      <c r="E121" s="28"/>
      <c r="F121" s="28"/>
    </row>
    <row r="122" customFormat="false" ht="15" hidden="false" customHeight="false" outlineLevel="0" collapsed="false">
      <c r="A122" s="27"/>
      <c r="B122" s="27"/>
      <c r="C122" s="27"/>
      <c r="D122" s="27"/>
      <c r="E122" s="28"/>
      <c r="F122" s="28"/>
    </row>
    <row r="123" customFormat="false" ht="15" hidden="false" customHeight="false" outlineLevel="0" collapsed="false">
      <c r="A123" s="27"/>
      <c r="B123" s="27"/>
      <c r="C123" s="27"/>
      <c r="D123" s="27"/>
      <c r="E123" s="28"/>
      <c r="F123" s="28"/>
    </row>
    <row r="124" customFormat="false" ht="15" hidden="false" customHeight="false" outlineLevel="0" collapsed="false">
      <c r="A124" s="27"/>
      <c r="B124" s="27"/>
      <c r="C124" s="27"/>
      <c r="D124" s="27"/>
      <c r="E124" s="28"/>
      <c r="F124" s="28"/>
    </row>
    <row r="125" customFormat="false" ht="15" hidden="false" customHeight="false" outlineLevel="0" collapsed="false">
      <c r="A125" s="27"/>
      <c r="B125" s="27"/>
      <c r="C125" s="27"/>
      <c r="D125" s="27"/>
      <c r="E125" s="28"/>
      <c r="F125" s="28"/>
    </row>
    <row r="126" customFormat="false" ht="15" hidden="false" customHeight="false" outlineLevel="0" collapsed="false">
      <c r="A126" s="27"/>
      <c r="B126" s="27"/>
      <c r="C126" s="27"/>
      <c r="D126" s="27"/>
      <c r="E126" s="28"/>
      <c r="F126" s="28"/>
    </row>
    <row r="127" customFormat="false" ht="15" hidden="false" customHeight="false" outlineLevel="0" collapsed="false">
      <c r="A127" s="27"/>
      <c r="B127" s="27"/>
      <c r="C127" s="27"/>
      <c r="D127" s="27"/>
      <c r="E127" s="28"/>
      <c r="F127" s="28"/>
    </row>
    <row r="128" customFormat="false" ht="15" hidden="false" customHeight="false" outlineLevel="0" collapsed="false">
      <c r="A128" s="27"/>
      <c r="B128" s="27"/>
      <c r="C128" s="27"/>
      <c r="D128" s="27"/>
      <c r="E128" s="28"/>
      <c r="F128" s="28"/>
    </row>
    <row r="129" customFormat="false" ht="15" hidden="false" customHeight="false" outlineLevel="0" collapsed="false">
      <c r="A129" s="27"/>
      <c r="B129" s="27"/>
      <c r="C129" s="27"/>
      <c r="D129" s="27"/>
      <c r="E129" s="28"/>
      <c r="F129" s="28"/>
    </row>
    <row r="130" customFormat="false" ht="15" hidden="false" customHeight="false" outlineLevel="0" collapsed="false">
      <c r="A130" s="27"/>
      <c r="B130" s="27"/>
      <c r="C130" s="27"/>
      <c r="D130" s="27"/>
      <c r="E130" s="28"/>
      <c r="F130" s="28"/>
    </row>
    <row r="131" customFormat="false" ht="15" hidden="false" customHeight="false" outlineLevel="0" collapsed="false">
      <c r="A131" s="27"/>
      <c r="B131" s="27"/>
      <c r="C131" s="27"/>
      <c r="D131" s="27"/>
      <c r="E131" s="28"/>
      <c r="F131" s="28"/>
    </row>
    <row r="132" customFormat="false" ht="15" hidden="false" customHeight="false" outlineLevel="0" collapsed="false">
      <c r="A132" s="27"/>
      <c r="B132" s="27"/>
      <c r="C132" s="27"/>
      <c r="D132" s="27"/>
      <c r="E132" s="28"/>
      <c r="F132" s="28"/>
    </row>
    <row r="133" customFormat="false" ht="15" hidden="false" customHeight="false" outlineLevel="0" collapsed="false">
      <c r="A133" s="27"/>
      <c r="B133" s="27"/>
      <c r="C133" s="27"/>
      <c r="D133" s="27"/>
      <c r="E133" s="28"/>
      <c r="F133" s="28"/>
    </row>
    <row r="134" customFormat="false" ht="15" hidden="false" customHeight="false" outlineLevel="0" collapsed="false">
      <c r="A134" s="27"/>
      <c r="B134" s="27"/>
      <c r="C134" s="27"/>
      <c r="D134" s="27"/>
      <c r="E134" s="28"/>
      <c r="F134" s="28"/>
    </row>
    <row r="135" customFormat="false" ht="15" hidden="false" customHeight="false" outlineLevel="0" collapsed="false">
      <c r="A135" s="27"/>
      <c r="B135" s="27"/>
      <c r="C135" s="27"/>
      <c r="D135" s="27"/>
      <c r="E135" s="28"/>
      <c r="F135" s="28"/>
    </row>
    <row r="136" customFormat="false" ht="15" hidden="false" customHeight="false" outlineLevel="0" collapsed="false">
      <c r="A136" s="27"/>
      <c r="B136" s="27"/>
      <c r="C136" s="27"/>
      <c r="D136" s="27"/>
      <c r="E136" s="28"/>
      <c r="F136" s="28"/>
    </row>
    <row r="137" customFormat="false" ht="15" hidden="false" customHeight="false" outlineLevel="0" collapsed="false">
      <c r="A137" s="27"/>
      <c r="B137" s="27"/>
      <c r="C137" s="27"/>
      <c r="D137" s="27"/>
      <c r="E137" s="28"/>
      <c r="F137" s="28"/>
    </row>
    <row r="138" customFormat="false" ht="15" hidden="false" customHeight="false" outlineLevel="0" collapsed="false">
      <c r="A138" s="27"/>
      <c r="B138" s="27"/>
      <c r="C138" s="27"/>
      <c r="D138" s="27"/>
      <c r="E138" s="28"/>
      <c r="F138" s="28"/>
    </row>
    <row r="139" customFormat="false" ht="15" hidden="false" customHeight="false" outlineLevel="0" collapsed="false">
      <c r="A139" s="27"/>
      <c r="B139" s="27"/>
      <c r="C139" s="27"/>
      <c r="D139" s="27"/>
      <c r="E139" s="28"/>
      <c r="F139" s="28"/>
    </row>
    <row r="140" customFormat="false" ht="15" hidden="false" customHeight="false" outlineLevel="0" collapsed="false">
      <c r="A140" s="27"/>
      <c r="B140" s="27"/>
      <c r="C140" s="27"/>
      <c r="D140" s="27"/>
      <c r="E140" s="28"/>
      <c r="F140" s="28"/>
    </row>
    <row r="141" customFormat="false" ht="15" hidden="false" customHeight="false" outlineLevel="0" collapsed="false">
      <c r="A141" s="27"/>
      <c r="B141" s="27"/>
      <c r="C141" s="27"/>
      <c r="D141" s="27"/>
      <c r="E141" s="28"/>
      <c r="F141" s="28"/>
    </row>
    <row r="142" customFormat="false" ht="15" hidden="false" customHeight="false" outlineLevel="0" collapsed="false">
      <c r="A142" s="27"/>
      <c r="B142" s="27"/>
      <c r="C142" s="27"/>
      <c r="D142" s="27"/>
      <c r="E142" s="28"/>
      <c r="F142" s="28"/>
    </row>
    <row r="143" customFormat="false" ht="15" hidden="false" customHeight="false" outlineLevel="0" collapsed="false">
      <c r="A143" s="27"/>
      <c r="B143" s="27"/>
      <c r="C143" s="27"/>
      <c r="D143" s="27"/>
      <c r="E143" s="28"/>
      <c r="F143" s="28"/>
    </row>
    <row r="144" customFormat="false" ht="15" hidden="false" customHeight="false" outlineLevel="0" collapsed="false">
      <c r="A144" s="27"/>
      <c r="B144" s="27"/>
      <c r="C144" s="27"/>
      <c r="D144" s="27"/>
      <c r="E144" s="28"/>
      <c r="F144" s="28"/>
    </row>
    <row r="145" customFormat="false" ht="15" hidden="false" customHeight="false" outlineLevel="0" collapsed="false">
      <c r="A145" s="27"/>
      <c r="B145" s="27"/>
      <c r="C145" s="27"/>
      <c r="D145" s="27"/>
      <c r="E145" s="28"/>
      <c r="F145" s="28"/>
    </row>
    <row r="146" customFormat="false" ht="15" hidden="false" customHeight="false" outlineLevel="0" collapsed="false">
      <c r="A146" s="27"/>
      <c r="B146" s="27"/>
      <c r="C146" s="27"/>
      <c r="D146" s="27"/>
      <c r="E146" s="28"/>
      <c r="F146" s="28"/>
    </row>
    <row r="147" customFormat="false" ht="15" hidden="false" customHeight="false" outlineLevel="0" collapsed="false">
      <c r="A147" s="27"/>
      <c r="B147" s="27"/>
      <c r="C147" s="27"/>
      <c r="D147" s="27"/>
      <c r="E147" s="28"/>
      <c r="F147" s="28"/>
    </row>
    <row r="148" customFormat="false" ht="15" hidden="false" customHeight="false" outlineLevel="0" collapsed="false">
      <c r="A148" s="27"/>
      <c r="B148" s="27"/>
      <c r="C148" s="27"/>
      <c r="D148" s="27"/>
      <c r="E148" s="28"/>
      <c r="F148" s="28"/>
    </row>
    <row r="149" customFormat="false" ht="15" hidden="false" customHeight="false" outlineLevel="0" collapsed="false">
      <c r="A149" s="27"/>
      <c r="B149" s="27"/>
      <c r="C149" s="27"/>
      <c r="D149" s="27"/>
      <c r="E149" s="28"/>
      <c r="F149" s="28"/>
    </row>
    <row r="150" customFormat="false" ht="15" hidden="false" customHeight="false" outlineLevel="0" collapsed="false">
      <c r="A150" s="27"/>
      <c r="B150" s="27"/>
      <c r="C150" s="27"/>
      <c r="D150" s="27"/>
      <c r="E150" s="28"/>
      <c r="F150" s="28"/>
    </row>
    <row r="151" customFormat="false" ht="15" hidden="false" customHeight="false" outlineLevel="0" collapsed="false">
      <c r="A151" s="27"/>
      <c r="B151" s="27"/>
      <c r="C151" s="27"/>
      <c r="D151" s="27"/>
      <c r="E151" s="28"/>
      <c r="F151" s="28"/>
    </row>
    <row r="152" customFormat="false" ht="15" hidden="false" customHeight="false" outlineLevel="0" collapsed="false">
      <c r="A152" s="27"/>
      <c r="B152" s="27"/>
      <c r="C152" s="27"/>
      <c r="D152" s="27"/>
      <c r="E152" s="28"/>
      <c r="F152" s="28"/>
    </row>
    <row r="153" customFormat="false" ht="15" hidden="false" customHeight="false" outlineLevel="0" collapsed="false">
      <c r="A153" s="27"/>
      <c r="B153" s="27"/>
      <c r="C153" s="27"/>
      <c r="D153" s="27"/>
      <c r="E153" s="28"/>
      <c r="F153" s="28"/>
    </row>
    <row r="154" customFormat="false" ht="15" hidden="false" customHeight="false" outlineLevel="0" collapsed="false">
      <c r="A154" s="27"/>
      <c r="B154" s="27"/>
      <c r="C154" s="27"/>
      <c r="D154" s="27"/>
      <c r="E154" s="28"/>
      <c r="F154" s="28"/>
    </row>
    <row r="155" customFormat="false" ht="15" hidden="false" customHeight="false" outlineLevel="0" collapsed="false">
      <c r="A155" s="27"/>
      <c r="B155" s="27"/>
      <c r="C155" s="27"/>
      <c r="D155" s="27"/>
      <c r="E155" s="28"/>
      <c r="F155" s="28"/>
    </row>
    <row r="156" customFormat="false" ht="15" hidden="false" customHeight="false" outlineLevel="0" collapsed="false">
      <c r="A156" s="27"/>
      <c r="B156" s="27"/>
      <c r="C156" s="27"/>
      <c r="D156" s="27"/>
      <c r="E156" s="28"/>
      <c r="F156" s="28"/>
    </row>
    <row r="157" customFormat="false" ht="15" hidden="false" customHeight="false" outlineLevel="0" collapsed="false">
      <c r="A157" s="27"/>
      <c r="B157" s="27"/>
      <c r="C157" s="27"/>
      <c r="D157" s="27"/>
      <c r="E157" s="28"/>
      <c r="F157" s="28"/>
    </row>
    <row r="158" customFormat="false" ht="15" hidden="false" customHeight="false" outlineLevel="0" collapsed="false">
      <c r="A158" s="27"/>
      <c r="B158" s="27"/>
      <c r="C158" s="27"/>
      <c r="D158" s="27"/>
      <c r="E158" s="28"/>
      <c r="F158" s="28"/>
    </row>
    <row r="159" customFormat="false" ht="15" hidden="false" customHeight="false" outlineLevel="0" collapsed="false">
      <c r="A159" s="27"/>
      <c r="B159" s="27"/>
      <c r="C159" s="27"/>
      <c r="D159" s="27"/>
      <c r="E159" s="28"/>
      <c r="F159" s="28"/>
    </row>
    <row r="160" customFormat="false" ht="15" hidden="false" customHeight="false" outlineLevel="0" collapsed="false">
      <c r="A160" s="27"/>
      <c r="B160" s="27"/>
      <c r="C160" s="27"/>
      <c r="D160" s="27"/>
      <c r="E160" s="28"/>
      <c r="F160" s="28"/>
    </row>
    <row r="161" customFormat="false" ht="15" hidden="false" customHeight="false" outlineLevel="0" collapsed="false">
      <c r="A161" s="27"/>
      <c r="B161" s="27"/>
      <c r="C161" s="27"/>
      <c r="D161" s="27"/>
      <c r="E161" s="28"/>
      <c r="F161" s="28"/>
    </row>
    <row r="162" customFormat="false" ht="15" hidden="false" customHeight="false" outlineLevel="0" collapsed="false">
      <c r="A162" s="27"/>
      <c r="B162" s="27"/>
      <c r="C162" s="27"/>
      <c r="D162" s="27"/>
      <c r="E162" s="28"/>
      <c r="F162" s="28"/>
    </row>
    <row r="163" customFormat="false" ht="15" hidden="false" customHeight="false" outlineLevel="0" collapsed="false">
      <c r="A163" s="27"/>
      <c r="B163" s="27"/>
      <c r="C163" s="27"/>
      <c r="D163" s="27"/>
      <c r="E163" s="28"/>
      <c r="F163" s="28"/>
    </row>
    <row r="164" customFormat="false" ht="15" hidden="false" customHeight="false" outlineLevel="0" collapsed="false">
      <c r="A164" s="27"/>
      <c r="B164" s="27"/>
      <c r="C164" s="27"/>
      <c r="D164" s="27"/>
      <c r="E164" s="28"/>
      <c r="F164" s="28"/>
    </row>
    <row r="165" customFormat="false" ht="15" hidden="false" customHeight="false" outlineLevel="0" collapsed="false">
      <c r="A165" s="27"/>
      <c r="B165" s="27"/>
      <c r="C165" s="27"/>
      <c r="D165" s="27"/>
      <c r="E165" s="28"/>
      <c r="F165" s="28"/>
    </row>
    <row r="166" customFormat="false" ht="15" hidden="false" customHeight="false" outlineLevel="0" collapsed="false">
      <c r="A166" s="27"/>
      <c r="B166" s="27"/>
      <c r="C166" s="27"/>
      <c r="D166" s="27"/>
      <c r="E166" s="28"/>
      <c r="F166" s="28"/>
    </row>
    <row r="167" customFormat="false" ht="15" hidden="false" customHeight="false" outlineLevel="0" collapsed="false">
      <c r="A167" s="27"/>
      <c r="B167" s="27"/>
      <c r="C167" s="27"/>
      <c r="D167" s="27"/>
      <c r="E167" s="28"/>
      <c r="F167" s="28"/>
    </row>
    <row r="168" customFormat="false" ht="15" hidden="false" customHeight="false" outlineLevel="0" collapsed="false">
      <c r="A168" s="27"/>
      <c r="B168" s="27"/>
      <c r="C168" s="27"/>
      <c r="D168" s="27"/>
      <c r="E168" s="28"/>
      <c r="F168" s="28"/>
    </row>
    <row r="169" customFormat="false" ht="15" hidden="false" customHeight="false" outlineLevel="0" collapsed="false">
      <c r="A169" s="27"/>
      <c r="B169" s="27"/>
      <c r="C169" s="27"/>
      <c r="D169" s="27"/>
      <c r="E169" s="28"/>
      <c r="F169" s="28"/>
    </row>
    <row r="170" customFormat="false" ht="15" hidden="false" customHeight="false" outlineLevel="0" collapsed="false">
      <c r="A170" s="27"/>
      <c r="B170" s="27"/>
      <c r="C170" s="27"/>
      <c r="D170" s="27"/>
      <c r="E170" s="28"/>
      <c r="F170" s="28"/>
    </row>
    <row r="171" customFormat="false" ht="15" hidden="false" customHeight="false" outlineLevel="0" collapsed="false">
      <c r="A171" s="27"/>
      <c r="B171" s="27"/>
      <c r="C171" s="27"/>
      <c r="D171" s="27"/>
      <c r="E171" s="28"/>
      <c r="F171" s="28"/>
    </row>
    <row r="172" customFormat="false" ht="15" hidden="false" customHeight="false" outlineLevel="0" collapsed="false">
      <c r="A172" s="27"/>
      <c r="B172" s="27"/>
      <c r="C172" s="27"/>
      <c r="D172" s="27"/>
      <c r="E172" s="28"/>
      <c r="F172" s="28"/>
    </row>
    <row r="173" customFormat="false" ht="15" hidden="false" customHeight="false" outlineLevel="0" collapsed="false">
      <c r="A173" s="27"/>
      <c r="B173" s="27"/>
      <c r="C173" s="27"/>
      <c r="D173" s="27"/>
      <c r="E173" s="28"/>
      <c r="F173" s="28"/>
    </row>
    <row r="174" customFormat="false" ht="15" hidden="false" customHeight="false" outlineLevel="0" collapsed="false">
      <c r="A174" s="27"/>
      <c r="B174" s="27"/>
      <c r="C174" s="27"/>
      <c r="D174" s="27"/>
      <c r="E174" s="28"/>
      <c r="F174" s="28"/>
    </row>
    <row r="175" customFormat="false" ht="15" hidden="false" customHeight="false" outlineLevel="0" collapsed="false">
      <c r="A175" s="27"/>
      <c r="B175" s="27"/>
      <c r="C175" s="27"/>
      <c r="D175" s="27"/>
      <c r="E175" s="28"/>
      <c r="F175" s="28"/>
    </row>
    <row r="176" customFormat="false" ht="15" hidden="false" customHeight="false" outlineLevel="0" collapsed="false">
      <c r="A176" s="27"/>
      <c r="B176" s="27"/>
      <c r="C176" s="27"/>
      <c r="D176" s="27"/>
      <c r="E176" s="28"/>
      <c r="F176" s="28"/>
    </row>
    <row r="177" customFormat="false" ht="15" hidden="false" customHeight="false" outlineLevel="0" collapsed="false">
      <c r="A177" s="27"/>
      <c r="B177" s="27"/>
      <c r="C177" s="27"/>
      <c r="D177" s="27"/>
      <c r="E177" s="28"/>
      <c r="F177" s="28"/>
    </row>
    <row r="178" customFormat="false" ht="15" hidden="false" customHeight="false" outlineLevel="0" collapsed="false">
      <c r="A178" s="27"/>
      <c r="B178" s="27"/>
      <c r="C178" s="27"/>
      <c r="D178" s="27"/>
      <c r="E178" s="28"/>
      <c r="F178" s="28"/>
    </row>
    <row r="179" customFormat="false" ht="15" hidden="false" customHeight="false" outlineLevel="0" collapsed="false">
      <c r="A179" s="27"/>
      <c r="B179" s="27"/>
      <c r="C179" s="27"/>
      <c r="D179" s="27"/>
      <c r="E179" s="28"/>
      <c r="F179" s="28"/>
    </row>
    <row r="180" customFormat="false" ht="15" hidden="false" customHeight="false" outlineLevel="0" collapsed="false">
      <c r="A180" s="27"/>
      <c r="B180" s="27"/>
      <c r="C180" s="27"/>
      <c r="D180" s="27"/>
      <c r="E180" s="28"/>
      <c r="F180" s="28"/>
    </row>
    <row r="181" customFormat="false" ht="15" hidden="false" customHeight="false" outlineLevel="0" collapsed="false">
      <c r="A181" s="27"/>
      <c r="B181" s="27"/>
      <c r="C181" s="27"/>
      <c r="D181" s="27"/>
      <c r="E181" s="28"/>
      <c r="F181" s="28"/>
    </row>
    <row r="182" customFormat="false" ht="15" hidden="false" customHeight="false" outlineLevel="0" collapsed="false">
      <c r="A182" s="27"/>
      <c r="B182" s="27"/>
      <c r="C182" s="27"/>
      <c r="D182" s="27"/>
      <c r="E182" s="28"/>
      <c r="F182" s="28"/>
    </row>
    <row r="183" customFormat="false" ht="15" hidden="false" customHeight="false" outlineLevel="0" collapsed="false">
      <c r="A183" s="27"/>
      <c r="B183" s="27"/>
      <c r="C183" s="27"/>
      <c r="D183" s="27"/>
      <c r="E183" s="28"/>
      <c r="F183" s="28"/>
    </row>
    <row r="184" customFormat="false" ht="15" hidden="false" customHeight="false" outlineLevel="0" collapsed="false">
      <c r="A184" s="27"/>
      <c r="B184" s="27"/>
      <c r="C184" s="27"/>
      <c r="D184" s="27"/>
      <c r="E184" s="28"/>
      <c r="F184" s="28"/>
    </row>
    <row r="185" customFormat="false" ht="15" hidden="false" customHeight="false" outlineLevel="0" collapsed="false">
      <c r="A185" s="27"/>
      <c r="B185" s="27"/>
      <c r="C185" s="27"/>
      <c r="D185" s="27"/>
      <c r="E185" s="28"/>
      <c r="F185" s="28"/>
    </row>
    <row r="186" customFormat="false" ht="15" hidden="false" customHeight="false" outlineLevel="0" collapsed="false">
      <c r="A186" s="27"/>
      <c r="B186" s="27"/>
      <c r="C186" s="27"/>
      <c r="D186" s="27"/>
      <c r="E186" s="28"/>
      <c r="F186" s="28"/>
    </row>
    <row r="187" customFormat="false" ht="15" hidden="false" customHeight="false" outlineLevel="0" collapsed="false">
      <c r="A187" s="27"/>
      <c r="B187" s="27"/>
      <c r="C187" s="27"/>
      <c r="D187" s="27"/>
      <c r="E187" s="28"/>
      <c r="F187" s="28"/>
    </row>
    <row r="188" customFormat="false" ht="15" hidden="false" customHeight="false" outlineLevel="0" collapsed="false">
      <c r="A188" s="27"/>
      <c r="B188" s="27"/>
      <c r="C188" s="27"/>
      <c r="D188" s="27"/>
      <c r="E188" s="28"/>
      <c r="F188" s="28"/>
    </row>
    <row r="189" customFormat="false" ht="15" hidden="false" customHeight="false" outlineLevel="0" collapsed="false">
      <c r="A189" s="27"/>
      <c r="B189" s="27"/>
      <c r="C189" s="27"/>
      <c r="D189" s="27"/>
      <c r="E189" s="28"/>
      <c r="F189" s="28"/>
    </row>
    <row r="190" customFormat="false" ht="15" hidden="false" customHeight="false" outlineLevel="0" collapsed="false">
      <c r="A190" s="27"/>
      <c r="B190" s="27"/>
      <c r="C190" s="27"/>
      <c r="D190" s="27"/>
      <c r="E190" s="28"/>
      <c r="F190" s="28"/>
    </row>
    <row r="191" customFormat="false" ht="15" hidden="false" customHeight="false" outlineLevel="0" collapsed="false">
      <c r="A191" s="27"/>
      <c r="B191" s="27"/>
      <c r="C191" s="27"/>
      <c r="D191" s="27"/>
      <c r="E191" s="28"/>
      <c r="F191" s="28"/>
    </row>
    <row r="192" customFormat="false" ht="15" hidden="false" customHeight="false" outlineLevel="0" collapsed="false">
      <c r="A192" s="27"/>
      <c r="B192" s="27"/>
      <c r="C192" s="27"/>
      <c r="D192" s="27"/>
      <c r="E192" s="28"/>
      <c r="F192" s="28"/>
    </row>
    <row r="193" customFormat="false" ht="15" hidden="false" customHeight="false" outlineLevel="0" collapsed="false">
      <c r="A193" s="27"/>
      <c r="B193" s="27"/>
      <c r="C193" s="27"/>
      <c r="D193" s="27"/>
      <c r="E193" s="28"/>
      <c r="F193" s="28"/>
    </row>
    <row r="194" customFormat="false" ht="15" hidden="false" customHeight="false" outlineLevel="0" collapsed="false">
      <c r="A194" s="27"/>
      <c r="B194" s="27"/>
      <c r="C194" s="27"/>
      <c r="D194" s="27"/>
      <c r="E194" s="28"/>
      <c r="F194" s="28"/>
    </row>
    <row r="195" customFormat="false" ht="15" hidden="false" customHeight="false" outlineLevel="0" collapsed="false">
      <c r="A195" s="27"/>
      <c r="B195" s="27"/>
      <c r="C195" s="27"/>
      <c r="D195" s="27"/>
      <c r="E195" s="28"/>
      <c r="F195" s="28"/>
    </row>
    <row r="196" customFormat="false" ht="15" hidden="false" customHeight="false" outlineLevel="0" collapsed="false">
      <c r="A196" s="27"/>
      <c r="B196" s="27"/>
      <c r="C196" s="27"/>
      <c r="D196" s="27"/>
      <c r="E196" s="28"/>
      <c r="F196" s="28"/>
    </row>
    <row r="197" customFormat="false" ht="15" hidden="false" customHeight="false" outlineLevel="0" collapsed="false">
      <c r="A197" s="27"/>
      <c r="B197" s="27"/>
      <c r="C197" s="27"/>
      <c r="D197" s="27"/>
      <c r="E197" s="28"/>
      <c r="F197" s="28"/>
    </row>
    <row r="198" customFormat="false" ht="15" hidden="false" customHeight="false" outlineLevel="0" collapsed="false">
      <c r="A198" s="27"/>
      <c r="B198" s="27"/>
      <c r="C198" s="27"/>
      <c r="D198" s="27"/>
      <c r="E198" s="28"/>
      <c r="F198" s="28"/>
    </row>
    <row r="199" customFormat="false" ht="15" hidden="false" customHeight="false" outlineLevel="0" collapsed="false">
      <c r="A199" s="27"/>
      <c r="B199" s="27"/>
      <c r="C199" s="27"/>
      <c r="D199" s="27"/>
      <c r="E199" s="28"/>
      <c r="F199" s="28"/>
    </row>
    <row r="200" customFormat="false" ht="15" hidden="false" customHeight="false" outlineLevel="0" collapsed="false">
      <c r="A200" s="27"/>
      <c r="B200" s="27"/>
      <c r="C200" s="27"/>
      <c r="D200" s="27"/>
      <c r="E200" s="28"/>
      <c r="F200" s="28"/>
    </row>
    <row r="201" customFormat="false" ht="15" hidden="false" customHeight="false" outlineLevel="0" collapsed="false">
      <c r="A201" s="27"/>
      <c r="B201" s="27"/>
      <c r="C201" s="27"/>
      <c r="D201" s="27"/>
      <c r="E201" s="28"/>
      <c r="F201" s="28"/>
    </row>
    <row r="202" customFormat="false" ht="15" hidden="false" customHeight="false" outlineLevel="0" collapsed="false">
      <c r="A202" s="27"/>
      <c r="B202" s="27"/>
      <c r="C202" s="27"/>
      <c r="D202" s="27"/>
      <c r="E202" s="28"/>
      <c r="F202" s="28"/>
    </row>
    <row r="203" customFormat="false" ht="15" hidden="false" customHeight="false" outlineLevel="0" collapsed="false">
      <c r="A203" s="27"/>
      <c r="B203" s="27"/>
      <c r="C203" s="27"/>
      <c r="D203" s="27"/>
      <c r="E203" s="28"/>
      <c r="F203" s="28"/>
    </row>
    <row r="204" customFormat="false" ht="15" hidden="false" customHeight="false" outlineLevel="0" collapsed="false">
      <c r="A204" s="27"/>
      <c r="B204" s="27"/>
      <c r="C204" s="27"/>
      <c r="D204" s="27"/>
      <c r="E204" s="28"/>
      <c r="F204" s="28"/>
    </row>
    <row r="205" customFormat="false" ht="15" hidden="false" customHeight="false" outlineLevel="0" collapsed="false">
      <c r="A205" s="27"/>
      <c r="B205" s="27"/>
      <c r="C205" s="27"/>
      <c r="D205" s="27"/>
      <c r="E205" s="28"/>
      <c r="F205" s="28"/>
    </row>
    <row r="206" customFormat="false" ht="15" hidden="false" customHeight="false" outlineLevel="0" collapsed="false">
      <c r="A206" s="27"/>
      <c r="B206" s="27"/>
      <c r="C206" s="27"/>
      <c r="D206" s="27"/>
      <c r="E206" s="28"/>
      <c r="F206" s="28"/>
    </row>
    <row r="207" customFormat="false" ht="15" hidden="false" customHeight="false" outlineLevel="0" collapsed="false">
      <c r="A207" s="27"/>
      <c r="B207" s="27"/>
      <c r="C207" s="27"/>
      <c r="D207" s="27"/>
      <c r="E207" s="28"/>
      <c r="F207" s="28"/>
    </row>
    <row r="208" customFormat="false" ht="15" hidden="false" customHeight="false" outlineLevel="0" collapsed="false">
      <c r="A208" s="27"/>
      <c r="B208" s="27"/>
      <c r="C208" s="27"/>
      <c r="D208" s="27"/>
      <c r="E208" s="28"/>
      <c r="F208" s="28"/>
    </row>
    <row r="209" customFormat="false" ht="15" hidden="false" customHeight="false" outlineLevel="0" collapsed="false">
      <c r="A209" s="27"/>
      <c r="B209" s="27"/>
      <c r="C209" s="27"/>
      <c r="D209" s="27"/>
      <c r="E209" s="28"/>
      <c r="F209" s="28"/>
    </row>
    <row r="210" customFormat="false" ht="15" hidden="false" customHeight="false" outlineLevel="0" collapsed="false">
      <c r="A210" s="27"/>
      <c r="B210" s="27"/>
      <c r="C210" s="27"/>
      <c r="D210" s="27"/>
      <c r="E210" s="28"/>
      <c r="F210" s="28"/>
    </row>
    <row r="211" customFormat="false" ht="15" hidden="false" customHeight="false" outlineLevel="0" collapsed="false">
      <c r="A211" s="27"/>
      <c r="B211" s="27"/>
      <c r="C211" s="27"/>
      <c r="D211" s="27"/>
      <c r="E211" s="28"/>
      <c r="F211" s="28"/>
    </row>
    <row r="212" customFormat="false" ht="15" hidden="false" customHeight="false" outlineLevel="0" collapsed="false">
      <c r="A212" s="27"/>
      <c r="B212" s="27"/>
      <c r="C212" s="27"/>
      <c r="D212" s="27"/>
      <c r="E212" s="28"/>
      <c r="F212" s="28"/>
    </row>
    <row r="213" customFormat="false" ht="15" hidden="false" customHeight="false" outlineLevel="0" collapsed="false">
      <c r="A213" s="27"/>
      <c r="B213" s="27"/>
      <c r="C213" s="27"/>
      <c r="D213" s="27"/>
      <c r="E213" s="28"/>
      <c r="F213" s="28"/>
    </row>
    <row r="214" customFormat="false" ht="15" hidden="false" customHeight="false" outlineLevel="0" collapsed="false">
      <c r="A214" s="27"/>
      <c r="B214" s="27"/>
      <c r="C214" s="27"/>
      <c r="D214" s="27"/>
      <c r="E214" s="28"/>
      <c r="F214" s="28"/>
    </row>
    <row r="215" customFormat="false" ht="15" hidden="false" customHeight="false" outlineLevel="0" collapsed="false">
      <c r="A215" s="27"/>
      <c r="B215" s="27"/>
      <c r="C215" s="27"/>
      <c r="D215" s="27"/>
      <c r="E215" s="28"/>
      <c r="F215" s="28"/>
    </row>
    <row r="216" customFormat="false" ht="15" hidden="false" customHeight="false" outlineLevel="0" collapsed="false">
      <c r="A216" s="27"/>
      <c r="B216" s="27"/>
      <c r="C216" s="27"/>
      <c r="D216" s="27"/>
      <c r="E216" s="28"/>
      <c r="F216" s="28"/>
    </row>
    <row r="217" customFormat="false" ht="15" hidden="false" customHeight="false" outlineLevel="0" collapsed="false">
      <c r="A217" s="27"/>
      <c r="B217" s="27"/>
      <c r="C217" s="27"/>
      <c r="D217" s="27"/>
      <c r="E217" s="28"/>
      <c r="F217" s="28"/>
    </row>
    <row r="218" customFormat="false" ht="15" hidden="false" customHeight="false" outlineLevel="0" collapsed="false">
      <c r="A218" s="27"/>
      <c r="B218" s="27"/>
      <c r="C218" s="27"/>
      <c r="D218" s="27"/>
      <c r="E218" s="28"/>
      <c r="F218" s="28"/>
    </row>
    <row r="219" customFormat="false" ht="15" hidden="false" customHeight="false" outlineLevel="0" collapsed="false">
      <c r="A219" s="27"/>
      <c r="B219" s="27"/>
      <c r="C219" s="27"/>
      <c r="D219" s="27"/>
      <c r="E219" s="28"/>
      <c r="F219" s="28"/>
    </row>
    <row r="220" customFormat="false" ht="15" hidden="false" customHeight="false" outlineLevel="0" collapsed="false">
      <c r="A220" s="27"/>
      <c r="B220" s="27"/>
      <c r="C220" s="27"/>
      <c r="D220" s="27"/>
      <c r="E220" s="28"/>
      <c r="F220" s="28"/>
    </row>
    <row r="221" customFormat="false" ht="15" hidden="false" customHeight="false" outlineLevel="0" collapsed="false">
      <c r="A221" s="27"/>
      <c r="B221" s="27"/>
      <c r="C221" s="27"/>
      <c r="D221" s="27"/>
      <c r="E221" s="28"/>
      <c r="F221" s="28"/>
    </row>
    <row r="222" customFormat="false" ht="15" hidden="false" customHeight="false" outlineLevel="0" collapsed="false">
      <c r="A222" s="27"/>
      <c r="B222" s="27"/>
      <c r="C222" s="27"/>
      <c r="D222" s="27"/>
      <c r="E222" s="28"/>
      <c r="F222" s="28"/>
    </row>
    <row r="223" customFormat="false" ht="15" hidden="false" customHeight="false" outlineLevel="0" collapsed="false">
      <c r="A223" s="27"/>
      <c r="B223" s="27"/>
      <c r="C223" s="27"/>
      <c r="D223" s="27"/>
      <c r="E223" s="28"/>
      <c r="F223" s="28"/>
    </row>
    <row r="224" customFormat="false" ht="15" hidden="false" customHeight="false" outlineLevel="0" collapsed="false">
      <c r="A224" s="27"/>
      <c r="B224" s="27"/>
      <c r="C224" s="27"/>
      <c r="D224" s="27"/>
      <c r="E224" s="28"/>
      <c r="F224" s="28"/>
    </row>
    <row r="225" customFormat="false" ht="15" hidden="false" customHeight="false" outlineLevel="0" collapsed="false">
      <c r="A225" s="27"/>
      <c r="B225" s="27"/>
      <c r="C225" s="27"/>
      <c r="D225" s="27"/>
      <c r="E225" s="28"/>
      <c r="F225" s="28"/>
    </row>
    <row r="226" customFormat="false" ht="15" hidden="false" customHeight="false" outlineLevel="0" collapsed="false">
      <c r="A226" s="27"/>
      <c r="B226" s="27"/>
      <c r="C226" s="27"/>
      <c r="D226" s="27"/>
      <c r="E226" s="28"/>
      <c r="F226" s="28"/>
    </row>
    <row r="227" customFormat="false" ht="15" hidden="false" customHeight="false" outlineLevel="0" collapsed="false">
      <c r="A227" s="27"/>
      <c r="B227" s="27"/>
      <c r="C227" s="27"/>
      <c r="D227" s="27"/>
      <c r="E227" s="28"/>
      <c r="F227" s="28"/>
    </row>
    <row r="228" customFormat="false" ht="15" hidden="false" customHeight="false" outlineLevel="0" collapsed="false">
      <c r="A228" s="27"/>
      <c r="B228" s="27"/>
      <c r="C228" s="27"/>
      <c r="D228" s="27"/>
      <c r="E228" s="28"/>
      <c r="F228" s="28"/>
    </row>
    <row r="229" customFormat="false" ht="15" hidden="false" customHeight="false" outlineLevel="0" collapsed="false">
      <c r="A229" s="27"/>
      <c r="B229" s="27"/>
      <c r="C229" s="27"/>
      <c r="D229" s="27"/>
      <c r="E229" s="28"/>
      <c r="F229" s="28"/>
    </row>
    <row r="230" customFormat="false" ht="15" hidden="false" customHeight="false" outlineLevel="0" collapsed="false">
      <c r="A230" s="27"/>
      <c r="B230" s="27"/>
      <c r="C230" s="27"/>
      <c r="D230" s="27"/>
      <c r="E230" s="28"/>
      <c r="F230" s="28"/>
    </row>
    <row r="231" customFormat="false" ht="15" hidden="false" customHeight="false" outlineLevel="0" collapsed="false">
      <c r="A231" s="27"/>
      <c r="B231" s="27"/>
      <c r="C231" s="27"/>
      <c r="D231" s="27"/>
      <c r="E231" s="28"/>
      <c r="F231" s="28"/>
    </row>
    <row r="232" customFormat="false" ht="15" hidden="false" customHeight="false" outlineLevel="0" collapsed="false">
      <c r="A232" s="27"/>
      <c r="B232" s="27"/>
      <c r="C232" s="27"/>
      <c r="D232" s="27"/>
      <c r="E232" s="28"/>
      <c r="F232" s="28"/>
    </row>
    <row r="233" customFormat="false" ht="15" hidden="false" customHeight="false" outlineLevel="0" collapsed="false">
      <c r="A233" s="27"/>
      <c r="B233" s="27"/>
      <c r="C233" s="27"/>
      <c r="D233" s="27"/>
      <c r="E233" s="28"/>
      <c r="F233" s="28"/>
    </row>
    <row r="234" customFormat="false" ht="15" hidden="false" customHeight="false" outlineLevel="0" collapsed="false">
      <c r="A234" s="27"/>
      <c r="B234" s="27"/>
      <c r="C234" s="27"/>
      <c r="D234" s="27"/>
      <c r="E234" s="28"/>
      <c r="F234" s="28"/>
    </row>
    <row r="235" customFormat="false" ht="15" hidden="false" customHeight="false" outlineLevel="0" collapsed="false">
      <c r="A235" s="27"/>
      <c r="B235" s="27"/>
      <c r="C235" s="27"/>
      <c r="D235" s="27"/>
      <c r="E235" s="28"/>
      <c r="F235" s="28"/>
    </row>
    <row r="236" customFormat="false" ht="15" hidden="false" customHeight="false" outlineLevel="0" collapsed="false">
      <c r="A236" s="27"/>
      <c r="B236" s="27"/>
      <c r="C236" s="27"/>
      <c r="D236" s="27"/>
      <c r="E236" s="28"/>
      <c r="F236" s="28"/>
    </row>
    <row r="237" customFormat="false" ht="15" hidden="false" customHeight="false" outlineLevel="0" collapsed="false">
      <c r="A237" s="27"/>
      <c r="B237" s="27"/>
      <c r="C237" s="27"/>
      <c r="D237" s="27"/>
      <c r="E237" s="28"/>
      <c r="F237" s="28"/>
    </row>
    <row r="238" customFormat="false" ht="15" hidden="false" customHeight="false" outlineLevel="0" collapsed="false">
      <c r="A238" s="27"/>
      <c r="B238" s="27"/>
      <c r="C238" s="27"/>
      <c r="D238" s="27"/>
      <c r="E238" s="28"/>
      <c r="F238" s="28"/>
    </row>
    <row r="239" customFormat="false" ht="15" hidden="false" customHeight="false" outlineLevel="0" collapsed="false">
      <c r="A239" s="27"/>
      <c r="B239" s="27"/>
      <c r="C239" s="27"/>
      <c r="D239" s="27"/>
      <c r="E239" s="28"/>
      <c r="F239" s="28"/>
    </row>
    <row r="240" customFormat="false" ht="15" hidden="false" customHeight="false" outlineLevel="0" collapsed="false">
      <c r="A240" s="27"/>
      <c r="B240" s="27"/>
      <c r="C240" s="27"/>
      <c r="D240" s="27"/>
      <c r="E240" s="28"/>
      <c r="F240" s="28"/>
    </row>
    <row r="241" customFormat="false" ht="15" hidden="false" customHeight="false" outlineLevel="0" collapsed="false">
      <c r="A241" s="27"/>
      <c r="B241" s="27"/>
      <c r="C241" s="27"/>
      <c r="D241" s="27"/>
      <c r="E241" s="28"/>
      <c r="F241" s="28"/>
    </row>
    <row r="242" customFormat="false" ht="15" hidden="false" customHeight="false" outlineLevel="0" collapsed="false">
      <c r="A242" s="27"/>
      <c r="B242" s="27"/>
      <c r="C242" s="27"/>
      <c r="D242" s="27"/>
      <c r="E242" s="28"/>
      <c r="F242" s="28"/>
    </row>
    <row r="243" customFormat="false" ht="15" hidden="false" customHeight="false" outlineLevel="0" collapsed="false">
      <c r="A243" s="27"/>
      <c r="B243" s="27"/>
      <c r="C243" s="27"/>
      <c r="D243" s="27"/>
      <c r="E243" s="28"/>
      <c r="F243" s="28"/>
    </row>
    <row r="244" customFormat="false" ht="15" hidden="false" customHeight="false" outlineLevel="0" collapsed="false">
      <c r="A244" s="27"/>
      <c r="B244" s="27"/>
      <c r="C244" s="27"/>
      <c r="D244" s="27"/>
      <c r="E244" s="28"/>
      <c r="F244" s="28"/>
    </row>
    <row r="245" customFormat="false" ht="15" hidden="false" customHeight="false" outlineLevel="0" collapsed="false">
      <c r="A245" s="27"/>
      <c r="B245" s="27"/>
      <c r="C245" s="27"/>
      <c r="D245" s="27"/>
      <c r="E245" s="28"/>
      <c r="F245" s="28"/>
    </row>
    <row r="246" customFormat="false" ht="15" hidden="false" customHeight="false" outlineLevel="0" collapsed="false">
      <c r="A246" s="27"/>
      <c r="B246" s="27"/>
      <c r="C246" s="27"/>
      <c r="D246" s="27"/>
      <c r="E246" s="28"/>
      <c r="F246" s="28"/>
    </row>
    <row r="247" customFormat="false" ht="15" hidden="false" customHeight="false" outlineLevel="0" collapsed="false">
      <c r="A247" s="27"/>
      <c r="B247" s="27"/>
      <c r="C247" s="27"/>
      <c r="D247" s="27"/>
      <c r="E247" s="28"/>
      <c r="F247" s="28"/>
    </row>
    <row r="248" customFormat="false" ht="15" hidden="false" customHeight="false" outlineLevel="0" collapsed="false">
      <c r="A248" s="27"/>
      <c r="B248" s="27"/>
      <c r="C248" s="27"/>
      <c r="D248" s="27"/>
      <c r="E248" s="28"/>
      <c r="F248" s="28"/>
    </row>
    <row r="249" customFormat="false" ht="15" hidden="false" customHeight="false" outlineLevel="0" collapsed="false">
      <c r="A249" s="27"/>
      <c r="B249" s="27"/>
      <c r="C249" s="27"/>
      <c r="D249" s="27"/>
      <c r="E249" s="28"/>
      <c r="F249" s="28"/>
    </row>
    <row r="250" customFormat="false" ht="15" hidden="false" customHeight="false" outlineLevel="0" collapsed="false">
      <c r="A250" s="27"/>
      <c r="B250" s="27"/>
      <c r="C250" s="27"/>
      <c r="D250" s="27"/>
      <c r="E250" s="28"/>
      <c r="F250" s="28"/>
    </row>
    <row r="251" customFormat="false" ht="15" hidden="false" customHeight="false" outlineLevel="0" collapsed="false">
      <c r="A251" s="27"/>
      <c r="B251" s="27"/>
      <c r="C251" s="27"/>
      <c r="D251" s="27"/>
      <c r="E251" s="28"/>
      <c r="F251" s="28"/>
    </row>
    <row r="252" customFormat="false" ht="15" hidden="false" customHeight="false" outlineLevel="0" collapsed="false">
      <c r="A252" s="27"/>
      <c r="B252" s="27"/>
      <c r="C252" s="27"/>
      <c r="D252" s="27"/>
      <c r="E252" s="28"/>
      <c r="F252" s="28"/>
    </row>
    <row r="253" customFormat="false" ht="15" hidden="false" customHeight="false" outlineLevel="0" collapsed="false">
      <c r="A253" s="27"/>
      <c r="B253" s="27"/>
      <c r="C253" s="27"/>
      <c r="D253" s="27"/>
      <c r="E253" s="28"/>
      <c r="F253" s="28"/>
    </row>
    <row r="254" customFormat="false" ht="15" hidden="false" customHeight="false" outlineLevel="0" collapsed="false">
      <c r="A254" s="27"/>
      <c r="B254" s="27"/>
      <c r="C254" s="27"/>
      <c r="D254" s="27"/>
      <c r="E254" s="28"/>
      <c r="F254" s="28"/>
    </row>
    <row r="255" customFormat="false" ht="15" hidden="false" customHeight="false" outlineLevel="0" collapsed="false">
      <c r="A255" s="27"/>
      <c r="B255" s="27"/>
      <c r="C255" s="27"/>
      <c r="D255" s="27"/>
      <c r="E255" s="28"/>
      <c r="F255" s="28"/>
    </row>
    <row r="256" customFormat="false" ht="15" hidden="false" customHeight="false" outlineLevel="0" collapsed="false">
      <c r="A256" s="27"/>
      <c r="B256" s="27"/>
      <c r="C256" s="27"/>
      <c r="D256" s="27"/>
      <c r="E256" s="28"/>
      <c r="F256" s="28"/>
    </row>
    <row r="257" customFormat="false" ht="15" hidden="false" customHeight="false" outlineLevel="0" collapsed="false">
      <c r="A257" s="27"/>
      <c r="B257" s="27"/>
      <c r="C257" s="27"/>
      <c r="D257" s="27"/>
      <c r="E257" s="28"/>
      <c r="F257" s="28"/>
    </row>
    <row r="258" customFormat="false" ht="15" hidden="false" customHeight="false" outlineLevel="0" collapsed="false">
      <c r="A258" s="27"/>
      <c r="B258" s="27"/>
      <c r="C258" s="27"/>
      <c r="D258" s="27"/>
      <c r="E258" s="28"/>
      <c r="F258" s="28"/>
    </row>
    <row r="259" customFormat="false" ht="15" hidden="false" customHeight="false" outlineLevel="0" collapsed="false">
      <c r="A259" s="27"/>
      <c r="B259" s="27"/>
      <c r="C259" s="27"/>
      <c r="D259" s="27"/>
      <c r="E259" s="28"/>
      <c r="F259" s="28"/>
    </row>
    <row r="260" customFormat="false" ht="15" hidden="false" customHeight="false" outlineLevel="0" collapsed="false">
      <c r="A260" s="27"/>
      <c r="B260" s="27"/>
      <c r="C260" s="27"/>
      <c r="D260" s="27"/>
      <c r="E260" s="28"/>
      <c r="F260" s="28"/>
    </row>
    <row r="261" customFormat="false" ht="15" hidden="false" customHeight="false" outlineLevel="0" collapsed="false">
      <c r="A261" s="27"/>
      <c r="B261" s="27"/>
      <c r="C261" s="27"/>
      <c r="D261" s="27"/>
      <c r="E261" s="28"/>
      <c r="F261" s="28"/>
    </row>
    <row r="262" customFormat="false" ht="15" hidden="false" customHeight="false" outlineLevel="0" collapsed="false">
      <c r="A262" s="27"/>
      <c r="B262" s="27"/>
      <c r="C262" s="27"/>
      <c r="D262" s="27"/>
      <c r="E262" s="28"/>
      <c r="F262" s="28"/>
    </row>
    <row r="263" customFormat="false" ht="15" hidden="false" customHeight="false" outlineLevel="0" collapsed="false">
      <c r="A263" s="27"/>
      <c r="B263" s="27"/>
      <c r="C263" s="27"/>
      <c r="D263" s="27"/>
      <c r="E263" s="28"/>
      <c r="F263" s="28"/>
    </row>
    <row r="264" customFormat="false" ht="15" hidden="false" customHeight="false" outlineLevel="0" collapsed="false">
      <c r="A264" s="27"/>
      <c r="B264" s="27"/>
      <c r="C264" s="27"/>
      <c r="D264" s="27"/>
      <c r="E264" s="28"/>
      <c r="F264" s="28"/>
    </row>
    <row r="265" customFormat="false" ht="15" hidden="false" customHeight="false" outlineLevel="0" collapsed="false">
      <c r="A265" s="27"/>
      <c r="B265" s="27"/>
      <c r="C265" s="27"/>
      <c r="D265" s="27"/>
      <c r="E265" s="28"/>
      <c r="F265" s="28"/>
    </row>
    <row r="266" customFormat="false" ht="15" hidden="false" customHeight="false" outlineLevel="0" collapsed="false">
      <c r="A266" s="27"/>
      <c r="B266" s="27"/>
      <c r="C266" s="27"/>
      <c r="D266" s="27"/>
      <c r="E266" s="28"/>
      <c r="F266" s="28"/>
    </row>
    <row r="267" customFormat="false" ht="15" hidden="false" customHeight="false" outlineLevel="0" collapsed="false">
      <c r="A267" s="27"/>
      <c r="B267" s="27"/>
      <c r="C267" s="27"/>
      <c r="D267" s="27"/>
      <c r="E267" s="28"/>
      <c r="F267" s="28"/>
    </row>
    <row r="268" customFormat="false" ht="15" hidden="false" customHeight="false" outlineLevel="0" collapsed="false">
      <c r="A268" s="27"/>
      <c r="B268" s="27"/>
      <c r="C268" s="27"/>
      <c r="D268" s="27"/>
      <c r="E268" s="28"/>
      <c r="F268" s="28"/>
    </row>
    <row r="269" customFormat="false" ht="15" hidden="false" customHeight="false" outlineLevel="0" collapsed="false">
      <c r="A269" s="27"/>
      <c r="B269" s="27"/>
      <c r="C269" s="27"/>
      <c r="D269" s="27"/>
      <c r="E269" s="28"/>
      <c r="F269" s="28"/>
    </row>
    <row r="270" customFormat="false" ht="15" hidden="false" customHeight="false" outlineLevel="0" collapsed="false">
      <c r="A270" s="27"/>
      <c r="B270" s="27"/>
      <c r="C270" s="27"/>
      <c r="D270" s="27"/>
      <c r="E270" s="28"/>
      <c r="F270" s="28"/>
    </row>
    <row r="271" customFormat="false" ht="15" hidden="false" customHeight="false" outlineLevel="0" collapsed="false">
      <c r="A271" s="27"/>
      <c r="B271" s="27"/>
      <c r="C271" s="27"/>
      <c r="D271" s="27"/>
      <c r="E271" s="28"/>
      <c r="F271" s="28"/>
    </row>
    <row r="272" customFormat="false" ht="15" hidden="false" customHeight="false" outlineLevel="0" collapsed="false">
      <c r="A272" s="27"/>
      <c r="B272" s="27"/>
      <c r="C272" s="27"/>
      <c r="D272" s="27"/>
      <c r="E272" s="28"/>
      <c r="F272" s="28"/>
    </row>
    <row r="273" customFormat="false" ht="15" hidden="false" customHeight="false" outlineLevel="0" collapsed="false">
      <c r="A273" s="27"/>
      <c r="B273" s="27"/>
      <c r="C273" s="27"/>
      <c r="D273" s="27"/>
      <c r="E273" s="28"/>
      <c r="F273" s="28"/>
    </row>
    <row r="274" customFormat="false" ht="15" hidden="false" customHeight="false" outlineLevel="0" collapsed="false">
      <c r="A274" s="27"/>
      <c r="B274" s="27"/>
      <c r="C274" s="27"/>
      <c r="D274" s="27"/>
      <c r="E274" s="28"/>
      <c r="F274" s="28"/>
    </row>
    <row r="275" customFormat="false" ht="15" hidden="false" customHeight="false" outlineLevel="0" collapsed="false">
      <c r="A275" s="27"/>
      <c r="B275" s="27"/>
      <c r="C275" s="27"/>
      <c r="D275" s="27"/>
      <c r="E275" s="28"/>
      <c r="F275" s="28"/>
    </row>
    <row r="276" customFormat="false" ht="15" hidden="false" customHeight="false" outlineLevel="0" collapsed="false">
      <c r="A276" s="27"/>
      <c r="B276" s="27"/>
      <c r="C276" s="27"/>
      <c r="D276" s="27"/>
      <c r="E276" s="28"/>
      <c r="F276" s="28"/>
    </row>
    <row r="277" customFormat="false" ht="15" hidden="false" customHeight="false" outlineLevel="0" collapsed="false">
      <c r="A277" s="27"/>
      <c r="B277" s="27"/>
      <c r="C277" s="27"/>
      <c r="D277" s="27"/>
      <c r="E277" s="28"/>
      <c r="F277" s="28"/>
    </row>
    <row r="278" customFormat="false" ht="15" hidden="false" customHeight="false" outlineLevel="0" collapsed="false">
      <c r="A278" s="27"/>
      <c r="B278" s="27"/>
      <c r="C278" s="27"/>
      <c r="D278" s="27"/>
      <c r="E278" s="28"/>
      <c r="F278" s="28"/>
    </row>
    <row r="279" customFormat="false" ht="15" hidden="false" customHeight="false" outlineLevel="0" collapsed="false">
      <c r="A279" s="27"/>
      <c r="B279" s="27"/>
      <c r="C279" s="27"/>
      <c r="D279" s="27"/>
      <c r="E279" s="28"/>
      <c r="F279" s="28"/>
    </row>
    <row r="280" customFormat="false" ht="15" hidden="false" customHeight="false" outlineLevel="0" collapsed="false">
      <c r="A280" s="27"/>
      <c r="B280" s="27"/>
      <c r="C280" s="27"/>
      <c r="D280" s="27"/>
      <c r="E280" s="28"/>
      <c r="F280" s="28"/>
    </row>
    <row r="281" customFormat="false" ht="15" hidden="false" customHeight="false" outlineLevel="0" collapsed="false">
      <c r="A281" s="27"/>
      <c r="B281" s="27"/>
      <c r="C281" s="27"/>
      <c r="D281" s="27"/>
      <c r="E281" s="28"/>
      <c r="F281" s="28"/>
    </row>
    <row r="282" customFormat="false" ht="15" hidden="false" customHeight="false" outlineLevel="0" collapsed="false">
      <c r="A282" s="27"/>
      <c r="B282" s="27"/>
      <c r="C282" s="27"/>
      <c r="D282" s="27"/>
      <c r="E282" s="28"/>
      <c r="F282" s="28"/>
    </row>
    <row r="283" customFormat="false" ht="15" hidden="false" customHeight="false" outlineLevel="0" collapsed="false">
      <c r="A283" s="27"/>
      <c r="B283" s="27"/>
      <c r="C283" s="27"/>
      <c r="D283" s="27"/>
      <c r="E283" s="28"/>
      <c r="F283" s="28"/>
    </row>
    <row r="284" customFormat="false" ht="15" hidden="false" customHeight="false" outlineLevel="0" collapsed="false">
      <c r="A284" s="27"/>
      <c r="B284" s="27"/>
      <c r="C284" s="27"/>
      <c r="D284" s="27"/>
      <c r="E284" s="28"/>
      <c r="F284" s="28"/>
    </row>
    <row r="285" customFormat="false" ht="15" hidden="false" customHeight="false" outlineLevel="0" collapsed="false">
      <c r="A285" s="27"/>
      <c r="B285" s="27"/>
      <c r="C285" s="27"/>
      <c r="D285" s="27"/>
      <c r="E285" s="28"/>
      <c r="F285" s="28"/>
    </row>
    <row r="286" customFormat="false" ht="15" hidden="false" customHeight="false" outlineLevel="0" collapsed="false">
      <c r="A286" s="27"/>
      <c r="B286" s="27"/>
      <c r="C286" s="27"/>
      <c r="D286" s="27"/>
      <c r="E286" s="28"/>
      <c r="F286" s="28"/>
    </row>
    <row r="287" customFormat="false" ht="15" hidden="false" customHeight="false" outlineLevel="0" collapsed="false">
      <c r="A287" s="27"/>
      <c r="B287" s="27"/>
      <c r="C287" s="27"/>
      <c r="D287" s="27"/>
      <c r="E287" s="28"/>
      <c r="F287" s="28"/>
    </row>
    <row r="288" customFormat="false" ht="15" hidden="false" customHeight="false" outlineLevel="0" collapsed="false">
      <c r="A288" s="27"/>
      <c r="B288" s="27"/>
      <c r="C288" s="27"/>
      <c r="D288" s="27"/>
      <c r="E288" s="28"/>
      <c r="F288" s="28"/>
    </row>
    <row r="289" customFormat="false" ht="15" hidden="false" customHeight="false" outlineLevel="0" collapsed="false">
      <c r="A289" s="27"/>
      <c r="B289" s="27"/>
      <c r="C289" s="27"/>
      <c r="D289" s="27"/>
      <c r="E289" s="28"/>
      <c r="F289" s="28"/>
    </row>
    <row r="290" customFormat="false" ht="15" hidden="false" customHeight="false" outlineLevel="0" collapsed="false">
      <c r="A290" s="27"/>
      <c r="B290" s="27"/>
      <c r="C290" s="27"/>
      <c r="D290" s="27"/>
      <c r="E290" s="28"/>
      <c r="F290" s="28"/>
    </row>
    <row r="291" customFormat="false" ht="15" hidden="false" customHeight="false" outlineLevel="0" collapsed="false">
      <c r="A291" s="27"/>
      <c r="B291" s="27"/>
      <c r="C291" s="27"/>
      <c r="D291" s="27"/>
      <c r="E291" s="28"/>
      <c r="F291" s="28"/>
    </row>
    <row r="292" customFormat="false" ht="15" hidden="false" customHeight="false" outlineLevel="0" collapsed="false">
      <c r="A292" s="27"/>
      <c r="B292" s="27"/>
      <c r="C292" s="27"/>
      <c r="D292" s="27"/>
      <c r="E292" s="28"/>
      <c r="F292" s="28"/>
    </row>
    <row r="293" customFormat="false" ht="15" hidden="false" customHeight="false" outlineLevel="0" collapsed="false">
      <c r="A293" s="27"/>
      <c r="B293" s="27"/>
      <c r="C293" s="27"/>
      <c r="D293" s="27"/>
      <c r="E293" s="28"/>
      <c r="F293" s="28"/>
    </row>
    <row r="294" customFormat="false" ht="15" hidden="false" customHeight="false" outlineLevel="0" collapsed="false">
      <c r="A294" s="27"/>
      <c r="B294" s="27"/>
      <c r="C294" s="27"/>
      <c r="D294" s="27"/>
      <c r="E294" s="28"/>
      <c r="F294" s="28"/>
    </row>
    <row r="295" customFormat="false" ht="15" hidden="false" customHeight="false" outlineLevel="0" collapsed="false">
      <c r="A295" s="27"/>
      <c r="B295" s="27"/>
      <c r="C295" s="27"/>
      <c r="D295" s="27"/>
      <c r="E295" s="28"/>
      <c r="F295" s="28"/>
    </row>
    <row r="296" customFormat="false" ht="15" hidden="false" customHeight="false" outlineLevel="0" collapsed="false">
      <c r="A296" s="27"/>
      <c r="B296" s="27"/>
      <c r="C296" s="27"/>
      <c r="D296" s="27"/>
      <c r="E296" s="28"/>
      <c r="F296" s="28"/>
    </row>
    <row r="297" customFormat="false" ht="15" hidden="false" customHeight="false" outlineLevel="0" collapsed="false">
      <c r="A297" s="27"/>
      <c r="B297" s="27"/>
      <c r="C297" s="27"/>
      <c r="D297" s="27"/>
      <c r="E297" s="28"/>
      <c r="F297" s="28"/>
    </row>
    <row r="298" customFormat="false" ht="15" hidden="false" customHeight="false" outlineLevel="0" collapsed="false">
      <c r="A298" s="27"/>
      <c r="B298" s="27"/>
      <c r="C298" s="27"/>
      <c r="D298" s="27"/>
      <c r="E298" s="28"/>
      <c r="F298" s="28"/>
    </row>
    <row r="299" customFormat="false" ht="15" hidden="false" customHeight="false" outlineLevel="0" collapsed="false">
      <c r="A299" s="27"/>
      <c r="B299" s="27"/>
      <c r="C299" s="27"/>
      <c r="D299" s="27"/>
      <c r="E299" s="28"/>
      <c r="F299" s="28"/>
    </row>
    <row r="300" customFormat="false" ht="15" hidden="false" customHeight="false" outlineLevel="0" collapsed="false">
      <c r="A300" s="27"/>
      <c r="B300" s="27"/>
      <c r="C300" s="27"/>
      <c r="D300" s="27"/>
      <c r="E300" s="28"/>
      <c r="F300" s="28"/>
    </row>
    <row r="301" customFormat="false" ht="15" hidden="false" customHeight="false" outlineLevel="0" collapsed="false">
      <c r="A301" s="27"/>
      <c r="B301" s="27"/>
      <c r="C301" s="27"/>
      <c r="D301" s="27"/>
      <c r="E301" s="28"/>
      <c r="F301" s="28"/>
    </row>
    <row r="302" customFormat="false" ht="15" hidden="false" customHeight="false" outlineLevel="0" collapsed="false">
      <c r="A302" s="27"/>
      <c r="B302" s="27"/>
      <c r="C302" s="27"/>
      <c r="D302" s="27"/>
      <c r="E302" s="28"/>
      <c r="F302" s="28"/>
    </row>
    <row r="303" customFormat="false" ht="15" hidden="false" customHeight="false" outlineLevel="0" collapsed="false">
      <c r="A303" s="27"/>
      <c r="B303" s="27"/>
      <c r="C303" s="27"/>
      <c r="D303" s="27"/>
      <c r="E303" s="28"/>
      <c r="F303" s="28"/>
    </row>
    <row r="304" customFormat="false" ht="15" hidden="false" customHeight="false" outlineLevel="0" collapsed="false">
      <c r="A304" s="27"/>
      <c r="B304" s="27"/>
      <c r="C304" s="27"/>
      <c r="D304" s="27"/>
      <c r="E304" s="28"/>
      <c r="F304" s="28"/>
    </row>
    <row r="305" customFormat="false" ht="15" hidden="false" customHeight="false" outlineLevel="0" collapsed="false">
      <c r="A305" s="27"/>
      <c r="B305" s="27"/>
      <c r="C305" s="27"/>
      <c r="D305" s="27"/>
      <c r="E305" s="28"/>
      <c r="F305" s="28"/>
    </row>
    <row r="306" customFormat="false" ht="15" hidden="false" customHeight="false" outlineLevel="0" collapsed="false">
      <c r="A306" s="27"/>
      <c r="B306" s="27"/>
      <c r="C306" s="27"/>
      <c r="D306" s="27"/>
      <c r="E306" s="28"/>
      <c r="F306" s="28"/>
    </row>
    <row r="307" customFormat="false" ht="15" hidden="false" customHeight="false" outlineLevel="0" collapsed="false">
      <c r="A307" s="27"/>
      <c r="B307" s="27"/>
      <c r="C307" s="27"/>
      <c r="D307" s="27"/>
      <c r="E307" s="28"/>
      <c r="F307" s="28"/>
    </row>
    <row r="308" customFormat="false" ht="15" hidden="false" customHeight="false" outlineLevel="0" collapsed="false">
      <c r="A308" s="27"/>
      <c r="B308" s="27"/>
      <c r="C308" s="27"/>
      <c r="D308" s="27"/>
      <c r="E308" s="28"/>
      <c r="F308" s="28"/>
    </row>
    <row r="309" customFormat="false" ht="15" hidden="false" customHeight="false" outlineLevel="0" collapsed="false">
      <c r="A309" s="27"/>
      <c r="B309" s="27"/>
      <c r="C309" s="27"/>
      <c r="D309" s="27"/>
      <c r="E309" s="28"/>
      <c r="F309" s="28"/>
    </row>
    <row r="310" customFormat="false" ht="15" hidden="false" customHeight="false" outlineLevel="0" collapsed="false">
      <c r="A310" s="27"/>
      <c r="B310" s="27"/>
      <c r="C310" s="27"/>
      <c r="D310" s="27"/>
      <c r="E310" s="28"/>
      <c r="F310" s="28"/>
    </row>
    <row r="311" customFormat="false" ht="15" hidden="false" customHeight="false" outlineLevel="0" collapsed="false">
      <c r="A311" s="27"/>
      <c r="B311" s="27"/>
      <c r="C311" s="27"/>
      <c r="D311" s="27"/>
      <c r="E311" s="28"/>
      <c r="F311" s="28"/>
    </row>
    <row r="312" customFormat="false" ht="15" hidden="false" customHeight="false" outlineLevel="0" collapsed="false">
      <c r="A312" s="27"/>
      <c r="B312" s="27"/>
      <c r="C312" s="27"/>
      <c r="D312" s="27"/>
      <c r="E312" s="28"/>
      <c r="F312" s="28"/>
    </row>
    <row r="313" customFormat="false" ht="15" hidden="false" customHeight="false" outlineLevel="0" collapsed="false">
      <c r="A313" s="27"/>
      <c r="B313" s="27"/>
      <c r="C313" s="27"/>
      <c r="D313" s="27"/>
      <c r="E313" s="28"/>
      <c r="F313" s="28"/>
    </row>
    <row r="314" customFormat="false" ht="15" hidden="false" customHeight="false" outlineLevel="0" collapsed="false">
      <c r="A314" s="27"/>
      <c r="B314" s="27"/>
      <c r="C314" s="27"/>
      <c r="D314" s="27"/>
      <c r="E314" s="28"/>
      <c r="F314" s="28"/>
    </row>
    <row r="315" customFormat="false" ht="15" hidden="false" customHeight="false" outlineLevel="0" collapsed="false">
      <c r="A315" s="27"/>
      <c r="B315" s="27"/>
      <c r="C315" s="27"/>
      <c r="D315" s="27"/>
      <c r="E315" s="28"/>
      <c r="F315" s="28"/>
    </row>
    <row r="316" customFormat="false" ht="15" hidden="false" customHeight="false" outlineLevel="0" collapsed="false">
      <c r="A316" s="27"/>
      <c r="B316" s="27"/>
      <c r="C316" s="27"/>
      <c r="D316" s="27"/>
      <c r="E316" s="28"/>
      <c r="F316" s="28"/>
    </row>
    <row r="317" customFormat="false" ht="15" hidden="false" customHeight="false" outlineLevel="0" collapsed="false">
      <c r="A317" s="27"/>
      <c r="B317" s="27"/>
      <c r="C317" s="27"/>
      <c r="D317" s="27"/>
      <c r="E317" s="28"/>
      <c r="F317" s="28"/>
    </row>
    <row r="318" customFormat="false" ht="15" hidden="false" customHeight="false" outlineLevel="0" collapsed="false">
      <c r="A318" s="27"/>
      <c r="B318" s="27"/>
      <c r="C318" s="27"/>
      <c r="D318" s="27"/>
      <c r="E318" s="28"/>
      <c r="F318" s="28"/>
    </row>
    <row r="319" customFormat="false" ht="15" hidden="false" customHeight="false" outlineLevel="0" collapsed="false">
      <c r="A319" s="27"/>
      <c r="B319" s="27"/>
      <c r="C319" s="27"/>
      <c r="D319" s="27"/>
      <c r="E319" s="28"/>
      <c r="F319" s="28"/>
    </row>
    <row r="320" customFormat="false" ht="15" hidden="false" customHeight="false" outlineLevel="0" collapsed="false">
      <c r="A320" s="27"/>
      <c r="B320" s="27"/>
      <c r="C320" s="27"/>
      <c r="D320" s="27"/>
      <c r="E320" s="28"/>
      <c r="F320" s="28"/>
    </row>
    <row r="321" customFormat="false" ht="15" hidden="false" customHeight="false" outlineLevel="0" collapsed="false">
      <c r="A321" s="27"/>
      <c r="B321" s="27"/>
      <c r="C321" s="27"/>
      <c r="D321" s="27"/>
      <c r="E321" s="28"/>
      <c r="F321" s="28"/>
    </row>
    <row r="322" customFormat="false" ht="15" hidden="false" customHeight="false" outlineLevel="0" collapsed="false">
      <c r="A322" s="27"/>
      <c r="B322" s="27"/>
      <c r="C322" s="27"/>
      <c r="D322" s="27"/>
      <c r="E322" s="28"/>
      <c r="F322" s="28"/>
    </row>
    <row r="323" customFormat="false" ht="15" hidden="false" customHeight="false" outlineLevel="0" collapsed="false">
      <c r="A323" s="27"/>
      <c r="B323" s="27"/>
      <c r="C323" s="27"/>
      <c r="D323" s="27"/>
      <c r="E323" s="28"/>
      <c r="F323" s="28"/>
    </row>
    <row r="324" customFormat="false" ht="15" hidden="false" customHeight="false" outlineLevel="0" collapsed="false">
      <c r="A324" s="27"/>
      <c r="B324" s="27"/>
      <c r="C324" s="27"/>
      <c r="D324" s="27"/>
      <c r="E324" s="28"/>
      <c r="F324" s="28"/>
    </row>
    <row r="325" customFormat="false" ht="15" hidden="false" customHeight="false" outlineLevel="0" collapsed="false">
      <c r="A325" s="27"/>
      <c r="B325" s="27"/>
      <c r="C325" s="27"/>
      <c r="D325" s="27"/>
      <c r="E325" s="28"/>
      <c r="F325" s="28"/>
    </row>
    <row r="326" customFormat="false" ht="15" hidden="false" customHeight="false" outlineLevel="0" collapsed="false">
      <c r="A326" s="27"/>
      <c r="B326" s="27"/>
      <c r="C326" s="27"/>
      <c r="D326" s="27"/>
      <c r="E326" s="28"/>
      <c r="F326" s="28"/>
    </row>
    <row r="327" customFormat="false" ht="15" hidden="false" customHeight="false" outlineLevel="0" collapsed="false">
      <c r="A327" s="27"/>
      <c r="B327" s="27"/>
      <c r="C327" s="27"/>
      <c r="D327" s="27"/>
      <c r="E327" s="28"/>
      <c r="F327" s="28"/>
    </row>
    <row r="328" customFormat="false" ht="15" hidden="false" customHeight="false" outlineLevel="0" collapsed="false">
      <c r="A328" s="27"/>
      <c r="B328" s="27"/>
      <c r="C328" s="27"/>
      <c r="D328" s="27"/>
      <c r="E328" s="28"/>
      <c r="F328" s="28"/>
    </row>
    <row r="329" customFormat="false" ht="15" hidden="false" customHeight="false" outlineLevel="0" collapsed="false">
      <c r="A329" s="27"/>
      <c r="B329" s="27"/>
      <c r="C329" s="27"/>
      <c r="D329" s="27"/>
      <c r="E329" s="28"/>
      <c r="F329" s="28"/>
    </row>
    <row r="330" customFormat="false" ht="15" hidden="false" customHeight="false" outlineLevel="0" collapsed="false">
      <c r="A330" s="27"/>
      <c r="B330" s="27"/>
      <c r="C330" s="27"/>
      <c r="D330" s="27"/>
      <c r="E330" s="28"/>
      <c r="F330" s="28"/>
    </row>
    <row r="331" customFormat="false" ht="15" hidden="false" customHeight="false" outlineLevel="0" collapsed="false">
      <c r="A331" s="27"/>
      <c r="B331" s="27"/>
      <c r="C331" s="27"/>
      <c r="D331" s="27"/>
      <c r="E331" s="28"/>
      <c r="F331" s="28"/>
    </row>
    <row r="332" customFormat="false" ht="15" hidden="false" customHeight="false" outlineLevel="0" collapsed="false">
      <c r="A332" s="27"/>
      <c r="B332" s="27"/>
      <c r="C332" s="27"/>
      <c r="D332" s="27"/>
      <c r="E332" s="28"/>
      <c r="F332" s="28"/>
    </row>
    <row r="333" customFormat="false" ht="15" hidden="false" customHeight="false" outlineLevel="0" collapsed="false">
      <c r="A333" s="27"/>
      <c r="B333" s="27"/>
      <c r="C333" s="27"/>
      <c r="D333" s="27"/>
      <c r="E333" s="28"/>
      <c r="F333" s="28"/>
    </row>
    <row r="334" customFormat="false" ht="15" hidden="false" customHeight="false" outlineLevel="0" collapsed="false">
      <c r="A334" s="27"/>
      <c r="B334" s="27"/>
      <c r="C334" s="27"/>
      <c r="D334" s="27"/>
      <c r="E334" s="28"/>
      <c r="F334" s="28"/>
    </row>
    <row r="335" customFormat="false" ht="15" hidden="false" customHeight="false" outlineLevel="0" collapsed="false">
      <c r="A335" s="27"/>
      <c r="B335" s="27"/>
      <c r="C335" s="27"/>
      <c r="D335" s="27"/>
      <c r="E335" s="28"/>
      <c r="F335" s="28"/>
    </row>
    <row r="336" customFormat="false" ht="15" hidden="false" customHeight="false" outlineLevel="0" collapsed="false">
      <c r="A336" s="27"/>
      <c r="B336" s="27"/>
      <c r="C336" s="27"/>
      <c r="D336" s="27"/>
      <c r="E336" s="28"/>
      <c r="F336" s="28"/>
    </row>
    <row r="337" customFormat="false" ht="15" hidden="false" customHeight="false" outlineLevel="0" collapsed="false">
      <c r="A337" s="27"/>
      <c r="B337" s="27"/>
      <c r="C337" s="27"/>
      <c r="D337" s="27"/>
      <c r="E337" s="28"/>
      <c r="F337" s="28"/>
    </row>
    <row r="338" customFormat="false" ht="15" hidden="false" customHeight="false" outlineLevel="0" collapsed="false">
      <c r="A338" s="27"/>
      <c r="B338" s="27"/>
      <c r="C338" s="27"/>
      <c r="D338" s="27"/>
      <c r="E338" s="28"/>
      <c r="F338" s="28"/>
    </row>
    <row r="339" customFormat="false" ht="15" hidden="false" customHeight="false" outlineLevel="0" collapsed="false">
      <c r="A339" s="27"/>
      <c r="B339" s="27"/>
      <c r="C339" s="27"/>
      <c r="D339" s="27"/>
      <c r="E339" s="28"/>
      <c r="F339" s="28"/>
    </row>
    <row r="340" customFormat="false" ht="15" hidden="false" customHeight="false" outlineLevel="0" collapsed="false">
      <c r="A340" s="27"/>
      <c r="B340" s="27"/>
      <c r="C340" s="27"/>
      <c r="D340" s="27"/>
      <c r="E340" s="28"/>
      <c r="F340" s="28"/>
    </row>
    <row r="341" customFormat="false" ht="15" hidden="false" customHeight="false" outlineLevel="0" collapsed="false">
      <c r="A341" s="27"/>
      <c r="B341" s="27"/>
      <c r="C341" s="27"/>
      <c r="D341" s="27"/>
      <c r="E341" s="28"/>
      <c r="F341" s="28"/>
    </row>
    <row r="342" customFormat="false" ht="15" hidden="false" customHeight="false" outlineLevel="0" collapsed="false">
      <c r="A342" s="27"/>
      <c r="B342" s="27"/>
      <c r="C342" s="27"/>
      <c r="D342" s="27"/>
      <c r="E342" s="28"/>
      <c r="F342" s="28"/>
    </row>
    <row r="343" customFormat="false" ht="15" hidden="false" customHeight="false" outlineLevel="0" collapsed="false">
      <c r="A343" s="27"/>
      <c r="B343" s="27"/>
      <c r="C343" s="27"/>
      <c r="D343" s="27"/>
      <c r="E343" s="28"/>
      <c r="F343" s="28"/>
    </row>
    <row r="344" customFormat="false" ht="15" hidden="false" customHeight="false" outlineLevel="0" collapsed="false">
      <c r="A344" s="27"/>
      <c r="B344" s="27"/>
      <c r="C344" s="27"/>
      <c r="D344" s="27"/>
      <c r="E344" s="28"/>
      <c r="F344" s="28"/>
    </row>
    <row r="345" customFormat="false" ht="15" hidden="false" customHeight="false" outlineLevel="0" collapsed="false">
      <c r="A345" s="27"/>
      <c r="B345" s="27"/>
      <c r="C345" s="27"/>
      <c r="D345" s="27"/>
      <c r="E345" s="28"/>
      <c r="F345" s="28"/>
    </row>
    <row r="346" customFormat="false" ht="15" hidden="false" customHeight="false" outlineLevel="0" collapsed="false">
      <c r="A346" s="27"/>
      <c r="B346" s="27"/>
      <c r="C346" s="27"/>
      <c r="D346" s="27"/>
      <c r="E346" s="28"/>
      <c r="F346" s="28"/>
    </row>
    <row r="347" customFormat="false" ht="15" hidden="false" customHeight="false" outlineLevel="0" collapsed="false">
      <c r="A347" s="27"/>
      <c r="B347" s="27"/>
      <c r="C347" s="27"/>
      <c r="D347" s="27"/>
      <c r="E347" s="28"/>
      <c r="F347" s="28"/>
    </row>
    <row r="348" customFormat="false" ht="15" hidden="false" customHeight="false" outlineLevel="0" collapsed="false">
      <c r="A348" s="27"/>
      <c r="B348" s="27"/>
      <c r="C348" s="27"/>
      <c r="D348" s="27"/>
      <c r="E348" s="28"/>
      <c r="F348" s="28"/>
    </row>
    <row r="349" customFormat="false" ht="15" hidden="false" customHeight="false" outlineLevel="0" collapsed="false">
      <c r="A349" s="27"/>
      <c r="B349" s="27"/>
      <c r="C349" s="27"/>
      <c r="D349" s="27"/>
      <c r="E349" s="28"/>
      <c r="F349" s="28"/>
    </row>
    <row r="350" customFormat="false" ht="15" hidden="false" customHeight="false" outlineLevel="0" collapsed="false">
      <c r="A350" s="27"/>
      <c r="B350" s="27"/>
      <c r="C350" s="27"/>
      <c r="D350" s="27"/>
      <c r="E350" s="28"/>
      <c r="F350" s="28"/>
    </row>
    <row r="351" customFormat="false" ht="15" hidden="false" customHeight="false" outlineLevel="0" collapsed="false">
      <c r="A351" s="27"/>
      <c r="B351" s="27"/>
      <c r="C351" s="27"/>
      <c r="D351" s="27"/>
      <c r="E351" s="28"/>
      <c r="F351" s="28"/>
    </row>
    <row r="352" customFormat="false" ht="15" hidden="false" customHeight="false" outlineLevel="0" collapsed="false">
      <c r="A352" s="27"/>
      <c r="B352" s="27"/>
      <c r="C352" s="27"/>
      <c r="D352" s="27"/>
      <c r="E352" s="28"/>
      <c r="F352" s="28"/>
    </row>
    <row r="353" customFormat="false" ht="15" hidden="false" customHeight="false" outlineLevel="0" collapsed="false">
      <c r="A353" s="27"/>
      <c r="B353" s="27"/>
      <c r="C353" s="27"/>
      <c r="D353" s="27"/>
      <c r="E353" s="28"/>
      <c r="F353" s="28"/>
    </row>
    <row r="354" customFormat="false" ht="15" hidden="false" customHeight="false" outlineLevel="0" collapsed="false">
      <c r="A354" s="27"/>
      <c r="B354" s="27"/>
      <c r="C354" s="27"/>
      <c r="D354" s="27"/>
      <c r="E354" s="28"/>
      <c r="F354" s="28"/>
    </row>
    <row r="355" customFormat="false" ht="15" hidden="false" customHeight="false" outlineLevel="0" collapsed="false">
      <c r="A355" s="27"/>
      <c r="B355" s="27"/>
      <c r="C355" s="27"/>
      <c r="D355" s="27"/>
      <c r="E355" s="28"/>
      <c r="F355" s="28"/>
    </row>
    <row r="356" customFormat="false" ht="15" hidden="false" customHeight="false" outlineLevel="0" collapsed="false">
      <c r="A356" s="27"/>
      <c r="B356" s="27"/>
      <c r="C356" s="27"/>
      <c r="D356" s="27"/>
      <c r="E356" s="28"/>
      <c r="F356" s="28"/>
    </row>
    <row r="357" customFormat="false" ht="15" hidden="false" customHeight="false" outlineLevel="0" collapsed="false">
      <c r="A357" s="27"/>
      <c r="B357" s="27"/>
      <c r="C357" s="27"/>
      <c r="D357" s="27"/>
      <c r="E357" s="28"/>
      <c r="F357" s="28"/>
    </row>
    <row r="358" customFormat="false" ht="15" hidden="false" customHeight="false" outlineLevel="0" collapsed="false">
      <c r="A358" s="27"/>
      <c r="B358" s="27"/>
      <c r="C358" s="27"/>
      <c r="D358" s="27"/>
      <c r="E358" s="28"/>
      <c r="F358" s="28"/>
    </row>
    <row r="359" customFormat="false" ht="15" hidden="false" customHeight="false" outlineLevel="0" collapsed="false">
      <c r="A359" s="27"/>
      <c r="B359" s="27"/>
      <c r="C359" s="27"/>
      <c r="D359" s="27"/>
      <c r="E359" s="28"/>
      <c r="F359" s="28"/>
    </row>
    <row r="360" customFormat="false" ht="15" hidden="false" customHeight="false" outlineLevel="0" collapsed="false">
      <c r="A360" s="27"/>
      <c r="B360" s="27"/>
      <c r="C360" s="27"/>
      <c r="D360" s="27"/>
      <c r="E360" s="28"/>
      <c r="F360" s="28"/>
    </row>
    <row r="361" customFormat="false" ht="15" hidden="false" customHeight="false" outlineLevel="0" collapsed="false">
      <c r="A361" s="27"/>
      <c r="B361" s="27"/>
      <c r="C361" s="27"/>
      <c r="D361" s="27"/>
      <c r="E361" s="28"/>
      <c r="F361" s="28"/>
    </row>
    <row r="362" customFormat="false" ht="15" hidden="false" customHeight="false" outlineLevel="0" collapsed="false">
      <c r="A362" s="27"/>
      <c r="B362" s="27"/>
      <c r="C362" s="27"/>
      <c r="D362" s="27"/>
      <c r="E362" s="28"/>
      <c r="F362" s="28"/>
    </row>
    <row r="363" customFormat="false" ht="15" hidden="false" customHeight="false" outlineLevel="0" collapsed="false">
      <c r="A363" s="27"/>
      <c r="B363" s="27"/>
      <c r="C363" s="27"/>
      <c r="D363" s="27"/>
      <c r="E363" s="28"/>
      <c r="F363" s="28"/>
    </row>
    <row r="364" customFormat="false" ht="15" hidden="false" customHeight="false" outlineLevel="0" collapsed="false">
      <c r="A364" s="27"/>
      <c r="B364" s="27"/>
      <c r="C364" s="27"/>
      <c r="D364" s="27"/>
      <c r="E364" s="28"/>
      <c r="F364" s="28"/>
    </row>
    <row r="365" customFormat="false" ht="15" hidden="false" customHeight="false" outlineLevel="0" collapsed="false">
      <c r="A365" s="27"/>
      <c r="B365" s="27"/>
      <c r="C365" s="27"/>
      <c r="D365" s="27"/>
      <c r="E365" s="28"/>
      <c r="F365" s="28"/>
    </row>
    <row r="366" customFormat="false" ht="15" hidden="false" customHeight="false" outlineLevel="0" collapsed="false">
      <c r="A366" s="27"/>
      <c r="B366" s="27"/>
      <c r="C366" s="27"/>
      <c r="D366" s="27"/>
      <c r="E366" s="28"/>
      <c r="F366" s="28"/>
    </row>
    <row r="367" customFormat="false" ht="15" hidden="false" customHeight="false" outlineLevel="0" collapsed="false">
      <c r="A367" s="27"/>
      <c r="B367" s="27"/>
      <c r="C367" s="27"/>
      <c r="D367" s="27"/>
      <c r="E367" s="28"/>
      <c r="F367" s="28"/>
    </row>
    <row r="368" customFormat="false" ht="15" hidden="false" customHeight="false" outlineLevel="0" collapsed="false">
      <c r="A368" s="27"/>
      <c r="B368" s="27"/>
      <c r="C368" s="27"/>
      <c r="D368" s="27"/>
      <c r="E368" s="28"/>
      <c r="F368" s="28"/>
    </row>
    <row r="369" customFormat="false" ht="15" hidden="false" customHeight="false" outlineLevel="0" collapsed="false">
      <c r="A369" s="27"/>
      <c r="B369" s="27"/>
      <c r="C369" s="27"/>
      <c r="D369" s="27"/>
      <c r="E369" s="28"/>
      <c r="F369" s="28"/>
    </row>
    <row r="370" customFormat="false" ht="15" hidden="false" customHeight="false" outlineLevel="0" collapsed="false">
      <c r="A370" s="27"/>
      <c r="B370" s="27"/>
      <c r="C370" s="27"/>
      <c r="D370" s="27"/>
      <c r="E370" s="28"/>
      <c r="F370" s="28"/>
    </row>
    <row r="371" customFormat="false" ht="15" hidden="false" customHeight="false" outlineLevel="0" collapsed="false">
      <c r="A371" s="27"/>
      <c r="B371" s="27"/>
      <c r="C371" s="27"/>
      <c r="D371" s="27"/>
      <c r="E371" s="28"/>
      <c r="F371" s="28"/>
    </row>
    <row r="372" customFormat="false" ht="15" hidden="false" customHeight="false" outlineLevel="0" collapsed="false">
      <c r="A372" s="27"/>
      <c r="B372" s="27"/>
      <c r="C372" s="27"/>
      <c r="D372" s="27"/>
      <c r="E372" s="28"/>
      <c r="F372" s="28"/>
    </row>
    <row r="373" customFormat="false" ht="15" hidden="false" customHeight="false" outlineLevel="0" collapsed="false">
      <c r="A373" s="27"/>
      <c r="B373" s="27"/>
      <c r="C373" s="27"/>
      <c r="D373" s="27"/>
      <c r="E373" s="28"/>
      <c r="F373" s="28"/>
    </row>
    <row r="374" customFormat="false" ht="15" hidden="false" customHeight="false" outlineLevel="0" collapsed="false">
      <c r="A374" s="27"/>
      <c r="B374" s="27"/>
      <c r="C374" s="27"/>
      <c r="D374" s="27"/>
      <c r="E374" s="28"/>
      <c r="F374" s="28"/>
    </row>
    <row r="375" customFormat="false" ht="15" hidden="false" customHeight="false" outlineLevel="0" collapsed="false">
      <c r="A375" s="27"/>
      <c r="B375" s="27"/>
      <c r="C375" s="27"/>
      <c r="D375" s="27"/>
      <c r="E375" s="28"/>
      <c r="F375" s="28"/>
    </row>
    <row r="376" customFormat="false" ht="15" hidden="false" customHeight="false" outlineLevel="0" collapsed="false">
      <c r="A376" s="27"/>
      <c r="B376" s="27"/>
      <c r="C376" s="27"/>
      <c r="D376" s="27"/>
      <c r="E376" s="28"/>
      <c r="F376" s="28"/>
    </row>
    <row r="377" customFormat="false" ht="15" hidden="false" customHeight="false" outlineLevel="0" collapsed="false">
      <c r="A377" s="27"/>
      <c r="B377" s="27"/>
      <c r="C377" s="27"/>
      <c r="D377" s="27"/>
      <c r="E377" s="28"/>
      <c r="F377" s="28"/>
    </row>
    <row r="378" customFormat="false" ht="15" hidden="false" customHeight="false" outlineLevel="0" collapsed="false">
      <c r="A378" s="27"/>
      <c r="B378" s="27"/>
      <c r="C378" s="27"/>
      <c r="D378" s="27"/>
      <c r="E378" s="28"/>
      <c r="F378" s="28"/>
    </row>
    <row r="379" customFormat="false" ht="15" hidden="false" customHeight="false" outlineLevel="0" collapsed="false">
      <c r="A379" s="27"/>
      <c r="B379" s="27"/>
      <c r="C379" s="27"/>
      <c r="D379" s="27"/>
      <c r="E379" s="28"/>
      <c r="F379" s="28"/>
    </row>
    <row r="380" customFormat="false" ht="15" hidden="false" customHeight="false" outlineLevel="0" collapsed="false">
      <c r="A380" s="27"/>
      <c r="B380" s="27"/>
      <c r="C380" s="27"/>
      <c r="D380" s="27"/>
      <c r="E380" s="28"/>
      <c r="F380" s="28"/>
    </row>
    <row r="381" customFormat="false" ht="15" hidden="false" customHeight="false" outlineLevel="0" collapsed="false">
      <c r="A381" s="27"/>
      <c r="B381" s="27"/>
      <c r="C381" s="27"/>
      <c r="D381" s="27"/>
      <c r="E381" s="28"/>
      <c r="F381" s="28"/>
    </row>
    <row r="382" customFormat="false" ht="15" hidden="false" customHeight="false" outlineLevel="0" collapsed="false">
      <c r="A382" s="27"/>
      <c r="B382" s="27"/>
      <c r="C382" s="27"/>
      <c r="D382" s="27"/>
      <c r="E382" s="28"/>
      <c r="F382" s="28"/>
    </row>
    <row r="383" customFormat="false" ht="15" hidden="false" customHeight="false" outlineLevel="0" collapsed="false">
      <c r="A383" s="27"/>
      <c r="B383" s="27"/>
      <c r="C383" s="27"/>
      <c r="D383" s="27"/>
      <c r="E383" s="28"/>
      <c r="F383" s="28"/>
    </row>
    <row r="384" customFormat="false" ht="15" hidden="false" customHeight="false" outlineLevel="0" collapsed="false">
      <c r="A384" s="27"/>
      <c r="B384" s="27"/>
      <c r="C384" s="27"/>
      <c r="D384" s="27"/>
      <c r="E384" s="28"/>
      <c r="F384" s="28"/>
    </row>
    <row r="385" customFormat="false" ht="15" hidden="false" customHeight="false" outlineLevel="0" collapsed="false">
      <c r="A385" s="27"/>
      <c r="B385" s="27"/>
      <c r="C385" s="27"/>
      <c r="D385" s="27"/>
      <c r="E385" s="28"/>
      <c r="F385" s="28"/>
    </row>
    <row r="386" customFormat="false" ht="15" hidden="false" customHeight="false" outlineLevel="0" collapsed="false">
      <c r="A386" s="27"/>
      <c r="B386" s="27"/>
      <c r="C386" s="27"/>
      <c r="D386" s="27"/>
      <c r="E386" s="28"/>
      <c r="F386" s="28"/>
    </row>
    <row r="387" customFormat="false" ht="15" hidden="false" customHeight="false" outlineLevel="0" collapsed="false">
      <c r="A387" s="27"/>
      <c r="B387" s="27"/>
      <c r="C387" s="27"/>
      <c r="D387" s="27"/>
      <c r="E387" s="28"/>
      <c r="F387" s="28"/>
    </row>
    <row r="388" customFormat="false" ht="15" hidden="false" customHeight="false" outlineLevel="0" collapsed="false">
      <c r="A388" s="27"/>
      <c r="B388" s="27"/>
      <c r="C388" s="27"/>
      <c r="D388" s="27"/>
      <c r="E388" s="28"/>
      <c r="F388" s="28"/>
    </row>
    <row r="389" customFormat="false" ht="15" hidden="false" customHeight="false" outlineLevel="0" collapsed="false">
      <c r="A389" s="27"/>
      <c r="B389" s="27"/>
      <c r="C389" s="27"/>
      <c r="D389" s="27"/>
      <c r="E389" s="28"/>
      <c r="F389" s="28"/>
    </row>
    <row r="390" customFormat="false" ht="15" hidden="false" customHeight="false" outlineLevel="0" collapsed="false">
      <c r="A390" s="27"/>
      <c r="B390" s="27"/>
      <c r="C390" s="27"/>
      <c r="D390" s="27"/>
      <c r="E390" s="28"/>
      <c r="F390" s="28"/>
    </row>
    <row r="391" customFormat="false" ht="15" hidden="false" customHeight="false" outlineLevel="0" collapsed="false">
      <c r="A391" s="27"/>
      <c r="B391" s="27"/>
      <c r="C391" s="27"/>
      <c r="D391" s="27"/>
      <c r="E391" s="28"/>
      <c r="F391" s="28"/>
    </row>
    <row r="392" customFormat="false" ht="15" hidden="false" customHeight="false" outlineLevel="0" collapsed="false">
      <c r="A392" s="27"/>
      <c r="B392" s="27"/>
      <c r="C392" s="27"/>
      <c r="D392" s="27"/>
      <c r="E392" s="28"/>
      <c r="F392" s="28"/>
    </row>
    <row r="393" customFormat="false" ht="15" hidden="false" customHeight="false" outlineLevel="0" collapsed="false">
      <c r="A393" s="27"/>
      <c r="B393" s="27"/>
      <c r="C393" s="27"/>
      <c r="D393" s="27"/>
      <c r="E393" s="28"/>
      <c r="F393" s="28"/>
    </row>
    <row r="394" customFormat="false" ht="15" hidden="false" customHeight="false" outlineLevel="0" collapsed="false">
      <c r="A394" s="27"/>
      <c r="B394" s="27"/>
      <c r="C394" s="27"/>
      <c r="D394" s="27"/>
      <c r="E394" s="28"/>
      <c r="F394" s="28"/>
    </row>
    <row r="395" customFormat="false" ht="15" hidden="false" customHeight="false" outlineLevel="0" collapsed="false">
      <c r="A395" s="27"/>
      <c r="B395" s="27"/>
      <c r="C395" s="27"/>
      <c r="D395" s="27"/>
      <c r="E395" s="28"/>
      <c r="F395" s="28"/>
    </row>
    <row r="396" customFormat="false" ht="15" hidden="false" customHeight="false" outlineLevel="0" collapsed="false">
      <c r="A396" s="27"/>
      <c r="B396" s="27"/>
      <c r="C396" s="27"/>
      <c r="D396" s="27"/>
      <c r="E396" s="28"/>
      <c r="F396" s="28"/>
    </row>
    <row r="397" customFormat="false" ht="15" hidden="false" customHeight="false" outlineLevel="0" collapsed="false">
      <c r="A397" s="27"/>
      <c r="B397" s="27"/>
      <c r="C397" s="27"/>
      <c r="D397" s="27"/>
      <c r="E397" s="28"/>
      <c r="F397" s="28"/>
    </row>
    <row r="398" customFormat="false" ht="15" hidden="false" customHeight="false" outlineLevel="0" collapsed="false">
      <c r="A398" s="27"/>
      <c r="B398" s="27"/>
      <c r="C398" s="27"/>
      <c r="D398" s="27"/>
      <c r="E398" s="28"/>
      <c r="F398" s="28"/>
    </row>
    <row r="399" customFormat="false" ht="15" hidden="false" customHeight="false" outlineLevel="0" collapsed="false">
      <c r="A399" s="27"/>
      <c r="B399" s="27"/>
      <c r="C399" s="27"/>
      <c r="D399" s="27"/>
      <c r="E399" s="28"/>
      <c r="F399" s="28"/>
    </row>
    <row r="400" customFormat="false" ht="15" hidden="false" customHeight="false" outlineLevel="0" collapsed="false">
      <c r="A400" s="27"/>
      <c r="B400" s="27"/>
      <c r="C400" s="27"/>
      <c r="D400" s="27"/>
      <c r="E400" s="28"/>
      <c r="F400" s="28"/>
    </row>
    <row r="401" customFormat="false" ht="15" hidden="false" customHeight="false" outlineLevel="0" collapsed="false">
      <c r="A401" s="27"/>
      <c r="B401" s="27"/>
      <c r="C401" s="27"/>
      <c r="D401" s="27"/>
      <c r="E401" s="28"/>
      <c r="F401" s="28"/>
    </row>
    <row r="402" customFormat="false" ht="15" hidden="false" customHeight="false" outlineLevel="0" collapsed="false">
      <c r="A402" s="27"/>
      <c r="B402" s="27"/>
      <c r="C402" s="27"/>
      <c r="D402" s="27"/>
      <c r="E402" s="28"/>
      <c r="F402" s="28"/>
    </row>
    <row r="403" customFormat="false" ht="15" hidden="false" customHeight="false" outlineLevel="0" collapsed="false">
      <c r="A403" s="27"/>
      <c r="B403" s="27"/>
      <c r="C403" s="27"/>
      <c r="D403" s="27"/>
      <c r="E403" s="28"/>
      <c r="F403" s="28"/>
    </row>
    <row r="404" customFormat="false" ht="15" hidden="false" customHeight="false" outlineLevel="0" collapsed="false">
      <c r="A404" s="27"/>
      <c r="B404" s="27"/>
      <c r="C404" s="27"/>
      <c r="D404" s="27"/>
      <c r="E404" s="28"/>
      <c r="F404" s="28"/>
    </row>
    <row r="405" customFormat="false" ht="15" hidden="false" customHeight="false" outlineLevel="0" collapsed="false">
      <c r="A405" s="27"/>
      <c r="B405" s="27"/>
      <c r="C405" s="27"/>
      <c r="D405" s="27"/>
      <c r="E405" s="28"/>
      <c r="F405" s="28"/>
    </row>
    <row r="406" customFormat="false" ht="15" hidden="false" customHeight="false" outlineLevel="0" collapsed="false">
      <c r="A406" s="27"/>
      <c r="B406" s="27"/>
      <c r="C406" s="27"/>
      <c r="D406" s="27"/>
      <c r="E406" s="28"/>
      <c r="F406" s="28"/>
    </row>
    <row r="407" customFormat="false" ht="15" hidden="false" customHeight="false" outlineLevel="0" collapsed="false">
      <c r="A407" s="27"/>
      <c r="B407" s="27"/>
      <c r="C407" s="27"/>
      <c r="D407" s="27"/>
      <c r="E407" s="28"/>
      <c r="F407" s="28"/>
    </row>
    <row r="408" customFormat="false" ht="15" hidden="false" customHeight="false" outlineLevel="0" collapsed="false">
      <c r="A408" s="27"/>
      <c r="B408" s="27"/>
      <c r="C408" s="27"/>
      <c r="D408" s="27"/>
      <c r="E408" s="28"/>
      <c r="F408" s="28"/>
    </row>
    <row r="409" customFormat="false" ht="15" hidden="false" customHeight="false" outlineLevel="0" collapsed="false">
      <c r="A409" s="27"/>
      <c r="B409" s="27"/>
      <c r="C409" s="27"/>
      <c r="D409" s="27"/>
      <c r="E409" s="28"/>
      <c r="F409" s="28"/>
    </row>
    <row r="410" customFormat="false" ht="15" hidden="false" customHeight="false" outlineLevel="0" collapsed="false">
      <c r="A410" s="27"/>
      <c r="B410" s="27"/>
      <c r="C410" s="27"/>
      <c r="D410" s="27"/>
      <c r="E410" s="28"/>
      <c r="F410" s="28"/>
    </row>
    <row r="411" customFormat="false" ht="15" hidden="false" customHeight="false" outlineLevel="0" collapsed="false">
      <c r="A411" s="27"/>
      <c r="B411" s="27"/>
      <c r="C411" s="27"/>
      <c r="D411" s="27"/>
      <c r="E411" s="28"/>
      <c r="F411" s="28"/>
    </row>
    <row r="412" customFormat="false" ht="15" hidden="false" customHeight="false" outlineLevel="0" collapsed="false">
      <c r="A412" s="27"/>
      <c r="B412" s="27"/>
      <c r="C412" s="27"/>
      <c r="D412" s="27"/>
      <c r="E412" s="28"/>
      <c r="F412" s="28"/>
    </row>
    <row r="413" customFormat="false" ht="15" hidden="false" customHeight="false" outlineLevel="0" collapsed="false">
      <c r="A413" s="27"/>
      <c r="B413" s="27"/>
      <c r="C413" s="27"/>
      <c r="D413" s="27"/>
      <c r="E413" s="28"/>
      <c r="F413" s="28"/>
    </row>
    <row r="414" customFormat="false" ht="15" hidden="false" customHeight="false" outlineLevel="0" collapsed="false">
      <c r="A414" s="27"/>
      <c r="B414" s="27"/>
      <c r="C414" s="27"/>
      <c r="D414" s="27"/>
      <c r="E414" s="28"/>
      <c r="F414" s="28"/>
    </row>
    <row r="415" customFormat="false" ht="15" hidden="false" customHeight="false" outlineLevel="0" collapsed="false">
      <c r="A415" s="27"/>
      <c r="B415" s="27"/>
      <c r="C415" s="27"/>
      <c r="D415" s="27"/>
      <c r="E415" s="28"/>
      <c r="F415" s="28"/>
    </row>
    <row r="416" customFormat="false" ht="15" hidden="false" customHeight="false" outlineLevel="0" collapsed="false">
      <c r="A416" s="27"/>
      <c r="B416" s="27"/>
      <c r="C416" s="27"/>
      <c r="D416" s="27"/>
      <c r="E416" s="28"/>
      <c r="F416" s="28"/>
    </row>
    <row r="417" customFormat="false" ht="15" hidden="false" customHeight="false" outlineLevel="0" collapsed="false">
      <c r="A417" s="27"/>
      <c r="B417" s="27"/>
      <c r="C417" s="27"/>
      <c r="D417" s="27"/>
      <c r="E417" s="28"/>
      <c r="F417" s="28"/>
    </row>
    <row r="418" customFormat="false" ht="15" hidden="false" customHeight="false" outlineLevel="0" collapsed="false">
      <c r="A418" s="27"/>
      <c r="B418" s="27"/>
      <c r="C418" s="27"/>
      <c r="D418" s="27"/>
      <c r="E418" s="28"/>
      <c r="F418" s="28"/>
    </row>
    <row r="419" customFormat="false" ht="15" hidden="false" customHeight="false" outlineLevel="0" collapsed="false">
      <c r="A419" s="27"/>
      <c r="B419" s="27"/>
      <c r="C419" s="27"/>
      <c r="D419" s="27"/>
      <c r="E419" s="28"/>
      <c r="F419" s="28"/>
    </row>
    <row r="420" customFormat="false" ht="15" hidden="false" customHeight="false" outlineLevel="0" collapsed="false">
      <c r="A420" s="27"/>
      <c r="B420" s="27"/>
      <c r="C420" s="27"/>
      <c r="D420" s="27"/>
      <c r="E420" s="28"/>
      <c r="F420" s="28"/>
    </row>
    <row r="421" customFormat="false" ht="15" hidden="false" customHeight="false" outlineLevel="0" collapsed="false">
      <c r="A421" s="27"/>
      <c r="B421" s="27"/>
      <c r="C421" s="27"/>
      <c r="D421" s="27"/>
      <c r="E421" s="28"/>
      <c r="F421" s="28"/>
    </row>
    <row r="422" customFormat="false" ht="15" hidden="false" customHeight="false" outlineLevel="0" collapsed="false">
      <c r="A422" s="27"/>
      <c r="B422" s="27"/>
      <c r="C422" s="27"/>
      <c r="D422" s="27"/>
      <c r="E422" s="28"/>
      <c r="F422" s="28"/>
    </row>
    <row r="423" customFormat="false" ht="15" hidden="false" customHeight="false" outlineLevel="0" collapsed="false">
      <c r="A423" s="27"/>
      <c r="B423" s="27"/>
      <c r="C423" s="27"/>
      <c r="D423" s="27"/>
      <c r="E423" s="28"/>
      <c r="F423" s="28"/>
    </row>
    <row r="424" customFormat="false" ht="15" hidden="false" customHeight="false" outlineLevel="0" collapsed="false">
      <c r="A424" s="27"/>
      <c r="B424" s="27"/>
      <c r="C424" s="27"/>
      <c r="D424" s="27"/>
      <c r="E424" s="28"/>
      <c r="F424" s="28"/>
    </row>
    <row r="425" customFormat="false" ht="15" hidden="false" customHeight="false" outlineLevel="0" collapsed="false">
      <c r="A425" s="27"/>
      <c r="B425" s="27"/>
      <c r="C425" s="27"/>
      <c r="D425" s="27"/>
      <c r="E425" s="28"/>
      <c r="F425" s="28"/>
    </row>
    <row r="426" customFormat="false" ht="15" hidden="false" customHeight="false" outlineLevel="0" collapsed="false">
      <c r="A426" s="27"/>
      <c r="B426" s="27"/>
      <c r="C426" s="27"/>
      <c r="D426" s="27"/>
      <c r="E426" s="28"/>
      <c r="F426" s="28"/>
    </row>
    <row r="427" customFormat="false" ht="15" hidden="false" customHeight="false" outlineLevel="0" collapsed="false">
      <c r="A427" s="27"/>
      <c r="B427" s="27"/>
      <c r="C427" s="27"/>
      <c r="D427" s="27"/>
      <c r="E427" s="28"/>
      <c r="F427" s="28"/>
    </row>
    <row r="428" customFormat="false" ht="15" hidden="false" customHeight="false" outlineLevel="0" collapsed="false">
      <c r="A428" s="27"/>
      <c r="B428" s="27"/>
      <c r="C428" s="27"/>
      <c r="D428" s="27"/>
      <c r="E428" s="28"/>
      <c r="F428" s="28"/>
    </row>
    <row r="429" customFormat="false" ht="15" hidden="false" customHeight="false" outlineLevel="0" collapsed="false">
      <c r="A429" s="27"/>
      <c r="B429" s="27"/>
      <c r="C429" s="27"/>
      <c r="D429" s="27"/>
      <c r="E429" s="28"/>
      <c r="F429" s="28"/>
    </row>
    <row r="430" customFormat="false" ht="15" hidden="false" customHeight="false" outlineLevel="0" collapsed="false">
      <c r="A430" s="27"/>
      <c r="B430" s="27"/>
      <c r="C430" s="27"/>
      <c r="D430" s="27"/>
      <c r="E430" s="28"/>
      <c r="F430" s="28"/>
    </row>
    <row r="431" customFormat="false" ht="15" hidden="false" customHeight="false" outlineLevel="0" collapsed="false">
      <c r="A431" s="27"/>
      <c r="B431" s="27"/>
      <c r="C431" s="27"/>
      <c r="D431" s="27"/>
      <c r="E431" s="28"/>
      <c r="F431" s="28"/>
    </row>
    <row r="432" customFormat="false" ht="15" hidden="false" customHeight="false" outlineLevel="0" collapsed="false">
      <c r="A432" s="27"/>
      <c r="B432" s="27"/>
      <c r="C432" s="27"/>
      <c r="D432" s="27"/>
      <c r="E432" s="28"/>
      <c r="F432" s="28"/>
    </row>
    <row r="433" customFormat="false" ht="15" hidden="false" customHeight="false" outlineLevel="0" collapsed="false">
      <c r="A433" s="27"/>
      <c r="B433" s="27"/>
      <c r="C433" s="27"/>
      <c r="D433" s="27"/>
      <c r="E433" s="28"/>
      <c r="F433" s="28"/>
    </row>
    <row r="434" customFormat="false" ht="15" hidden="false" customHeight="false" outlineLevel="0" collapsed="false">
      <c r="A434" s="27"/>
      <c r="B434" s="27"/>
      <c r="C434" s="27"/>
      <c r="D434" s="27"/>
      <c r="E434" s="28"/>
      <c r="F434" s="28"/>
    </row>
    <row r="435" customFormat="false" ht="15" hidden="false" customHeight="false" outlineLevel="0" collapsed="false">
      <c r="A435" s="27"/>
      <c r="B435" s="27"/>
      <c r="C435" s="27"/>
      <c r="D435" s="27"/>
      <c r="E435" s="28"/>
      <c r="F435" s="28"/>
    </row>
    <row r="436" customFormat="false" ht="15" hidden="false" customHeight="false" outlineLevel="0" collapsed="false">
      <c r="A436" s="27"/>
      <c r="B436" s="27"/>
      <c r="C436" s="27"/>
      <c r="D436" s="27"/>
      <c r="E436" s="28"/>
      <c r="F436" s="28"/>
    </row>
    <row r="437" customFormat="false" ht="15" hidden="false" customHeight="false" outlineLevel="0" collapsed="false">
      <c r="A437" s="27"/>
      <c r="B437" s="27"/>
      <c r="C437" s="27"/>
      <c r="D437" s="27"/>
      <c r="E437" s="28"/>
      <c r="F437" s="28"/>
    </row>
    <row r="438" customFormat="false" ht="15" hidden="false" customHeight="false" outlineLevel="0" collapsed="false">
      <c r="A438" s="27"/>
      <c r="B438" s="27"/>
      <c r="C438" s="27"/>
      <c r="D438" s="27"/>
      <c r="E438" s="28"/>
      <c r="F438" s="28"/>
    </row>
    <row r="439" customFormat="false" ht="15" hidden="false" customHeight="false" outlineLevel="0" collapsed="false">
      <c r="A439" s="27"/>
      <c r="B439" s="27"/>
      <c r="C439" s="27"/>
      <c r="D439" s="27"/>
      <c r="E439" s="28"/>
      <c r="F439" s="28"/>
    </row>
    <row r="440" customFormat="false" ht="15" hidden="false" customHeight="false" outlineLevel="0" collapsed="false">
      <c r="A440" s="27"/>
      <c r="B440" s="27"/>
      <c r="C440" s="27"/>
      <c r="D440" s="27"/>
      <c r="E440" s="28"/>
      <c r="F440" s="28"/>
    </row>
    <row r="441" customFormat="false" ht="15" hidden="false" customHeight="false" outlineLevel="0" collapsed="false">
      <c r="A441" s="27"/>
      <c r="B441" s="27"/>
      <c r="C441" s="27"/>
      <c r="D441" s="27"/>
      <c r="E441" s="28"/>
      <c r="F441" s="28"/>
    </row>
    <row r="442" customFormat="false" ht="15" hidden="false" customHeight="false" outlineLevel="0" collapsed="false">
      <c r="A442" s="27"/>
      <c r="B442" s="27"/>
      <c r="C442" s="27"/>
      <c r="D442" s="27"/>
      <c r="E442" s="28"/>
      <c r="F442" s="28"/>
    </row>
    <row r="443" customFormat="false" ht="15" hidden="false" customHeight="false" outlineLevel="0" collapsed="false">
      <c r="A443" s="27"/>
      <c r="B443" s="27"/>
      <c r="C443" s="27"/>
      <c r="D443" s="27"/>
      <c r="E443" s="28"/>
      <c r="F443" s="28"/>
    </row>
    <row r="444" customFormat="false" ht="15" hidden="false" customHeight="false" outlineLevel="0" collapsed="false">
      <c r="A444" s="27"/>
      <c r="B444" s="27"/>
      <c r="C444" s="27"/>
      <c r="D444" s="27"/>
      <c r="E444" s="28"/>
      <c r="F444" s="28"/>
    </row>
    <row r="445" customFormat="false" ht="15" hidden="false" customHeight="false" outlineLevel="0" collapsed="false">
      <c r="A445" s="27"/>
      <c r="B445" s="27"/>
      <c r="C445" s="27"/>
      <c r="D445" s="27"/>
      <c r="E445" s="28"/>
      <c r="F445" s="28"/>
    </row>
    <row r="446" customFormat="false" ht="15" hidden="false" customHeight="false" outlineLevel="0" collapsed="false">
      <c r="A446" s="27"/>
      <c r="B446" s="27"/>
      <c r="C446" s="27"/>
      <c r="D446" s="27"/>
      <c r="E446" s="28"/>
      <c r="F446" s="28"/>
    </row>
    <row r="447" customFormat="false" ht="15" hidden="false" customHeight="false" outlineLevel="0" collapsed="false">
      <c r="A447" s="27"/>
      <c r="B447" s="27"/>
      <c r="C447" s="27"/>
      <c r="D447" s="27"/>
      <c r="E447" s="28"/>
      <c r="F447" s="28"/>
    </row>
    <row r="448" customFormat="false" ht="15" hidden="false" customHeight="false" outlineLevel="0" collapsed="false">
      <c r="A448" s="27"/>
      <c r="B448" s="27"/>
      <c r="C448" s="27"/>
      <c r="D448" s="27"/>
      <c r="E448" s="28"/>
      <c r="F448" s="28"/>
    </row>
    <row r="449" customFormat="false" ht="15" hidden="false" customHeight="false" outlineLevel="0" collapsed="false">
      <c r="A449" s="27"/>
      <c r="B449" s="27"/>
      <c r="C449" s="27"/>
      <c r="D449" s="27"/>
      <c r="E449" s="28"/>
      <c r="F449" s="28"/>
    </row>
    <row r="450" customFormat="false" ht="15" hidden="false" customHeight="false" outlineLevel="0" collapsed="false">
      <c r="A450" s="27"/>
      <c r="B450" s="27"/>
      <c r="C450" s="27"/>
      <c r="D450" s="27"/>
      <c r="E450" s="28"/>
      <c r="F450" s="28"/>
    </row>
    <row r="451" customFormat="false" ht="15" hidden="false" customHeight="false" outlineLevel="0" collapsed="false">
      <c r="A451" s="27"/>
      <c r="B451" s="27"/>
      <c r="C451" s="27"/>
      <c r="D451" s="27"/>
      <c r="E451" s="28"/>
      <c r="F451" s="28"/>
    </row>
    <row r="452" customFormat="false" ht="15" hidden="false" customHeight="false" outlineLevel="0" collapsed="false">
      <c r="A452" s="27"/>
      <c r="B452" s="27"/>
      <c r="C452" s="27"/>
      <c r="D452" s="27"/>
      <c r="E452" s="28"/>
      <c r="F452" s="28"/>
    </row>
    <row r="453" customFormat="false" ht="15" hidden="false" customHeight="false" outlineLevel="0" collapsed="false">
      <c r="A453" s="27"/>
      <c r="B453" s="27"/>
      <c r="C453" s="27"/>
      <c r="D453" s="27"/>
      <c r="E453" s="28"/>
      <c r="F453" s="28"/>
    </row>
    <row r="454" customFormat="false" ht="15" hidden="false" customHeight="false" outlineLevel="0" collapsed="false">
      <c r="A454" s="27"/>
      <c r="B454" s="27"/>
      <c r="C454" s="27"/>
      <c r="D454" s="27"/>
      <c r="E454" s="28"/>
      <c r="F454" s="28"/>
    </row>
    <row r="455" customFormat="false" ht="15" hidden="false" customHeight="false" outlineLevel="0" collapsed="false">
      <c r="A455" s="27"/>
      <c r="B455" s="27"/>
      <c r="C455" s="27"/>
      <c r="D455" s="27"/>
      <c r="E455" s="28"/>
      <c r="F455" s="28"/>
    </row>
    <row r="456" customFormat="false" ht="15" hidden="false" customHeight="false" outlineLevel="0" collapsed="false">
      <c r="A456" s="27"/>
      <c r="B456" s="27"/>
      <c r="C456" s="27"/>
      <c r="D456" s="27"/>
      <c r="E456" s="28"/>
      <c r="F456" s="28"/>
    </row>
    <row r="457" customFormat="false" ht="15" hidden="false" customHeight="false" outlineLevel="0" collapsed="false">
      <c r="A457" s="27"/>
      <c r="B457" s="27"/>
      <c r="C457" s="27"/>
      <c r="D457" s="27"/>
      <c r="E457" s="28"/>
      <c r="F457" s="28"/>
    </row>
    <row r="458" customFormat="false" ht="15" hidden="false" customHeight="false" outlineLevel="0" collapsed="false">
      <c r="A458" s="27"/>
      <c r="B458" s="27"/>
      <c r="C458" s="27"/>
      <c r="D458" s="27"/>
      <c r="E458" s="28"/>
      <c r="F458" s="28"/>
    </row>
    <row r="459" customFormat="false" ht="15" hidden="false" customHeight="false" outlineLevel="0" collapsed="false">
      <c r="A459" s="27"/>
      <c r="B459" s="27"/>
      <c r="C459" s="27"/>
      <c r="D459" s="27"/>
      <c r="E459" s="28"/>
      <c r="F459" s="28"/>
    </row>
    <row r="460" customFormat="false" ht="15" hidden="false" customHeight="false" outlineLevel="0" collapsed="false">
      <c r="A460" s="27"/>
      <c r="B460" s="27"/>
      <c r="C460" s="27"/>
      <c r="D460" s="27"/>
      <c r="E460" s="28"/>
      <c r="F460" s="28"/>
    </row>
    <row r="461" customFormat="false" ht="15" hidden="false" customHeight="false" outlineLevel="0" collapsed="false">
      <c r="A461" s="27"/>
      <c r="B461" s="27"/>
      <c r="C461" s="27"/>
      <c r="D461" s="27"/>
      <c r="E461" s="28"/>
      <c r="F461" s="28"/>
    </row>
    <row r="462" customFormat="false" ht="15" hidden="false" customHeight="false" outlineLevel="0" collapsed="false">
      <c r="A462" s="27"/>
      <c r="B462" s="27"/>
      <c r="C462" s="27"/>
      <c r="D462" s="27"/>
      <c r="E462" s="28"/>
      <c r="F462" s="28"/>
    </row>
    <row r="463" customFormat="false" ht="15" hidden="false" customHeight="false" outlineLevel="0" collapsed="false">
      <c r="A463" s="27"/>
      <c r="B463" s="27"/>
      <c r="C463" s="27"/>
      <c r="D463" s="27"/>
      <c r="E463" s="28"/>
      <c r="F463" s="28"/>
    </row>
    <row r="464" customFormat="false" ht="15" hidden="false" customHeight="false" outlineLevel="0" collapsed="false">
      <c r="A464" s="27"/>
      <c r="B464" s="27"/>
      <c r="C464" s="27"/>
      <c r="D464" s="27"/>
      <c r="E464" s="28"/>
      <c r="F464" s="28"/>
    </row>
    <row r="465" customFormat="false" ht="15" hidden="false" customHeight="false" outlineLevel="0" collapsed="false">
      <c r="A465" s="27"/>
      <c r="B465" s="27"/>
      <c r="C465" s="27"/>
      <c r="D465" s="27"/>
      <c r="E465" s="28"/>
      <c r="F465" s="28"/>
    </row>
    <row r="466" customFormat="false" ht="15" hidden="false" customHeight="false" outlineLevel="0" collapsed="false">
      <c r="A466" s="27"/>
      <c r="B466" s="27"/>
      <c r="C466" s="27"/>
      <c r="D466" s="27"/>
      <c r="E466" s="28"/>
      <c r="F466" s="28"/>
    </row>
    <row r="467" customFormat="false" ht="15" hidden="false" customHeight="false" outlineLevel="0" collapsed="false">
      <c r="A467" s="27"/>
      <c r="B467" s="27"/>
      <c r="C467" s="27"/>
      <c r="D467" s="27"/>
      <c r="E467" s="28"/>
      <c r="F467" s="28"/>
    </row>
    <row r="468" customFormat="false" ht="15" hidden="false" customHeight="false" outlineLevel="0" collapsed="false">
      <c r="A468" s="27"/>
      <c r="B468" s="27"/>
      <c r="C468" s="27"/>
      <c r="D468" s="27"/>
      <c r="E468" s="28"/>
      <c r="F468" s="28"/>
    </row>
    <row r="469" customFormat="false" ht="15" hidden="false" customHeight="false" outlineLevel="0" collapsed="false">
      <c r="A469" s="27"/>
      <c r="B469" s="27"/>
      <c r="C469" s="27"/>
      <c r="D469" s="27"/>
      <c r="E469" s="28"/>
      <c r="F469" s="28"/>
    </row>
    <row r="470" customFormat="false" ht="15" hidden="false" customHeight="false" outlineLevel="0" collapsed="false">
      <c r="A470" s="27"/>
      <c r="B470" s="27"/>
      <c r="C470" s="27"/>
      <c r="D470" s="27"/>
      <c r="E470" s="28"/>
      <c r="F470" s="28"/>
    </row>
    <row r="471" customFormat="false" ht="15" hidden="false" customHeight="false" outlineLevel="0" collapsed="false">
      <c r="A471" s="27"/>
      <c r="B471" s="27"/>
      <c r="C471" s="27"/>
      <c r="D471" s="27"/>
      <c r="E471" s="28"/>
      <c r="F471" s="28"/>
    </row>
    <row r="472" customFormat="false" ht="15" hidden="false" customHeight="false" outlineLevel="0" collapsed="false">
      <c r="A472" s="27"/>
      <c r="B472" s="27"/>
      <c r="C472" s="27"/>
      <c r="D472" s="27"/>
      <c r="E472" s="28"/>
      <c r="F472" s="28"/>
    </row>
    <row r="473" customFormat="false" ht="15" hidden="false" customHeight="false" outlineLevel="0" collapsed="false">
      <c r="A473" s="27"/>
      <c r="B473" s="27"/>
      <c r="C473" s="27"/>
      <c r="D473" s="27"/>
      <c r="E473" s="28"/>
      <c r="F473" s="28"/>
    </row>
    <row r="474" customFormat="false" ht="15" hidden="false" customHeight="false" outlineLevel="0" collapsed="false">
      <c r="A474" s="27"/>
      <c r="B474" s="27"/>
      <c r="C474" s="27"/>
      <c r="D474" s="27"/>
      <c r="E474" s="28"/>
      <c r="F474" s="28"/>
    </row>
    <row r="475" customFormat="false" ht="15" hidden="false" customHeight="false" outlineLevel="0" collapsed="false">
      <c r="A475" s="27"/>
      <c r="B475" s="27"/>
      <c r="C475" s="27"/>
      <c r="D475" s="27"/>
      <c r="E475" s="28"/>
      <c r="F475" s="28"/>
    </row>
    <row r="476" customFormat="false" ht="15" hidden="false" customHeight="false" outlineLevel="0" collapsed="false">
      <c r="A476" s="27"/>
      <c r="B476" s="27"/>
      <c r="C476" s="27"/>
      <c r="D476" s="27"/>
      <c r="E476" s="28"/>
      <c r="F476" s="28"/>
    </row>
    <row r="477" customFormat="false" ht="15" hidden="false" customHeight="false" outlineLevel="0" collapsed="false">
      <c r="A477" s="27"/>
      <c r="B477" s="27"/>
      <c r="C477" s="27"/>
      <c r="D477" s="27"/>
      <c r="E477" s="28"/>
      <c r="F477" s="28"/>
    </row>
    <row r="478" customFormat="false" ht="15" hidden="false" customHeight="false" outlineLevel="0" collapsed="false">
      <c r="A478" s="27"/>
      <c r="B478" s="27"/>
      <c r="C478" s="27"/>
      <c r="D478" s="27"/>
      <c r="E478" s="28"/>
      <c r="F478" s="28"/>
    </row>
    <row r="479" customFormat="false" ht="15" hidden="false" customHeight="false" outlineLevel="0" collapsed="false">
      <c r="A479" s="27"/>
      <c r="B479" s="27"/>
      <c r="C479" s="27"/>
      <c r="D479" s="27"/>
      <c r="E479" s="28"/>
      <c r="F479" s="28"/>
    </row>
    <row r="480" customFormat="false" ht="15" hidden="false" customHeight="false" outlineLevel="0" collapsed="false">
      <c r="A480" s="27"/>
      <c r="B480" s="27"/>
      <c r="C480" s="27"/>
      <c r="D480" s="27"/>
      <c r="E480" s="28"/>
      <c r="F480" s="28"/>
    </row>
    <row r="481" customFormat="false" ht="15" hidden="false" customHeight="false" outlineLevel="0" collapsed="false">
      <c r="A481" s="27"/>
      <c r="B481" s="27"/>
      <c r="C481" s="27"/>
      <c r="D481" s="27"/>
      <c r="E481" s="28"/>
      <c r="F481" s="28"/>
    </row>
    <row r="482" customFormat="false" ht="15" hidden="false" customHeight="false" outlineLevel="0" collapsed="false">
      <c r="A482" s="27"/>
      <c r="B482" s="27"/>
      <c r="C482" s="27"/>
      <c r="D482" s="27"/>
      <c r="E482" s="28"/>
      <c r="F482" s="28"/>
    </row>
    <row r="483" customFormat="false" ht="15" hidden="false" customHeight="false" outlineLevel="0" collapsed="false">
      <c r="A483" s="27"/>
      <c r="B483" s="27"/>
      <c r="C483" s="27"/>
      <c r="D483" s="27"/>
      <c r="E483" s="28"/>
      <c r="F483" s="28"/>
    </row>
    <row r="484" customFormat="false" ht="15" hidden="false" customHeight="false" outlineLevel="0" collapsed="false">
      <c r="A484" s="27"/>
      <c r="B484" s="27"/>
      <c r="C484" s="27"/>
      <c r="D484" s="27"/>
      <c r="E484" s="28"/>
      <c r="F484" s="28"/>
    </row>
    <row r="485" customFormat="false" ht="15" hidden="false" customHeight="false" outlineLevel="0" collapsed="false">
      <c r="A485" s="27"/>
      <c r="B485" s="27"/>
      <c r="C485" s="27"/>
      <c r="D485" s="27"/>
      <c r="E485" s="28"/>
      <c r="F485" s="28"/>
    </row>
    <row r="486" customFormat="false" ht="15" hidden="false" customHeight="false" outlineLevel="0" collapsed="false">
      <c r="A486" s="27"/>
      <c r="B486" s="27"/>
      <c r="C486" s="27"/>
      <c r="D486" s="27"/>
      <c r="E486" s="28"/>
      <c r="F486" s="28"/>
    </row>
    <row r="487" customFormat="false" ht="15" hidden="false" customHeight="false" outlineLevel="0" collapsed="false">
      <c r="A487" s="27"/>
      <c r="B487" s="27"/>
      <c r="C487" s="27"/>
      <c r="D487" s="27"/>
      <c r="E487" s="28"/>
      <c r="F487" s="28"/>
    </row>
    <row r="488" customFormat="false" ht="15" hidden="false" customHeight="false" outlineLevel="0" collapsed="false">
      <c r="A488" s="27"/>
      <c r="B488" s="27"/>
      <c r="C488" s="27"/>
      <c r="D488" s="27"/>
      <c r="E488" s="28"/>
      <c r="F488" s="28"/>
    </row>
    <row r="489" customFormat="false" ht="15" hidden="false" customHeight="false" outlineLevel="0" collapsed="false">
      <c r="A489" s="27"/>
      <c r="B489" s="27"/>
      <c r="C489" s="27"/>
      <c r="D489" s="27"/>
      <c r="E489" s="28"/>
      <c r="F489" s="28"/>
    </row>
    <row r="490" customFormat="false" ht="15" hidden="false" customHeight="false" outlineLevel="0" collapsed="false">
      <c r="A490" s="27"/>
      <c r="B490" s="27"/>
      <c r="C490" s="27"/>
      <c r="D490" s="27"/>
      <c r="E490" s="28"/>
      <c r="F490" s="28"/>
    </row>
    <row r="491" customFormat="false" ht="15" hidden="false" customHeight="false" outlineLevel="0" collapsed="false">
      <c r="A491" s="27"/>
      <c r="B491" s="27"/>
      <c r="C491" s="27"/>
      <c r="D491" s="27"/>
      <c r="E491" s="28"/>
      <c r="F491" s="28"/>
    </row>
    <row r="492" customFormat="false" ht="15" hidden="false" customHeight="false" outlineLevel="0" collapsed="false">
      <c r="A492" s="27"/>
      <c r="B492" s="27"/>
      <c r="C492" s="27"/>
      <c r="D492" s="27"/>
      <c r="E492" s="28"/>
      <c r="F492" s="28"/>
    </row>
    <row r="493" customFormat="false" ht="15" hidden="false" customHeight="false" outlineLevel="0" collapsed="false">
      <c r="A493" s="27"/>
      <c r="B493" s="27"/>
      <c r="C493" s="27"/>
      <c r="D493" s="27"/>
      <c r="E493" s="28"/>
      <c r="F493" s="28"/>
    </row>
    <row r="494" customFormat="false" ht="15" hidden="false" customHeight="false" outlineLevel="0" collapsed="false">
      <c r="A494" s="27"/>
      <c r="B494" s="27"/>
      <c r="C494" s="27"/>
      <c r="D494" s="27"/>
      <c r="E494" s="28"/>
      <c r="F494" s="28"/>
    </row>
    <row r="495" customFormat="false" ht="15" hidden="false" customHeight="false" outlineLevel="0" collapsed="false">
      <c r="A495" s="27"/>
      <c r="B495" s="27"/>
      <c r="C495" s="27"/>
      <c r="D495" s="27"/>
      <c r="E495" s="28"/>
      <c r="F495" s="28"/>
    </row>
    <row r="496" customFormat="false" ht="15" hidden="false" customHeight="false" outlineLevel="0" collapsed="false">
      <c r="A496" s="27"/>
      <c r="B496" s="27"/>
      <c r="C496" s="27"/>
      <c r="D496" s="27"/>
      <c r="E496" s="28"/>
      <c r="F496" s="28"/>
    </row>
    <row r="497" customFormat="false" ht="15" hidden="false" customHeight="false" outlineLevel="0" collapsed="false">
      <c r="A497" s="27"/>
      <c r="B497" s="27"/>
      <c r="C497" s="27"/>
      <c r="D497" s="27"/>
      <c r="E497" s="28"/>
      <c r="F497" s="28"/>
    </row>
    <row r="498" customFormat="false" ht="15" hidden="false" customHeight="false" outlineLevel="0" collapsed="false">
      <c r="A498" s="27"/>
      <c r="B498" s="27"/>
      <c r="C498" s="27"/>
      <c r="D498" s="27"/>
      <c r="E498" s="28"/>
      <c r="F498" s="28"/>
    </row>
    <row r="499" customFormat="false" ht="15" hidden="false" customHeight="false" outlineLevel="0" collapsed="false">
      <c r="A499" s="27"/>
      <c r="B499" s="27"/>
      <c r="C499" s="27"/>
      <c r="D499" s="27"/>
      <c r="E499" s="28"/>
      <c r="F499" s="28"/>
    </row>
    <row r="500" customFormat="false" ht="15" hidden="false" customHeight="false" outlineLevel="0" collapsed="false">
      <c r="A500" s="27"/>
      <c r="B500" s="27"/>
      <c r="C500" s="27"/>
      <c r="D500" s="27"/>
      <c r="E500" s="28"/>
      <c r="F500" s="28"/>
    </row>
    <row r="501" customFormat="false" ht="15" hidden="false" customHeight="false" outlineLevel="0" collapsed="false">
      <c r="A501" s="27"/>
      <c r="B501" s="27"/>
      <c r="C501" s="27"/>
      <c r="D501" s="27"/>
      <c r="E501" s="28"/>
      <c r="F501" s="28"/>
    </row>
    <row r="502" customFormat="false" ht="15" hidden="false" customHeight="false" outlineLevel="0" collapsed="false">
      <c r="A502" s="27"/>
      <c r="B502" s="27"/>
      <c r="C502" s="27"/>
      <c r="D502" s="27"/>
      <c r="E502" s="28"/>
      <c r="F502" s="28"/>
    </row>
  </sheetData>
  <mergeCells count="1">
    <mergeCell ref="A1:F1"/>
  </mergeCells>
  <dataValidations count="1">
    <dataValidation allowBlank="true" error="Choose a value from the list." errorStyle="stop" errorTitle="Not in the list" operator="between" showDropDown="false" showErrorMessage="false" showInputMessage="false" sqref="D3:D502" type="list">
      <formula1>L_YesNo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E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30" hidden="false" customHeight="true" outlineLevel="0" collapsed="false">
      <c r="A1" s="25" t="s">
        <v>133</v>
      </c>
      <c r="B1" s="25"/>
      <c r="C1" s="25"/>
      <c r="D1" s="25"/>
      <c r="E1" s="25"/>
    </row>
    <row r="2" customFormat="false" ht="31.5" hidden="false" customHeight="true" outlineLevel="0" collapsed="false">
      <c r="A2" s="26" t="s">
        <v>134</v>
      </c>
      <c r="B2" s="26" t="s">
        <v>135</v>
      </c>
      <c r="C2" s="26" t="s">
        <v>136</v>
      </c>
      <c r="D2" s="26" t="s">
        <v>137</v>
      </c>
      <c r="E2" s="26" t="s">
        <v>121</v>
      </c>
    </row>
    <row r="3" customFormat="false" ht="15" hidden="false" customHeight="false" outlineLevel="0" collapsed="false">
      <c r="A3" s="27" t="s">
        <v>138</v>
      </c>
      <c r="B3" s="29" t="n">
        <v>8000</v>
      </c>
      <c r="C3" s="27" t="s">
        <v>139</v>
      </c>
      <c r="D3" s="30" t="n">
        <v>6</v>
      </c>
      <c r="E3" s="27" t="s">
        <v>126</v>
      </c>
    </row>
    <row r="4" customFormat="false" ht="15" hidden="false" customHeight="false" outlineLevel="0" collapsed="false">
      <c r="A4" s="27" t="s">
        <v>140</v>
      </c>
      <c r="B4" s="29" t="n">
        <v>20000</v>
      </c>
      <c r="C4" s="27" t="s">
        <v>141</v>
      </c>
      <c r="D4" s="30" t="n">
        <v>4</v>
      </c>
      <c r="E4" s="27" t="s">
        <v>126</v>
      </c>
    </row>
    <row r="5" customFormat="false" ht="15" hidden="false" customHeight="false" outlineLevel="0" collapsed="false">
      <c r="A5" s="27" t="s">
        <v>142</v>
      </c>
      <c r="B5" s="29" t="n">
        <v>45000</v>
      </c>
      <c r="C5" s="27" t="s">
        <v>143</v>
      </c>
      <c r="D5" s="30" t="n">
        <v>2</v>
      </c>
      <c r="E5" s="27" t="s">
        <v>126</v>
      </c>
    </row>
    <row r="6" customFormat="false" ht="15" hidden="false" customHeight="false" outlineLevel="0" collapsed="false">
      <c r="A6" s="27"/>
      <c r="B6" s="29"/>
      <c r="C6" s="27"/>
      <c r="D6" s="30"/>
      <c r="E6" s="27"/>
    </row>
    <row r="7" customFormat="false" ht="15" hidden="false" customHeight="false" outlineLevel="0" collapsed="false">
      <c r="A7" s="27"/>
      <c r="B7" s="29"/>
      <c r="C7" s="27"/>
      <c r="D7" s="30"/>
      <c r="E7" s="27"/>
    </row>
    <row r="8" customFormat="false" ht="15" hidden="false" customHeight="false" outlineLevel="0" collapsed="false">
      <c r="A8" s="27"/>
      <c r="B8" s="29"/>
      <c r="C8" s="27"/>
      <c r="D8" s="30"/>
      <c r="E8" s="27"/>
    </row>
    <row r="9" customFormat="false" ht="15" hidden="false" customHeight="false" outlineLevel="0" collapsed="false">
      <c r="A9" s="27"/>
      <c r="B9" s="29"/>
      <c r="C9" s="27"/>
      <c r="D9" s="30"/>
      <c r="E9" s="27"/>
    </row>
    <row r="10" customFormat="false" ht="15" hidden="false" customHeight="false" outlineLevel="0" collapsed="false">
      <c r="A10" s="27"/>
      <c r="B10" s="29"/>
      <c r="C10" s="27"/>
      <c r="D10" s="30"/>
      <c r="E10" s="27"/>
    </row>
    <row r="11" customFormat="false" ht="15" hidden="false" customHeight="false" outlineLevel="0" collapsed="false">
      <c r="A11" s="27"/>
      <c r="B11" s="29"/>
      <c r="C11" s="27"/>
      <c r="D11" s="30"/>
      <c r="E11" s="27"/>
    </row>
    <row r="12" customFormat="false" ht="15" hidden="false" customHeight="false" outlineLevel="0" collapsed="false">
      <c r="A12" s="27"/>
      <c r="B12" s="29"/>
      <c r="C12" s="27"/>
      <c r="D12" s="30"/>
      <c r="E12" s="27"/>
    </row>
    <row r="13" customFormat="false" ht="15" hidden="false" customHeight="false" outlineLevel="0" collapsed="false">
      <c r="A13" s="27"/>
      <c r="B13" s="29"/>
      <c r="C13" s="27"/>
      <c r="D13" s="30"/>
      <c r="E13" s="27"/>
    </row>
    <row r="14" customFormat="false" ht="15" hidden="false" customHeight="false" outlineLevel="0" collapsed="false">
      <c r="A14" s="27"/>
      <c r="B14" s="29"/>
      <c r="C14" s="27"/>
      <c r="D14" s="30"/>
      <c r="E14" s="27"/>
    </row>
    <row r="15" customFormat="false" ht="15" hidden="false" customHeight="false" outlineLevel="0" collapsed="false">
      <c r="A15" s="27"/>
      <c r="B15" s="29"/>
      <c r="C15" s="27"/>
      <c r="D15" s="30"/>
      <c r="E15" s="27"/>
    </row>
    <row r="16" customFormat="false" ht="15" hidden="false" customHeight="false" outlineLevel="0" collapsed="false">
      <c r="A16" s="27"/>
      <c r="B16" s="29"/>
      <c r="C16" s="27"/>
      <c r="D16" s="30"/>
      <c r="E16" s="27"/>
    </row>
    <row r="17" customFormat="false" ht="15" hidden="false" customHeight="false" outlineLevel="0" collapsed="false">
      <c r="A17" s="27"/>
      <c r="B17" s="29"/>
      <c r="C17" s="27"/>
      <c r="D17" s="30"/>
      <c r="E17" s="27"/>
    </row>
    <row r="18" customFormat="false" ht="15" hidden="false" customHeight="false" outlineLevel="0" collapsed="false">
      <c r="A18" s="27"/>
      <c r="B18" s="29"/>
      <c r="C18" s="27"/>
      <c r="D18" s="30"/>
      <c r="E18" s="27"/>
    </row>
    <row r="19" customFormat="false" ht="15" hidden="false" customHeight="false" outlineLevel="0" collapsed="false">
      <c r="A19" s="27"/>
      <c r="B19" s="29"/>
      <c r="C19" s="27"/>
      <c r="D19" s="30"/>
      <c r="E19" s="27"/>
    </row>
    <row r="20" customFormat="false" ht="15" hidden="false" customHeight="false" outlineLevel="0" collapsed="false">
      <c r="A20" s="27"/>
      <c r="B20" s="29"/>
      <c r="C20" s="27"/>
      <c r="D20" s="30"/>
      <c r="E20" s="27"/>
    </row>
    <row r="21" customFormat="false" ht="15" hidden="false" customHeight="false" outlineLevel="0" collapsed="false">
      <c r="A21" s="27"/>
      <c r="B21" s="29"/>
      <c r="C21" s="27"/>
      <c r="D21" s="30"/>
      <c r="E21" s="27"/>
    </row>
    <row r="22" customFormat="false" ht="15" hidden="false" customHeight="false" outlineLevel="0" collapsed="false">
      <c r="A22" s="27"/>
      <c r="B22" s="29"/>
      <c r="C22" s="27"/>
      <c r="D22" s="30"/>
      <c r="E22" s="27"/>
    </row>
    <row r="23" customFormat="false" ht="15" hidden="false" customHeight="false" outlineLevel="0" collapsed="false">
      <c r="A23" s="27"/>
      <c r="B23" s="29"/>
      <c r="C23" s="27"/>
      <c r="D23" s="30"/>
      <c r="E23" s="27"/>
    </row>
    <row r="24" customFormat="false" ht="15" hidden="false" customHeight="false" outlineLevel="0" collapsed="false">
      <c r="A24" s="27"/>
      <c r="B24" s="29"/>
      <c r="C24" s="27"/>
      <c r="D24" s="30"/>
      <c r="E24" s="27"/>
    </row>
    <row r="25" customFormat="false" ht="15" hidden="false" customHeight="false" outlineLevel="0" collapsed="false">
      <c r="A25" s="27"/>
      <c r="B25" s="29"/>
      <c r="C25" s="27"/>
      <c r="D25" s="30"/>
      <c r="E25" s="27"/>
    </row>
    <row r="26" customFormat="false" ht="15" hidden="false" customHeight="false" outlineLevel="0" collapsed="false">
      <c r="A26" s="27"/>
      <c r="B26" s="29"/>
      <c r="C26" s="27"/>
      <c r="D26" s="30"/>
      <c r="E26" s="27"/>
    </row>
    <row r="27" customFormat="false" ht="15" hidden="false" customHeight="false" outlineLevel="0" collapsed="false">
      <c r="A27" s="27"/>
      <c r="B27" s="29"/>
      <c r="C27" s="27"/>
      <c r="D27" s="30"/>
      <c r="E27" s="27"/>
    </row>
    <row r="28" customFormat="false" ht="15" hidden="false" customHeight="false" outlineLevel="0" collapsed="false">
      <c r="A28" s="27"/>
      <c r="B28" s="29"/>
      <c r="C28" s="27"/>
      <c r="D28" s="30"/>
      <c r="E28" s="27"/>
    </row>
    <row r="29" customFormat="false" ht="15" hidden="false" customHeight="false" outlineLevel="0" collapsed="false">
      <c r="A29" s="27"/>
      <c r="B29" s="29"/>
      <c r="C29" s="27"/>
      <c r="D29" s="30"/>
      <c r="E29" s="27"/>
    </row>
    <row r="30" customFormat="false" ht="15" hidden="false" customHeight="false" outlineLevel="0" collapsed="false">
      <c r="A30" s="27"/>
      <c r="B30" s="29"/>
      <c r="C30" s="27"/>
      <c r="D30" s="30"/>
      <c r="E30" s="27"/>
    </row>
    <row r="31" customFormat="false" ht="15" hidden="false" customHeight="false" outlineLevel="0" collapsed="false">
      <c r="A31" s="27"/>
      <c r="B31" s="29"/>
      <c r="C31" s="27"/>
      <c r="D31" s="30"/>
      <c r="E31" s="27"/>
    </row>
    <row r="32" customFormat="false" ht="15" hidden="false" customHeight="false" outlineLevel="0" collapsed="false">
      <c r="A32" s="27"/>
      <c r="B32" s="29"/>
      <c r="C32" s="27"/>
      <c r="D32" s="30"/>
      <c r="E32" s="27"/>
    </row>
    <row r="33" customFormat="false" ht="15" hidden="false" customHeight="false" outlineLevel="0" collapsed="false">
      <c r="A33" s="27"/>
      <c r="B33" s="29"/>
      <c r="C33" s="27"/>
      <c r="D33" s="30"/>
      <c r="E33" s="27"/>
    </row>
    <row r="34" customFormat="false" ht="15" hidden="false" customHeight="false" outlineLevel="0" collapsed="false">
      <c r="A34" s="27"/>
      <c r="B34" s="29"/>
      <c r="C34" s="27"/>
      <c r="D34" s="30"/>
      <c r="E34" s="27"/>
    </row>
    <row r="35" customFormat="false" ht="15" hidden="false" customHeight="false" outlineLevel="0" collapsed="false">
      <c r="A35" s="27"/>
      <c r="B35" s="29"/>
      <c r="C35" s="27"/>
      <c r="D35" s="30"/>
      <c r="E35" s="27"/>
    </row>
    <row r="36" customFormat="false" ht="15" hidden="false" customHeight="false" outlineLevel="0" collapsed="false">
      <c r="A36" s="27"/>
      <c r="B36" s="29"/>
      <c r="C36" s="27"/>
      <c r="D36" s="30"/>
      <c r="E36" s="27"/>
    </row>
    <row r="37" customFormat="false" ht="15" hidden="false" customHeight="false" outlineLevel="0" collapsed="false">
      <c r="A37" s="27"/>
      <c r="B37" s="29"/>
      <c r="C37" s="27"/>
      <c r="D37" s="30"/>
      <c r="E37" s="27"/>
    </row>
    <row r="38" customFormat="false" ht="15" hidden="false" customHeight="false" outlineLevel="0" collapsed="false">
      <c r="A38" s="27"/>
      <c r="B38" s="29"/>
      <c r="C38" s="27"/>
      <c r="D38" s="30"/>
      <c r="E38" s="27"/>
    </row>
    <row r="39" customFormat="false" ht="15" hidden="false" customHeight="false" outlineLevel="0" collapsed="false">
      <c r="A39" s="27"/>
      <c r="B39" s="29"/>
      <c r="C39" s="27"/>
      <c r="D39" s="30"/>
      <c r="E39" s="27"/>
    </row>
    <row r="40" customFormat="false" ht="15" hidden="false" customHeight="false" outlineLevel="0" collapsed="false">
      <c r="A40" s="27"/>
      <c r="B40" s="29"/>
      <c r="C40" s="27"/>
      <c r="D40" s="30"/>
      <c r="E40" s="27"/>
    </row>
    <row r="41" customFormat="false" ht="15" hidden="false" customHeight="false" outlineLevel="0" collapsed="false">
      <c r="A41" s="27"/>
      <c r="B41" s="29"/>
      <c r="C41" s="27"/>
      <c r="D41" s="30"/>
      <c r="E41" s="27"/>
    </row>
    <row r="42" customFormat="false" ht="15" hidden="false" customHeight="false" outlineLevel="0" collapsed="false">
      <c r="A42" s="27"/>
      <c r="B42" s="29"/>
      <c r="C42" s="27"/>
      <c r="D42" s="30"/>
      <c r="E42" s="27"/>
    </row>
    <row r="43" customFormat="false" ht="15" hidden="false" customHeight="false" outlineLevel="0" collapsed="false">
      <c r="A43" s="27"/>
      <c r="B43" s="29"/>
      <c r="C43" s="27"/>
      <c r="D43" s="30"/>
      <c r="E43" s="27"/>
    </row>
    <row r="44" customFormat="false" ht="15" hidden="false" customHeight="false" outlineLevel="0" collapsed="false">
      <c r="A44" s="27"/>
      <c r="B44" s="29"/>
      <c r="C44" s="27"/>
      <c r="D44" s="30"/>
      <c r="E44" s="27"/>
    </row>
    <row r="45" customFormat="false" ht="15" hidden="false" customHeight="false" outlineLevel="0" collapsed="false">
      <c r="A45" s="27"/>
      <c r="B45" s="29"/>
      <c r="C45" s="27"/>
      <c r="D45" s="30"/>
      <c r="E45" s="27"/>
    </row>
    <row r="46" customFormat="false" ht="15" hidden="false" customHeight="false" outlineLevel="0" collapsed="false">
      <c r="A46" s="27"/>
      <c r="B46" s="29"/>
      <c r="C46" s="27"/>
      <c r="D46" s="30"/>
      <c r="E46" s="27"/>
    </row>
    <row r="47" customFormat="false" ht="15" hidden="false" customHeight="false" outlineLevel="0" collapsed="false">
      <c r="A47" s="27"/>
      <c r="B47" s="29"/>
      <c r="C47" s="27"/>
      <c r="D47" s="30"/>
      <c r="E47" s="27"/>
    </row>
    <row r="48" customFormat="false" ht="15" hidden="false" customHeight="false" outlineLevel="0" collapsed="false">
      <c r="A48" s="27"/>
      <c r="B48" s="29"/>
      <c r="C48" s="27"/>
      <c r="D48" s="30"/>
      <c r="E48" s="27"/>
    </row>
    <row r="49" customFormat="false" ht="15" hidden="false" customHeight="false" outlineLevel="0" collapsed="false">
      <c r="A49" s="27"/>
      <c r="B49" s="29"/>
      <c r="C49" s="27"/>
      <c r="D49" s="30"/>
      <c r="E49" s="27"/>
    </row>
    <row r="50" customFormat="false" ht="15" hidden="false" customHeight="false" outlineLevel="0" collapsed="false">
      <c r="A50" s="27"/>
      <c r="B50" s="29"/>
      <c r="C50" s="27"/>
      <c r="D50" s="30"/>
      <c r="E50" s="27"/>
    </row>
    <row r="51" customFormat="false" ht="15" hidden="false" customHeight="false" outlineLevel="0" collapsed="false">
      <c r="A51" s="27"/>
      <c r="B51" s="29"/>
      <c r="C51" s="27"/>
      <c r="D51" s="30"/>
      <c r="E51" s="27"/>
    </row>
    <row r="52" customFormat="false" ht="15" hidden="false" customHeight="false" outlineLevel="0" collapsed="false">
      <c r="A52" s="27"/>
      <c r="B52" s="29"/>
      <c r="C52" s="27"/>
      <c r="D52" s="30"/>
      <c r="E52" s="27"/>
    </row>
    <row r="53" customFormat="false" ht="15" hidden="false" customHeight="false" outlineLevel="0" collapsed="false">
      <c r="A53" s="27"/>
      <c r="B53" s="29"/>
      <c r="C53" s="27"/>
      <c r="D53" s="30"/>
      <c r="E53" s="27"/>
    </row>
    <row r="54" customFormat="false" ht="15" hidden="false" customHeight="false" outlineLevel="0" collapsed="false">
      <c r="A54" s="27"/>
      <c r="B54" s="29"/>
      <c r="C54" s="27"/>
      <c r="D54" s="30"/>
      <c r="E54" s="27"/>
    </row>
    <row r="55" customFormat="false" ht="15" hidden="false" customHeight="false" outlineLevel="0" collapsed="false">
      <c r="A55" s="27"/>
      <c r="B55" s="29"/>
      <c r="C55" s="27"/>
      <c r="D55" s="30"/>
      <c r="E55" s="27"/>
    </row>
    <row r="56" customFormat="false" ht="15" hidden="false" customHeight="false" outlineLevel="0" collapsed="false">
      <c r="A56" s="27"/>
      <c r="B56" s="29"/>
      <c r="C56" s="27"/>
      <c r="D56" s="30"/>
      <c r="E56" s="27"/>
    </row>
    <row r="57" customFormat="false" ht="15" hidden="false" customHeight="false" outlineLevel="0" collapsed="false">
      <c r="A57" s="27"/>
      <c r="B57" s="29"/>
      <c r="C57" s="27"/>
      <c r="D57" s="30"/>
      <c r="E57" s="27"/>
    </row>
    <row r="58" customFormat="false" ht="15" hidden="false" customHeight="false" outlineLevel="0" collapsed="false">
      <c r="A58" s="27"/>
      <c r="B58" s="29"/>
      <c r="C58" s="27"/>
      <c r="D58" s="30"/>
      <c r="E58" s="27"/>
    </row>
    <row r="59" customFormat="false" ht="15" hidden="false" customHeight="false" outlineLevel="0" collapsed="false">
      <c r="A59" s="27"/>
      <c r="B59" s="29"/>
      <c r="C59" s="27"/>
      <c r="D59" s="30"/>
      <c r="E59" s="27"/>
    </row>
    <row r="60" customFormat="false" ht="15" hidden="false" customHeight="false" outlineLevel="0" collapsed="false">
      <c r="A60" s="27"/>
      <c r="B60" s="29"/>
      <c r="C60" s="27"/>
      <c r="D60" s="30"/>
      <c r="E60" s="27"/>
    </row>
    <row r="61" customFormat="false" ht="15" hidden="false" customHeight="false" outlineLevel="0" collapsed="false">
      <c r="A61" s="27"/>
      <c r="B61" s="29"/>
      <c r="C61" s="27"/>
      <c r="D61" s="30"/>
      <c r="E61" s="27"/>
    </row>
    <row r="62" customFormat="false" ht="15" hidden="false" customHeight="false" outlineLevel="0" collapsed="false">
      <c r="A62" s="27"/>
      <c r="B62" s="29"/>
      <c r="C62" s="27"/>
      <c r="D62" s="30"/>
      <c r="E62" s="27"/>
    </row>
    <row r="63" customFormat="false" ht="15" hidden="false" customHeight="false" outlineLevel="0" collapsed="false">
      <c r="A63" s="27"/>
      <c r="B63" s="29"/>
      <c r="C63" s="27"/>
      <c r="D63" s="30"/>
      <c r="E63" s="27"/>
    </row>
    <row r="64" customFormat="false" ht="15" hidden="false" customHeight="false" outlineLevel="0" collapsed="false">
      <c r="A64" s="27"/>
      <c r="B64" s="29"/>
      <c r="C64" s="27"/>
      <c r="D64" s="30"/>
      <c r="E64" s="27"/>
    </row>
    <row r="65" customFormat="false" ht="15" hidden="false" customHeight="false" outlineLevel="0" collapsed="false">
      <c r="A65" s="27"/>
      <c r="B65" s="29"/>
      <c r="C65" s="27"/>
      <c r="D65" s="30"/>
      <c r="E65" s="27"/>
    </row>
    <row r="66" customFormat="false" ht="15" hidden="false" customHeight="false" outlineLevel="0" collapsed="false">
      <c r="A66" s="27"/>
      <c r="B66" s="29"/>
      <c r="C66" s="27"/>
      <c r="D66" s="30"/>
      <c r="E66" s="27"/>
    </row>
    <row r="67" customFormat="false" ht="15" hidden="false" customHeight="false" outlineLevel="0" collapsed="false">
      <c r="A67" s="27"/>
      <c r="B67" s="29"/>
      <c r="C67" s="27"/>
      <c r="D67" s="30"/>
      <c r="E67" s="27"/>
    </row>
    <row r="68" customFormat="false" ht="15" hidden="false" customHeight="false" outlineLevel="0" collapsed="false">
      <c r="A68" s="27"/>
      <c r="B68" s="29"/>
      <c r="C68" s="27"/>
      <c r="D68" s="30"/>
      <c r="E68" s="27"/>
    </row>
    <row r="69" customFormat="false" ht="15" hidden="false" customHeight="false" outlineLevel="0" collapsed="false">
      <c r="A69" s="27"/>
      <c r="B69" s="29"/>
      <c r="C69" s="27"/>
      <c r="D69" s="30"/>
      <c r="E69" s="27"/>
    </row>
    <row r="70" customFormat="false" ht="15" hidden="false" customHeight="false" outlineLevel="0" collapsed="false">
      <c r="A70" s="27"/>
      <c r="B70" s="29"/>
      <c r="C70" s="27"/>
      <c r="D70" s="30"/>
      <c r="E70" s="27"/>
    </row>
    <row r="71" customFormat="false" ht="15" hidden="false" customHeight="false" outlineLevel="0" collapsed="false">
      <c r="A71" s="27"/>
      <c r="B71" s="29"/>
      <c r="C71" s="27"/>
      <c r="D71" s="30"/>
      <c r="E71" s="27"/>
    </row>
    <row r="72" customFormat="false" ht="15" hidden="false" customHeight="false" outlineLevel="0" collapsed="false">
      <c r="A72" s="27"/>
      <c r="B72" s="29"/>
      <c r="C72" s="27"/>
      <c r="D72" s="30"/>
      <c r="E72" s="27"/>
    </row>
    <row r="73" customFormat="false" ht="15" hidden="false" customHeight="false" outlineLevel="0" collapsed="false">
      <c r="A73" s="27"/>
      <c r="B73" s="29"/>
      <c r="C73" s="27"/>
      <c r="D73" s="30"/>
      <c r="E73" s="27"/>
    </row>
    <row r="74" customFormat="false" ht="15" hidden="false" customHeight="false" outlineLevel="0" collapsed="false">
      <c r="A74" s="27"/>
      <c r="B74" s="29"/>
      <c r="C74" s="27"/>
      <c r="D74" s="30"/>
      <c r="E74" s="27"/>
    </row>
    <row r="75" customFormat="false" ht="15" hidden="false" customHeight="false" outlineLevel="0" collapsed="false">
      <c r="A75" s="27"/>
      <c r="B75" s="29"/>
      <c r="C75" s="27"/>
      <c r="D75" s="30"/>
      <c r="E75" s="27"/>
    </row>
    <row r="76" customFormat="false" ht="15" hidden="false" customHeight="false" outlineLevel="0" collapsed="false">
      <c r="A76" s="27"/>
      <c r="B76" s="29"/>
      <c r="C76" s="27"/>
      <c r="D76" s="30"/>
      <c r="E76" s="27"/>
    </row>
    <row r="77" customFormat="false" ht="15" hidden="false" customHeight="false" outlineLevel="0" collapsed="false">
      <c r="A77" s="27"/>
      <c r="B77" s="29"/>
      <c r="C77" s="27"/>
      <c r="D77" s="30"/>
      <c r="E77" s="27"/>
    </row>
    <row r="78" customFormat="false" ht="15" hidden="false" customHeight="false" outlineLevel="0" collapsed="false">
      <c r="A78" s="27"/>
      <c r="B78" s="29"/>
      <c r="C78" s="27"/>
      <c r="D78" s="30"/>
      <c r="E78" s="27"/>
    </row>
    <row r="79" customFormat="false" ht="15" hidden="false" customHeight="false" outlineLevel="0" collapsed="false">
      <c r="A79" s="27"/>
      <c r="B79" s="29"/>
      <c r="C79" s="27"/>
      <c r="D79" s="30"/>
      <c r="E79" s="27"/>
    </row>
    <row r="80" customFormat="false" ht="15" hidden="false" customHeight="false" outlineLevel="0" collapsed="false">
      <c r="A80" s="27"/>
      <c r="B80" s="29"/>
      <c r="C80" s="27"/>
      <c r="D80" s="30"/>
      <c r="E80" s="27"/>
    </row>
    <row r="81" customFormat="false" ht="15" hidden="false" customHeight="false" outlineLevel="0" collapsed="false">
      <c r="A81" s="27"/>
      <c r="B81" s="29"/>
      <c r="C81" s="27"/>
      <c r="D81" s="30"/>
      <c r="E81" s="27"/>
    </row>
    <row r="82" customFormat="false" ht="15" hidden="false" customHeight="false" outlineLevel="0" collapsed="false">
      <c r="A82" s="27"/>
      <c r="B82" s="29"/>
      <c r="C82" s="27"/>
      <c r="D82" s="30"/>
      <c r="E82" s="27"/>
    </row>
    <row r="83" customFormat="false" ht="15" hidden="false" customHeight="false" outlineLevel="0" collapsed="false">
      <c r="A83" s="27"/>
      <c r="B83" s="29"/>
      <c r="C83" s="27"/>
      <c r="D83" s="30"/>
      <c r="E83" s="27"/>
    </row>
    <row r="84" customFormat="false" ht="15" hidden="false" customHeight="false" outlineLevel="0" collapsed="false">
      <c r="A84" s="27"/>
      <c r="B84" s="29"/>
      <c r="C84" s="27"/>
      <c r="D84" s="30"/>
      <c r="E84" s="27"/>
    </row>
    <row r="85" customFormat="false" ht="15" hidden="false" customHeight="false" outlineLevel="0" collapsed="false">
      <c r="A85" s="27"/>
      <c r="B85" s="29"/>
      <c r="C85" s="27"/>
      <c r="D85" s="30"/>
      <c r="E85" s="27"/>
    </row>
    <row r="86" customFormat="false" ht="15" hidden="false" customHeight="false" outlineLevel="0" collapsed="false">
      <c r="A86" s="27"/>
      <c r="B86" s="29"/>
      <c r="C86" s="27"/>
      <c r="D86" s="30"/>
      <c r="E86" s="27"/>
    </row>
    <row r="87" customFormat="false" ht="15" hidden="false" customHeight="false" outlineLevel="0" collapsed="false">
      <c r="A87" s="27"/>
      <c r="B87" s="29"/>
      <c r="C87" s="27"/>
      <c r="D87" s="30"/>
      <c r="E87" s="27"/>
    </row>
    <row r="88" customFormat="false" ht="15" hidden="false" customHeight="false" outlineLevel="0" collapsed="false">
      <c r="A88" s="27"/>
      <c r="B88" s="29"/>
      <c r="C88" s="27"/>
      <c r="D88" s="30"/>
      <c r="E88" s="27"/>
    </row>
    <row r="89" customFormat="false" ht="15" hidden="false" customHeight="false" outlineLevel="0" collapsed="false">
      <c r="A89" s="27"/>
      <c r="B89" s="29"/>
      <c r="C89" s="27"/>
      <c r="D89" s="30"/>
      <c r="E89" s="27"/>
    </row>
    <row r="90" customFormat="false" ht="15" hidden="false" customHeight="false" outlineLevel="0" collapsed="false">
      <c r="A90" s="27"/>
      <c r="B90" s="29"/>
      <c r="C90" s="27"/>
      <c r="D90" s="30"/>
      <c r="E90" s="27"/>
    </row>
    <row r="91" customFormat="false" ht="15" hidden="false" customHeight="false" outlineLevel="0" collapsed="false">
      <c r="A91" s="27"/>
      <c r="B91" s="29"/>
      <c r="C91" s="27"/>
      <c r="D91" s="30"/>
      <c r="E91" s="27"/>
    </row>
    <row r="92" customFormat="false" ht="15" hidden="false" customHeight="false" outlineLevel="0" collapsed="false">
      <c r="A92" s="27"/>
      <c r="B92" s="29"/>
      <c r="C92" s="27"/>
      <c r="D92" s="30"/>
      <c r="E92" s="27"/>
    </row>
    <row r="93" customFormat="false" ht="15" hidden="false" customHeight="false" outlineLevel="0" collapsed="false">
      <c r="A93" s="27"/>
      <c r="B93" s="29"/>
      <c r="C93" s="27"/>
      <c r="D93" s="30"/>
      <c r="E93" s="27"/>
    </row>
    <row r="94" customFormat="false" ht="15" hidden="false" customHeight="false" outlineLevel="0" collapsed="false">
      <c r="A94" s="27"/>
      <c r="B94" s="29"/>
      <c r="C94" s="27"/>
      <c r="D94" s="30"/>
      <c r="E94" s="27"/>
    </row>
    <row r="95" customFormat="false" ht="15" hidden="false" customHeight="false" outlineLevel="0" collapsed="false">
      <c r="A95" s="27"/>
      <c r="B95" s="29"/>
      <c r="C95" s="27"/>
      <c r="D95" s="30"/>
      <c r="E95" s="27"/>
    </row>
    <row r="96" customFormat="false" ht="15" hidden="false" customHeight="false" outlineLevel="0" collapsed="false">
      <c r="A96" s="27"/>
      <c r="B96" s="29"/>
      <c r="C96" s="27"/>
      <c r="D96" s="30"/>
      <c r="E96" s="27"/>
    </row>
    <row r="97" customFormat="false" ht="15" hidden="false" customHeight="false" outlineLevel="0" collapsed="false">
      <c r="A97" s="27"/>
      <c r="B97" s="29"/>
      <c r="C97" s="27"/>
      <c r="D97" s="30"/>
      <c r="E97" s="27"/>
    </row>
    <row r="98" customFormat="false" ht="15" hidden="false" customHeight="false" outlineLevel="0" collapsed="false">
      <c r="A98" s="27"/>
      <c r="B98" s="29"/>
      <c r="C98" s="27"/>
      <c r="D98" s="30"/>
      <c r="E98" s="27"/>
    </row>
    <row r="99" customFormat="false" ht="15" hidden="false" customHeight="false" outlineLevel="0" collapsed="false">
      <c r="A99" s="27"/>
      <c r="B99" s="29"/>
      <c r="C99" s="27"/>
      <c r="D99" s="30"/>
      <c r="E99" s="27"/>
    </row>
    <row r="100" customFormat="false" ht="15" hidden="false" customHeight="false" outlineLevel="0" collapsed="false">
      <c r="A100" s="27"/>
      <c r="B100" s="29"/>
      <c r="C100" s="27"/>
      <c r="D100" s="30"/>
      <c r="E100" s="27"/>
    </row>
    <row r="101" customFormat="false" ht="15" hidden="false" customHeight="false" outlineLevel="0" collapsed="false">
      <c r="A101" s="27"/>
      <c r="B101" s="29"/>
      <c r="C101" s="27"/>
      <c r="D101" s="30"/>
      <c r="E101" s="27"/>
    </row>
    <row r="102" customFormat="false" ht="15" hidden="false" customHeight="false" outlineLevel="0" collapsed="false">
      <c r="A102" s="27"/>
      <c r="B102" s="29"/>
      <c r="C102" s="27"/>
      <c r="D102" s="30"/>
      <c r="E102" s="27"/>
    </row>
    <row r="103" customFormat="false" ht="15" hidden="false" customHeight="false" outlineLevel="0" collapsed="false">
      <c r="A103" s="27"/>
      <c r="B103" s="29"/>
      <c r="C103" s="27"/>
      <c r="D103" s="30"/>
      <c r="E103" s="27"/>
    </row>
    <row r="104" customFormat="false" ht="15" hidden="false" customHeight="false" outlineLevel="0" collapsed="false">
      <c r="A104" s="27"/>
      <c r="B104" s="29"/>
      <c r="C104" s="27"/>
      <c r="D104" s="30"/>
      <c r="E104" s="27"/>
    </row>
    <row r="105" customFormat="false" ht="15" hidden="false" customHeight="false" outlineLevel="0" collapsed="false">
      <c r="A105" s="27"/>
      <c r="B105" s="29"/>
      <c r="C105" s="27"/>
      <c r="D105" s="30"/>
      <c r="E105" s="27"/>
    </row>
    <row r="106" customFormat="false" ht="15" hidden="false" customHeight="false" outlineLevel="0" collapsed="false">
      <c r="A106" s="27"/>
      <c r="B106" s="29"/>
      <c r="C106" s="27"/>
      <c r="D106" s="30"/>
      <c r="E106" s="27"/>
    </row>
    <row r="107" customFormat="false" ht="15" hidden="false" customHeight="false" outlineLevel="0" collapsed="false">
      <c r="A107" s="27"/>
      <c r="B107" s="29"/>
      <c r="C107" s="27"/>
      <c r="D107" s="30"/>
      <c r="E107" s="27"/>
    </row>
    <row r="108" customFormat="false" ht="15" hidden="false" customHeight="false" outlineLevel="0" collapsed="false">
      <c r="A108" s="27"/>
      <c r="B108" s="29"/>
      <c r="C108" s="27"/>
      <c r="D108" s="30"/>
      <c r="E108" s="27"/>
    </row>
    <row r="109" customFormat="false" ht="15" hidden="false" customHeight="false" outlineLevel="0" collapsed="false">
      <c r="A109" s="27"/>
      <c r="B109" s="29"/>
      <c r="C109" s="27"/>
      <c r="D109" s="30"/>
      <c r="E109" s="27"/>
    </row>
    <row r="110" customFormat="false" ht="15" hidden="false" customHeight="false" outlineLevel="0" collapsed="false">
      <c r="A110" s="27"/>
      <c r="B110" s="29"/>
      <c r="C110" s="27"/>
      <c r="D110" s="30"/>
      <c r="E110" s="27"/>
    </row>
    <row r="111" customFormat="false" ht="15" hidden="false" customHeight="false" outlineLevel="0" collapsed="false">
      <c r="A111" s="27"/>
      <c r="B111" s="29"/>
      <c r="C111" s="27"/>
      <c r="D111" s="30"/>
      <c r="E111" s="27"/>
    </row>
    <row r="112" customFormat="false" ht="15" hidden="false" customHeight="false" outlineLevel="0" collapsed="false">
      <c r="A112" s="27"/>
      <c r="B112" s="29"/>
      <c r="C112" s="27"/>
      <c r="D112" s="30"/>
      <c r="E112" s="27"/>
    </row>
    <row r="113" customFormat="false" ht="15" hidden="false" customHeight="false" outlineLevel="0" collapsed="false">
      <c r="A113" s="27"/>
      <c r="B113" s="29"/>
      <c r="C113" s="27"/>
      <c r="D113" s="30"/>
      <c r="E113" s="27"/>
    </row>
    <row r="114" customFormat="false" ht="15" hidden="false" customHeight="false" outlineLevel="0" collapsed="false">
      <c r="A114" s="27"/>
      <c r="B114" s="29"/>
      <c r="C114" s="27"/>
      <c r="D114" s="30"/>
      <c r="E114" s="27"/>
    </row>
    <row r="115" customFormat="false" ht="15" hidden="false" customHeight="false" outlineLevel="0" collapsed="false">
      <c r="A115" s="27"/>
      <c r="B115" s="29"/>
      <c r="C115" s="27"/>
      <c r="D115" s="30"/>
      <c r="E115" s="27"/>
    </row>
    <row r="116" customFormat="false" ht="15" hidden="false" customHeight="false" outlineLevel="0" collapsed="false">
      <c r="A116" s="27"/>
      <c r="B116" s="29"/>
      <c r="C116" s="27"/>
      <c r="D116" s="30"/>
      <c r="E116" s="27"/>
    </row>
    <row r="117" customFormat="false" ht="15" hidden="false" customHeight="false" outlineLevel="0" collapsed="false">
      <c r="A117" s="27"/>
      <c r="B117" s="29"/>
      <c r="C117" s="27"/>
      <c r="D117" s="30"/>
      <c r="E117" s="27"/>
    </row>
    <row r="118" customFormat="false" ht="15" hidden="false" customHeight="false" outlineLevel="0" collapsed="false">
      <c r="A118" s="27"/>
      <c r="B118" s="29"/>
      <c r="C118" s="27"/>
      <c r="D118" s="30"/>
      <c r="E118" s="27"/>
    </row>
    <row r="119" customFormat="false" ht="15" hidden="false" customHeight="false" outlineLevel="0" collapsed="false">
      <c r="A119" s="27"/>
      <c r="B119" s="29"/>
      <c r="C119" s="27"/>
      <c r="D119" s="30"/>
      <c r="E119" s="27"/>
    </row>
    <row r="120" customFormat="false" ht="15" hidden="false" customHeight="false" outlineLevel="0" collapsed="false">
      <c r="A120" s="27"/>
      <c r="B120" s="29"/>
      <c r="C120" s="27"/>
      <c r="D120" s="30"/>
      <c r="E120" s="27"/>
    </row>
    <row r="121" customFormat="false" ht="15" hidden="false" customHeight="false" outlineLevel="0" collapsed="false">
      <c r="A121" s="27"/>
      <c r="B121" s="29"/>
      <c r="C121" s="27"/>
      <c r="D121" s="30"/>
      <c r="E121" s="27"/>
    </row>
    <row r="122" customFormat="false" ht="15" hidden="false" customHeight="false" outlineLevel="0" collapsed="false">
      <c r="A122" s="27"/>
      <c r="B122" s="29"/>
      <c r="C122" s="27"/>
      <c r="D122" s="30"/>
      <c r="E122" s="27"/>
    </row>
    <row r="123" customFormat="false" ht="15" hidden="false" customHeight="false" outlineLevel="0" collapsed="false">
      <c r="A123" s="27"/>
      <c r="B123" s="29"/>
      <c r="C123" s="27"/>
      <c r="D123" s="30"/>
      <c r="E123" s="27"/>
    </row>
    <row r="124" customFormat="false" ht="15" hidden="false" customHeight="false" outlineLevel="0" collapsed="false">
      <c r="A124" s="27"/>
      <c r="B124" s="29"/>
      <c r="C124" s="27"/>
      <c r="D124" s="30"/>
      <c r="E124" s="27"/>
    </row>
    <row r="125" customFormat="false" ht="15" hidden="false" customHeight="false" outlineLevel="0" collapsed="false">
      <c r="A125" s="27"/>
      <c r="B125" s="29"/>
      <c r="C125" s="27"/>
      <c r="D125" s="30"/>
      <c r="E125" s="27"/>
    </row>
    <row r="126" customFormat="false" ht="15" hidden="false" customHeight="false" outlineLevel="0" collapsed="false">
      <c r="A126" s="27"/>
      <c r="B126" s="29"/>
      <c r="C126" s="27"/>
      <c r="D126" s="30"/>
      <c r="E126" s="27"/>
    </row>
    <row r="127" customFormat="false" ht="15" hidden="false" customHeight="false" outlineLevel="0" collapsed="false">
      <c r="A127" s="27"/>
      <c r="B127" s="29"/>
      <c r="C127" s="27"/>
      <c r="D127" s="30"/>
      <c r="E127" s="27"/>
    </row>
    <row r="128" customFormat="false" ht="15" hidden="false" customHeight="false" outlineLevel="0" collapsed="false">
      <c r="A128" s="27"/>
      <c r="B128" s="29"/>
      <c r="C128" s="27"/>
      <c r="D128" s="30"/>
      <c r="E128" s="27"/>
    </row>
    <row r="129" customFormat="false" ht="15" hidden="false" customHeight="false" outlineLevel="0" collapsed="false">
      <c r="A129" s="27"/>
      <c r="B129" s="29"/>
      <c r="C129" s="27"/>
      <c r="D129" s="30"/>
      <c r="E129" s="27"/>
    </row>
    <row r="130" customFormat="false" ht="15" hidden="false" customHeight="false" outlineLevel="0" collapsed="false">
      <c r="A130" s="27"/>
      <c r="B130" s="29"/>
      <c r="C130" s="27"/>
      <c r="D130" s="30"/>
      <c r="E130" s="27"/>
    </row>
    <row r="131" customFormat="false" ht="15" hidden="false" customHeight="false" outlineLevel="0" collapsed="false">
      <c r="A131" s="27"/>
      <c r="B131" s="29"/>
      <c r="C131" s="27"/>
      <c r="D131" s="30"/>
      <c r="E131" s="27"/>
    </row>
    <row r="132" customFormat="false" ht="15" hidden="false" customHeight="false" outlineLevel="0" collapsed="false">
      <c r="A132" s="27"/>
      <c r="B132" s="29"/>
      <c r="C132" s="27"/>
      <c r="D132" s="30"/>
      <c r="E132" s="27"/>
    </row>
    <row r="133" customFormat="false" ht="15" hidden="false" customHeight="false" outlineLevel="0" collapsed="false">
      <c r="A133" s="27"/>
      <c r="B133" s="29"/>
      <c r="C133" s="27"/>
      <c r="D133" s="30"/>
      <c r="E133" s="27"/>
    </row>
    <row r="134" customFormat="false" ht="15" hidden="false" customHeight="false" outlineLevel="0" collapsed="false">
      <c r="A134" s="27"/>
      <c r="B134" s="29"/>
      <c r="C134" s="27"/>
      <c r="D134" s="30"/>
      <c r="E134" s="27"/>
    </row>
    <row r="135" customFormat="false" ht="15" hidden="false" customHeight="false" outlineLevel="0" collapsed="false">
      <c r="A135" s="27"/>
      <c r="B135" s="29"/>
      <c r="C135" s="27"/>
      <c r="D135" s="30"/>
      <c r="E135" s="27"/>
    </row>
    <row r="136" customFormat="false" ht="15" hidden="false" customHeight="false" outlineLevel="0" collapsed="false">
      <c r="A136" s="27"/>
      <c r="B136" s="29"/>
      <c r="C136" s="27"/>
      <c r="D136" s="30"/>
      <c r="E136" s="27"/>
    </row>
    <row r="137" customFormat="false" ht="15" hidden="false" customHeight="false" outlineLevel="0" collapsed="false">
      <c r="A137" s="27"/>
      <c r="B137" s="29"/>
      <c r="C137" s="27"/>
      <c r="D137" s="30"/>
      <c r="E137" s="27"/>
    </row>
    <row r="138" customFormat="false" ht="15" hidden="false" customHeight="false" outlineLevel="0" collapsed="false">
      <c r="A138" s="27"/>
      <c r="B138" s="29"/>
      <c r="C138" s="27"/>
      <c r="D138" s="30"/>
      <c r="E138" s="27"/>
    </row>
    <row r="139" customFormat="false" ht="15" hidden="false" customHeight="false" outlineLevel="0" collapsed="false">
      <c r="A139" s="27"/>
      <c r="B139" s="29"/>
      <c r="C139" s="27"/>
      <c r="D139" s="30"/>
      <c r="E139" s="27"/>
    </row>
    <row r="140" customFormat="false" ht="15" hidden="false" customHeight="false" outlineLevel="0" collapsed="false">
      <c r="A140" s="27"/>
      <c r="B140" s="29"/>
      <c r="C140" s="27"/>
      <c r="D140" s="30"/>
      <c r="E140" s="27"/>
    </row>
    <row r="141" customFormat="false" ht="15" hidden="false" customHeight="false" outlineLevel="0" collapsed="false">
      <c r="A141" s="27"/>
      <c r="B141" s="29"/>
      <c r="C141" s="27"/>
      <c r="D141" s="30"/>
      <c r="E141" s="27"/>
    </row>
    <row r="142" customFormat="false" ht="15" hidden="false" customHeight="false" outlineLevel="0" collapsed="false">
      <c r="A142" s="27"/>
      <c r="B142" s="29"/>
      <c r="C142" s="27"/>
      <c r="D142" s="30"/>
      <c r="E142" s="27"/>
    </row>
    <row r="143" customFormat="false" ht="15" hidden="false" customHeight="false" outlineLevel="0" collapsed="false">
      <c r="A143" s="27"/>
      <c r="B143" s="29"/>
      <c r="C143" s="27"/>
      <c r="D143" s="30"/>
      <c r="E143" s="27"/>
    </row>
    <row r="144" customFormat="false" ht="15" hidden="false" customHeight="false" outlineLevel="0" collapsed="false">
      <c r="A144" s="27"/>
      <c r="B144" s="29"/>
      <c r="C144" s="27"/>
      <c r="D144" s="30"/>
      <c r="E144" s="27"/>
    </row>
    <row r="145" customFormat="false" ht="15" hidden="false" customHeight="false" outlineLevel="0" collapsed="false">
      <c r="A145" s="27"/>
      <c r="B145" s="29"/>
      <c r="C145" s="27"/>
      <c r="D145" s="30"/>
      <c r="E145" s="27"/>
    </row>
    <row r="146" customFormat="false" ht="15" hidden="false" customHeight="false" outlineLevel="0" collapsed="false">
      <c r="A146" s="27"/>
      <c r="B146" s="29"/>
      <c r="C146" s="27"/>
      <c r="D146" s="30"/>
      <c r="E146" s="27"/>
    </row>
    <row r="147" customFormat="false" ht="15" hidden="false" customHeight="false" outlineLevel="0" collapsed="false">
      <c r="A147" s="27"/>
      <c r="B147" s="29"/>
      <c r="C147" s="27"/>
      <c r="D147" s="30"/>
      <c r="E147" s="27"/>
    </row>
    <row r="148" customFormat="false" ht="15" hidden="false" customHeight="false" outlineLevel="0" collapsed="false">
      <c r="A148" s="27"/>
      <c r="B148" s="29"/>
      <c r="C148" s="27"/>
      <c r="D148" s="30"/>
      <c r="E148" s="27"/>
    </row>
    <row r="149" customFormat="false" ht="15" hidden="false" customHeight="false" outlineLevel="0" collapsed="false">
      <c r="A149" s="27"/>
      <c r="B149" s="29"/>
      <c r="C149" s="27"/>
      <c r="D149" s="30"/>
      <c r="E149" s="27"/>
    </row>
    <row r="150" customFormat="false" ht="15" hidden="false" customHeight="false" outlineLevel="0" collapsed="false">
      <c r="A150" s="27"/>
      <c r="B150" s="29"/>
      <c r="C150" s="27"/>
      <c r="D150" s="30"/>
      <c r="E150" s="27"/>
    </row>
    <row r="151" customFormat="false" ht="15" hidden="false" customHeight="false" outlineLevel="0" collapsed="false">
      <c r="A151" s="27"/>
      <c r="B151" s="29"/>
      <c r="C151" s="27"/>
      <c r="D151" s="30"/>
      <c r="E151" s="27"/>
    </row>
    <row r="152" customFormat="false" ht="15" hidden="false" customHeight="false" outlineLevel="0" collapsed="false">
      <c r="A152" s="27"/>
      <c r="B152" s="29"/>
      <c r="C152" s="27"/>
      <c r="D152" s="30"/>
      <c r="E152" s="27"/>
    </row>
    <row r="153" customFormat="false" ht="15" hidden="false" customHeight="false" outlineLevel="0" collapsed="false">
      <c r="A153" s="27"/>
      <c r="B153" s="29"/>
      <c r="C153" s="27"/>
      <c r="D153" s="30"/>
      <c r="E153" s="27"/>
    </row>
    <row r="154" customFormat="false" ht="15" hidden="false" customHeight="false" outlineLevel="0" collapsed="false">
      <c r="A154" s="27"/>
      <c r="B154" s="29"/>
      <c r="C154" s="27"/>
      <c r="D154" s="30"/>
      <c r="E154" s="27"/>
    </row>
    <row r="155" customFormat="false" ht="15" hidden="false" customHeight="false" outlineLevel="0" collapsed="false">
      <c r="A155" s="27"/>
      <c r="B155" s="29"/>
      <c r="C155" s="27"/>
      <c r="D155" s="30"/>
      <c r="E155" s="27"/>
    </row>
    <row r="156" customFormat="false" ht="15" hidden="false" customHeight="false" outlineLevel="0" collapsed="false">
      <c r="A156" s="27"/>
      <c r="B156" s="29"/>
      <c r="C156" s="27"/>
      <c r="D156" s="30"/>
      <c r="E156" s="27"/>
    </row>
    <row r="157" customFormat="false" ht="15" hidden="false" customHeight="false" outlineLevel="0" collapsed="false">
      <c r="A157" s="27"/>
      <c r="B157" s="29"/>
      <c r="C157" s="27"/>
      <c r="D157" s="30"/>
      <c r="E157" s="27"/>
    </row>
    <row r="158" customFormat="false" ht="15" hidden="false" customHeight="false" outlineLevel="0" collapsed="false">
      <c r="A158" s="27"/>
      <c r="B158" s="29"/>
      <c r="C158" s="27"/>
      <c r="D158" s="30"/>
      <c r="E158" s="27"/>
    </row>
    <row r="159" customFormat="false" ht="15" hidden="false" customHeight="false" outlineLevel="0" collapsed="false">
      <c r="A159" s="27"/>
      <c r="B159" s="29"/>
      <c r="C159" s="27"/>
      <c r="D159" s="30"/>
      <c r="E159" s="27"/>
    </row>
    <row r="160" customFormat="false" ht="15" hidden="false" customHeight="false" outlineLevel="0" collapsed="false">
      <c r="A160" s="27"/>
      <c r="B160" s="29"/>
      <c r="C160" s="27"/>
      <c r="D160" s="30"/>
      <c r="E160" s="27"/>
    </row>
    <row r="161" customFormat="false" ht="15" hidden="false" customHeight="false" outlineLevel="0" collapsed="false">
      <c r="A161" s="27"/>
      <c r="B161" s="29"/>
      <c r="C161" s="27"/>
      <c r="D161" s="30"/>
      <c r="E161" s="27"/>
    </row>
    <row r="162" customFormat="false" ht="15" hidden="false" customHeight="false" outlineLevel="0" collapsed="false">
      <c r="A162" s="27"/>
      <c r="B162" s="29"/>
      <c r="C162" s="27"/>
      <c r="D162" s="30"/>
      <c r="E162" s="27"/>
    </row>
    <row r="163" customFormat="false" ht="15" hidden="false" customHeight="false" outlineLevel="0" collapsed="false">
      <c r="A163" s="27"/>
      <c r="B163" s="29"/>
      <c r="C163" s="27"/>
      <c r="D163" s="30"/>
      <c r="E163" s="27"/>
    </row>
    <row r="164" customFormat="false" ht="15" hidden="false" customHeight="false" outlineLevel="0" collapsed="false">
      <c r="A164" s="27"/>
      <c r="B164" s="29"/>
      <c r="C164" s="27"/>
      <c r="D164" s="30"/>
      <c r="E164" s="27"/>
    </row>
    <row r="165" customFormat="false" ht="15" hidden="false" customHeight="false" outlineLevel="0" collapsed="false">
      <c r="A165" s="27"/>
      <c r="B165" s="29"/>
      <c r="C165" s="27"/>
      <c r="D165" s="30"/>
      <c r="E165" s="27"/>
    </row>
    <row r="166" customFormat="false" ht="15" hidden="false" customHeight="false" outlineLevel="0" collapsed="false">
      <c r="A166" s="27"/>
      <c r="B166" s="29"/>
      <c r="C166" s="27"/>
      <c r="D166" s="30"/>
      <c r="E166" s="27"/>
    </row>
    <row r="167" customFormat="false" ht="15" hidden="false" customHeight="false" outlineLevel="0" collapsed="false">
      <c r="A167" s="27"/>
      <c r="B167" s="29"/>
      <c r="C167" s="27"/>
      <c r="D167" s="30"/>
      <c r="E167" s="27"/>
    </row>
    <row r="168" customFormat="false" ht="15" hidden="false" customHeight="false" outlineLevel="0" collapsed="false">
      <c r="A168" s="27"/>
      <c r="B168" s="29"/>
      <c r="C168" s="27"/>
      <c r="D168" s="30"/>
      <c r="E168" s="27"/>
    </row>
    <row r="169" customFormat="false" ht="15" hidden="false" customHeight="false" outlineLevel="0" collapsed="false">
      <c r="A169" s="27"/>
      <c r="B169" s="29"/>
      <c r="C169" s="27"/>
      <c r="D169" s="30"/>
      <c r="E169" s="27"/>
    </row>
    <row r="170" customFormat="false" ht="15" hidden="false" customHeight="false" outlineLevel="0" collapsed="false">
      <c r="A170" s="27"/>
      <c r="B170" s="29"/>
      <c r="C170" s="27"/>
      <c r="D170" s="30"/>
      <c r="E170" s="27"/>
    </row>
    <row r="171" customFormat="false" ht="15" hidden="false" customHeight="false" outlineLevel="0" collapsed="false">
      <c r="A171" s="27"/>
      <c r="B171" s="29"/>
      <c r="C171" s="27"/>
      <c r="D171" s="30"/>
      <c r="E171" s="27"/>
    </row>
    <row r="172" customFormat="false" ht="15" hidden="false" customHeight="false" outlineLevel="0" collapsed="false">
      <c r="A172" s="27"/>
      <c r="B172" s="29"/>
      <c r="C172" s="27"/>
      <c r="D172" s="30"/>
      <c r="E172" s="27"/>
    </row>
    <row r="173" customFormat="false" ht="15" hidden="false" customHeight="false" outlineLevel="0" collapsed="false">
      <c r="A173" s="27"/>
      <c r="B173" s="29"/>
      <c r="C173" s="27"/>
      <c r="D173" s="30"/>
      <c r="E173" s="27"/>
    </row>
    <row r="174" customFormat="false" ht="15" hidden="false" customHeight="false" outlineLevel="0" collapsed="false">
      <c r="A174" s="27"/>
      <c r="B174" s="29"/>
      <c r="C174" s="27"/>
      <c r="D174" s="30"/>
      <c r="E174" s="27"/>
    </row>
    <row r="175" customFormat="false" ht="15" hidden="false" customHeight="false" outlineLevel="0" collapsed="false">
      <c r="A175" s="27"/>
      <c r="B175" s="29"/>
      <c r="C175" s="27"/>
      <c r="D175" s="30"/>
      <c r="E175" s="27"/>
    </row>
    <row r="176" customFormat="false" ht="15" hidden="false" customHeight="false" outlineLevel="0" collapsed="false">
      <c r="A176" s="27"/>
      <c r="B176" s="29"/>
      <c r="C176" s="27"/>
      <c r="D176" s="30"/>
      <c r="E176" s="27"/>
    </row>
    <row r="177" customFormat="false" ht="15" hidden="false" customHeight="false" outlineLevel="0" collapsed="false">
      <c r="A177" s="27"/>
      <c r="B177" s="29"/>
      <c r="C177" s="27"/>
      <c r="D177" s="30"/>
      <c r="E177" s="27"/>
    </row>
    <row r="178" customFormat="false" ht="15" hidden="false" customHeight="false" outlineLevel="0" collapsed="false">
      <c r="A178" s="27"/>
      <c r="B178" s="29"/>
      <c r="C178" s="27"/>
      <c r="D178" s="30"/>
      <c r="E178" s="27"/>
    </row>
    <row r="179" customFormat="false" ht="15" hidden="false" customHeight="false" outlineLevel="0" collapsed="false">
      <c r="A179" s="27"/>
      <c r="B179" s="29"/>
      <c r="C179" s="27"/>
      <c r="D179" s="30"/>
      <c r="E179" s="27"/>
    </row>
    <row r="180" customFormat="false" ht="15" hidden="false" customHeight="false" outlineLevel="0" collapsed="false">
      <c r="A180" s="27"/>
      <c r="B180" s="29"/>
      <c r="C180" s="27"/>
      <c r="D180" s="30"/>
      <c r="E180" s="27"/>
    </row>
    <row r="181" customFormat="false" ht="15" hidden="false" customHeight="false" outlineLevel="0" collapsed="false">
      <c r="A181" s="27"/>
      <c r="B181" s="29"/>
      <c r="C181" s="27"/>
      <c r="D181" s="30"/>
      <c r="E181" s="27"/>
    </row>
    <row r="182" customFormat="false" ht="15" hidden="false" customHeight="false" outlineLevel="0" collapsed="false">
      <c r="A182" s="27"/>
      <c r="B182" s="29"/>
      <c r="C182" s="27"/>
      <c r="D182" s="30"/>
      <c r="E182" s="27"/>
    </row>
    <row r="183" customFormat="false" ht="15" hidden="false" customHeight="false" outlineLevel="0" collapsed="false">
      <c r="A183" s="27"/>
      <c r="B183" s="29"/>
      <c r="C183" s="27"/>
      <c r="D183" s="30"/>
      <c r="E183" s="27"/>
    </row>
    <row r="184" customFormat="false" ht="15" hidden="false" customHeight="false" outlineLevel="0" collapsed="false">
      <c r="A184" s="27"/>
      <c r="B184" s="29"/>
      <c r="C184" s="27"/>
      <c r="D184" s="30"/>
      <c r="E184" s="27"/>
    </row>
    <row r="185" customFormat="false" ht="15" hidden="false" customHeight="false" outlineLevel="0" collapsed="false">
      <c r="A185" s="27"/>
      <c r="B185" s="29"/>
      <c r="C185" s="27"/>
      <c r="D185" s="30"/>
      <c r="E185" s="27"/>
    </row>
    <row r="186" customFormat="false" ht="15" hidden="false" customHeight="false" outlineLevel="0" collapsed="false">
      <c r="A186" s="27"/>
      <c r="B186" s="29"/>
      <c r="C186" s="27"/>
      <c r="D186" s="30"/>
      <c r="E186" s="27"/>
    </row>
    <row r="187" customFormat="false" ht="15" hidden="false" customHeight="false" outlineLevel="0" collapsed="false">
      <c r="A187" s="27"/>
      <c r="B187" s="29"/>
      <c r="C187" s="27"/>
      <c r="D187" s="30"/>
      <c r="E187" s="27"/>
    </row>
    <row r="188" customFormat="false" ht="15" hidden="false" customHeight="false" outlineLevel="0" collapsed="false">
      <c r="A188" s="27"/>
      <c r="B188" s="29"/>
      <c r="C188" s="27"/>
      <c r="D188" s="30"/>
      <c r="E188" s="27"/>
    </row>
    <row r="189" customFormat="false" ht="15" hidden="false" customHeight="false" outlineLevel="0" collapsed="false">
      <c r="A189" s="27"/>
      <c r="B189" s="29"/>
      <c r="C189" s="27"/>
      <c r="D189" s="30"/>
      <c r="E189" s="27"/>
    </row>
    <row r="190" customFormat="false" ht="15" hidden="false" customHeight="false" outlineLevel="0" collapsed="false">
      <c r="A190" s="27"/>
      <c r="B190" s="29"/>
      <c r="C190" s="27"/>
      <c r="D190" s="30"/>
      <c r="E190" s="27"/>
    </row>
    <row r="191" customFormat="false" ht="15" hidden="false" customHeight="false" outlineLevel="0" collapsed="false">
      <c r="A191" s="27"/>
      <c r="B191" s="29"/>
      <c r="C191" s="27"/>
      <c r="D191" s="30"/>
      <c r="E191" s="27"/>
    </row>
    <row r="192" customFormat="false" ht="15" hidden="false" customHeight="false" outlineLevel="0" collapsed="false">
      <c r="A192" s="27"/>
      <c r="B192" s="29"/>
      <c r="C192" s="27"/>
      <c r="D192" s="30"/>
      <c r="E192" s="27"/>
    </row>
    <row r="193" customFormat="false" ht="15" hidden="false" customHeight="false" outlineLevel="0" collapsed="false">
      <c r="A193" s="27"/>
      <c r="B193" s="29"/>
      <c r="C193" s="27"/>
      <c r="D193" s="30"/>
      <c r="E193" s="27"/>
    </row>
    <row r="194" customFormat="false" ht="15" hidden="false" customHeight="false" outlineLevel="0" collapsed="false">
      <c r="A194" s="27"/>
      <c r="B194" s="29"/>
      <c r="C194" s="27"/>
      <c r="D194" s="30"/>
      <c r="E194" s="27"/>
    </row>
    <row r="195" customFormat="false" ht="15" hidden="false" customHeight="false" outlineLevel="0" collapsed="false">
      <c r="A195" s="27"/>
      <c r="B195" s="29"/>
      <c r="C195" s="27"/>
      <c r="D195" s="30"/>
      <c r="E195" s="27"/>
    </row>
    <row r="196" customFormat="false" ht="15" hidden="false" customHeight="false" outlineLevel="0" collapsed="false">
      <c r="A196" s="27"/>
      <c r="B196" s="29"/>
      <c r="C196" s="27"/>
      <c r="D196" s="30"/>
      <c r="E196" s="27"/>
    </row>
    <row r="197" customFormat="false" ht="15" hidden="false" customHeight="false" outlineLevel="0" collapsed="false">
      <c r="A197" s="27"/>
      <c r="B197" s="29"/>
      <c r="C197" s="27"/>
      <c r="D197" s="30"/>
      <c r="E197" s="27"/>
    </row>
    <row r="198" customFormat="false" ht="15" hidden="false" customHeight="false" outlineLevel="0" collapsed="false">
      <c r="A198" s="27"/>
      <c r="B198" s="29"/>
      <c r="C198" s="27"/>
      <c r="D198" s="30"/>
      <c r="E198" s="27"/>
    </row>
    <row r="199" customFormat="false" ht="15" hidden="false" customHeight="false" outlineLevel="0" collapsed="false">
      <c r="A199" s="27"/>
      <c r="B199" s="29"/>
      <c r="C199" s="27"/>
      <c r="D199" s="30"/>
      <c r="E199" s="27"/>
    </row>
    <row r="200" customFormat="false" ht="15" hidden="false" customHeight="false" outlineLevel="0" collapsed="false">
      <c r="A200" s="27"/>
      <c r="B200" s="29"/>
      <c r="C200" s="27"/>
      <c r="D200" s="30"/>
      <c r="E200" s="27"/>
    </row>
    <row r="201" customFormat="false" ht="15" hidden="false" customHeight="false" outlineLevel="0" collapsed="false">
      <c r="A201" s="27"/>
      <c r="B201" s="29"/>
      <c r="C201" s="27"/>
      <c r="D201" s="30"/>
      <c r="E201" s="27"/>
    </row>
    <row r="202" customFormat="false" ht="15" hidden="false" customHeight="false" outlineLevel="0" collapsed="false">
      <c r="A202" s="27"/>
      <c r="B202" s="29"/>
      <c r="C202" s="27"/>
      <c r="D202" s="30"/>
      <c r="E202" s="27"/>
    </row>
    <row r="203" customFormat="false" ht="15" hidden="false" customHeight="false" outlineLevel="0" collapsed="false">
      <c r="A203" s="27"/>
      <c r="B203" s="29"/>
      <c r="C203" s="27"/>
      <c r="D203" s="30"/>
      <c r="E203" s="27"/>
    </row>
    <row r="204" customFormat="false" ht="15" hidden="false" customHeight="false" outlineLevel="0" collapsed="false">
      <c r="A204" s="27"/>
      <c r="B204" s="29"/>
      <c r="C204" s="27"/>
      <c r="D204" s="30"/>
      <c r="E204" s="27"/>
    </row>
    <row r="205" customFormat="false" ht="15" hidden="false" customHeight="false" outlineLevel="0" collapsed="false">
      <c r="A205" s="27"/>
      <c r="B205" s="29"/>
      <c r="C205" s="27"/>
      <c r="D205" s="30"/>
      <c r="E205" s="27"/>
    </row>
    <row r="206" customFormat="false" ht="15" hidden="false" customHeight="false" outlineLevel="0" collapsed="false">
      <c r="A206" s="27"/>
      <c r="B206" s="29"/>
      <c r="C206" s="27"/>
      <c r="D206" s="30"/>
      <c r="E206" s="27"/>
    </row>
    <row r="207" customFormat="false" ht="15" hidden="false" customHeight="false" outlineLevel="0" collapsed="false">
      <c r="A207" s="27"/>
      <c r="B207" s="29"/>
      <c r="C207" s="27"/>
      <c r="D207" s="30"/>
      <c r="E207" s="27"/>
    </row>
    <row r="208" customFormat="false" ht="15" hidden="false" customHeight="false" outlineLevel="0" collapsed="false">
      <c r="A208" s="27"/>
      <c r="B208" s="29"/>
      <c r="C208" s="27"/>
      <c r="D208" s="30"/>
      <c r="E208" s="27"/>
    </row>
    <row r="209" customFormat="false" ht="15" hidden="false" customHeight="false" outlineLevel="0" collapsed="false">
      <c r="A209" s="27"/>
      <c r="B209" s="29"/>
      <c r="C209" s="27"/>
      <c r="D209" s="30"/>
      <c r="E209" s="27"/>
    </row>
    <row r="210" customFormat="false" ht="15" hidden="false" customHeight="false" outlineLevel="0" collapsed="false">
      <c r="A210" s="27"/>
      <c r="B210" s="29"/>
      <c r="C210" s="27"/>
      <c r="D210" s="30"/>
      <c r="E210" s="27"/>
    </row>
    <row r="211" customFormat="false" ht="15" hidden="false" customHeight="false" outlineLevel="0" collapsed="false">
      <c r="A211" s="27"/>
      <c r="B211" s="29"/>
      <c r="C211" s="27"/>
      <c r="D211" s="30"/>
      <c r="E211" s="27"/>
    </row>
    <row r="212" customFormat="false" ht="15" hidden="false" customHeight="false" outlineLevel="0" collapsed="false">
      <c r="A212" s="27"/>
      <c r="B212" s="29"/>
      <c r="C212" s="27"/>
      <c r="D212" s="30"/>
      <c r="E212" s="27"/>
    </row>
    <row r="213" customFormat="false" ht="15" hidden="false" customHeight="false" outlineLevel="0" collapsed="false">
      <c r="A213" s="27"/>
      <c r="B213" s="29"/>
      <c r="C213" s="27"/>
      <c r="D213" s="30"/>
      <c r="E213" s="27"/>
    </row>
    <row r="214" customFormat="false" ht="15" hidden="false" customHeight="false" outlineLevel="0" collapsed="false">
      <c r="A214" s="27"/>
      <c r="B214" s="29"/>
      <c r="C214" s="27"/>
      <c r="D214" s="30"/>
      <c r="E214" s="27"/>
    </row>
    <row r="215" customFormat="false" ht="15" hidden="false" customHeight="false" outlineLevel="0" collapsed="false">
      <c r="A215" s="27"/>
      <c r="B215" s="29"/>
      <c r="C215" s="27"/>
      <c r="D215" s="30"/>
      <c r="E215" s="27"/>
    </row>
    <row r="216" customFormat="false" ht="15" hidden="false" customHeight="false" outlineLevel="0" collapsed="false">
      <c r="A216" s="27"/>
      <c r="B216" s="29"/>
      <c r="C216" s="27"/>
      <c r="D216" s="30"/>
      <c r="E216" s="27"/>
    </row>
    <row r="217" customFormat="false" ht="15" hidden="false" customHeight="false" outlineLevel="0" collapsed="false">
      <c r="A217" s="27"/>
      <c r="B217" s="29"/>
      <c r="C217" s="27"/>
      <c r="D217" s="30"/>
      <c r="E217" s="27"/>
    </row>
    <row r="218" customFormat="false" ht="15" hidden="false" customHeight="false" outlineLevel="0" collapsed="false">
      <c r="A218" s="27"/>
      <c r="B218" s="29"/>
      <c r="C218" s="27"/>
      <c r="D218" s="30"/>
      <c r="E218" s="27"/>
    </row>
    <row r="219" customFormat="false" ht="15" hidden="false" customHeight="false" outlineLevel="0" collapsed="false">
      <c r="A219" s="27"/>
      <c r="B219" s="29"/>
      <c r="C219" s="27"/>
      <c r="D219" s="30"/>
      <c r="E219" s="27"/>
    </row>
    <row r="220" customFormat="false" ht="15" hidden="false" customHeight="false" outlineLevel="0" collapsed="false">
      <c r="A220" s="27"/>
      <c r="B220" s="29"/>
      <c r="C220" s="27"/>
      <c r="D220" s="30"/>
      <c r="E220" s="27"/>
    </row>
    <row r="221" customFormat="false" ht="15" hidden="false" customHeight="false" outlineLevel="0" collapsed="false">
      <c r="A221" s="27"/>
      <c r="B221" s="29"/>
      <c r="C221" s="27"/>
      <c r="D221" s="30"/>
      <c r="E221" s="27"/>
    </row>
    <row r="222" customFormat="false" ht="15" hidden="false" customHeight="false" outlineLevel="0" collapsed="false">
      <c r="A222" s="27"/>
      <c r="B222" s="29"/>
      <c r="C222" s="27"/>
      <c r="D222" s="30"/>
      <c r="E222" s="27"/>
    </row>
    <row r="223" customFormat="false" ht="15" hidden="false" customHeight="false" outlineLevel="0" collapsed="false">
      <c r="A223" s="27"/>
      <c r="B223" s="29"/>
      <c r="C223" s="27"/>
      <c r="D223" s="30"/>
      <c r="E223" s="27"/>
    </row>
    <row r="224" customFormat="false" ht="15" hidden="false" customHeight="false" outlineLevel="0" collapsed="false">
      <c r="A224" s="27"/>
      <c r="B224" s="29"/>
      <c r="C224" s="27"/>
      <c r="D224" s="30"/>
      <c r="E224" s="27"/>
    </row>
    <row r="225" customFormat="false" ht="15" hidden="false" customHeight="false" outlineLevel="0" collapsed="false">
      <c r="A225" s="27"/>
      <c r="B225" s="29"/>
      <c r="C225" s="27"/>
      <c r="D225" s="30"/>
      <c r="E225" s="27"/>
    </row>
    <row r="226" customFormat="false" ht="15" hidden="false" customHeight="false" outlineLevel="0" collapsed="false">
      <c r="A226" s="27"/>
      <c r="B226" s="29"/>
      <c r="C226" s="27"/>
      <c r="D226" s="30"/>
      <c r="E226" s="27"/>
    </row>
    <row r="227" customFormat="false" ht="15" hidden="false" customHeight="false" outlineLevel="0" collapsed="false">
      <c r="A227" s="27"/>
      <c r="B227" s="29"/>
      <c r="C227" s="27"/>
      <c r="D227" s="30"/>
      <c r="E227" s="27"/>
    </row>
    <row r="228" customFormat="false" ht="15" hidden="false" customHeight="false" outlineLevel="0" collapsed="false">
      <c r="A228" s="27"/>
      <c r="B228" s="29"/>
      <c r="C228" s="27"/>
      <c r="D228" s="30"/>
      <c r="E228" s="27"/>
    </row>
    <row r="229" customFormat="false" ht="15" hidden="false" customHeight="false" outlineLevel="0" collapsed="false">
      <c r="A229" s="27"/>
      <c r="B229" s="29"/>
      <c r="C229" s="27"/>
      <c r="D229" s="30"/>
      <c r="E229" s="27"/>
    </row>
    <row r="230" customFormat="false" ht="15" hidden="false" customHeight="false" outlineLevel="0" collapsed="false">
      <c r="A230" s="27"/>
      <c r="B230" s="29"/>
      <c r="C230" s="27"/>
      <c r="D230" s="30"/>
      <c r="E230" s="27"/>
    </row>
    <row r="231" customFormat="false" ht="15" hidden="false" customHeight="false" outlineLevel="0" collapsed="false">
      <c r="A231" s="27"/>
      <c r="B231" s="29"/>
      <c r="C231" s="27"/>
      <c r="D231" s="30"/>
      <c r="E231" s="27"/>
    </row>
    <row r="232" customFormat="false" ht="15" hidden="false" customHeight="false" outlineLevel="0" collapsed="false">
      <c r="A232" s="27"/>
      <c r="B232" s="29"/>
      <c r="C232" s="27"/>
      <c r="D232" s="30"/>
      <c r="E232" s="27"/>
    </row>
    <row r="233" customFormat="false" ht="15" hidden="false" customHeight="false" outlineLevel="0" collapsed="false">
      <c r="A233" s="27"/>
      <c r="B233" s="29"/>
      <c r="C233" s="27"/>
      <c r="D233" s="30"/>
      <c r="E233" s="27"/>
    </row>
    <row r="234" customFormat="false" ht="15" hidden="false" customHeight="false" outlineLevel="0" collapsed="false">
      <c r="A234" s="27"/>
      <c r="B234" s="29"/>
      <c r="C234" s="27"/>
      <c r="D234" s="30"/>
      <c r="E234" s="27"/>
    </row>
    <row r="235" customFormat="false" ht="15" hidden="false" customHeight="false" outlineLevel="0" collapsed="false">
      <c r="A235" s="27"/>
      <c r="B235" s="29"/>
      <c r="C235" s="27"/>
      <c r="D235" s="30"/>
      <c r="E235" s="27"/>
    </row>
    <row r="236" customFormat="false" ht="15" hidden="false" customHeight="false" outlineLevel="0" collapsed="false">
      <c r="A236" s="27"/>
      <c r="B236" s="29"/>
      <c r="C236" s="27"/>
      <c r="D236" s="30"/>
      <c r="E236" s="27"/>
    </row>
    <row r="237" customFormat="false" ht="15" hidden="false" customHeight="false" outlineLevel="0" collapsed="false">
      <c r="A237" s="27"/>
      <c r="B237" s="29"/>
      <c r="C237" s="27"/>
      <c r="D237" s="30"/>
      <c r="E237" s="27"/>
    </row>
    <row r="238" customFormat="false" ht="15" hidden="false" customHeight="false" outlineLevel="0" collapsed="false">
      <c r="A238" s="27"/>
      <c r="B238" s="29"/>
      <c r="C238" s="27"/>
      <c r="D238" s="30"/>
      <c r="E238" s="27"/>
    </row>
    <row r="239" customFormat="false" ht="15" hidden="false" customHeight="false" outlineLevel="0" collapsed="false">
      <c r="A239" s="27"/>
      <c r="B239" s="29"/>
      <c r="C239" s="27"/>
      <c r="D239" s="30"/>
      <c r="E239" s="27"/>
    </row>
    <row r="240" customFormat="false" ht="15" hidden="false" customHeight="false" outlineLevel="0" collapsed="false">
      <c r="A240" s="27"/>
      <c r="B240" s="29"/>
      <c r="C240" s="27"/>
      <c r="D240" s="30"/>
      <c r="E240" s="27"/>
    </row>
    <row r="241" customFormat="false" ht="15" hidden="false" customHeight="false" outlineLevel="0" collapsed="false">
      <c r="A241" s="27"/>
      <c r="B241" s="29"/>
      <c r="C241" s="27"/>
      <c r="D241" s="30"/>
      <c r="E241" s="27"/>
    </row>
    <row r="242" customFormat="false" ht="15" hidden="false" customHeight="false" outlineLevel="0" collapsed="false">
      <c r="A242" s="27"/>
      <c r="B242" s="29"/>
      <c r="C242" s="27"/>
      <c r="D242" s="30"/>
      <c r="E242" s="27"/>
    </row>
    <row r="243" customFormat="false" ht="15" hidden="false" customHeight="false" outlineLevel="0" collapsed="false">
      <c r="A243" s="27"/>
      <c r="B243" s="29"/>
      <c r="C243" s="27"/>
      <c r="D243" s="30"/>
      <c r="E243" s="27"/>
    </row>
    <row r="244" customFormat="false" ht="15" hidden="false" customHeight="false" outlineLevel="0" collapsed="false">
      <c r="A244" s="27"/>
      <c r="B244" s="29"/>
      <c r="C244" s="27"/>
      <c r="D244" s="30"/>
      <c r="E244" s="27"/>
    </row>
    <row r="245" customFormat="false" ht="15" hidden="false" customHeight="false" outlineLevel="0" collapsed="false">
      <c r="A245" s="27"/>
      <c r="B245" s="29"/>
      <c r="C245" s="27"/>
      <c r="D245" s="30"/>
      <c r="E245" s="27"/>
    </row>
    <row r="246" customFormat="false" ht="15" hidden="false" customHeight="false" outlineLevel="0" collapsed="false">
      <c r="A246" s="27"/>
      <c r="B246" s="29"/>
      <c r="C246" s="27"/>
      <c r="D246" s="30"/>
      <c r="E246" s="27"/>
    </row>
    <row r="247" customFormat="false" ht="15" hidden="false" customHeight="false" outlineLevel="0" collapsed="false">
      <c r="A247" s="27"/>
      <c r="B247" s="29"/>
      <c r="C247" s="27"/>
      <c r="D247" s="30"/>
      <c r="E247" s="27"/>
    </row>
    <row r="248" customFormat="false" ht="15" hidden="false" customHeight="false" outlineLevel="0" collapsed="false">
      <c r="A248" s="27"/>
      <c r="B248" s="29"/>
      <c r="C248" s="27"/>
      <c r="D248" s="30"/>
      <c r="E248" s="27"/>
    </row>
    <row r="249" customFormat="false" ht="15" hidden="false" customHeight="false" outlineLevel="0" collapsed="false">
      <c r="A249" s="27"/>
      <c r="B249" s="29"/>
      <c r="C249" s="27"/>
      <c r="D249" s="30"/>
      <c r="E249" s="27"/>
    </row>
    <row r="250" customFormat="false" ht="15" hidden="false" customHeight="false" outlineLevel="0" collapsed="false">
      <c r="A250" s="27"/>
      <c r="B250" s="29"/>
      <c r="C250" s="27"/>
      <c r="D250" s="30"/>
      <c r="E250" s="27"/>
    </row>
    <row r="251" customFormat="false" ht="15" hidden="false" customHeight="false" outlineLevel="0" collapsed="false">
      <c r="A251" s="27"/>
      <c r="B251" s="29"/>
      <c r="C251" s="27"/>
      <c r="D251" s="30"/>
      <c r="E251" s="27"/>
    </row>
    <row r="252" customFormat="false" ht="15" hidden="false" customHeight="false" outlineLevel="0" collapsed="false">
      <c r="A252" s="27"/>
      <c r="B252" s="29"/>
      <c r="C252" s="27"/>
      <c r="D252" s="30"/>
      <c r="E252" s="27"/>
    </row>
    <row r="253" customFormat="false" ht="15" hidden="false" customHeight="false" outlineLevel="0" collapsed="false">
      <c r="A253" s="27"/>
      <c r="B253" s="29"/>
      <c r="C253" s="27"/>
      <c r="D253" s="30"/>
      <c r="E253" s="27"/>
    </row>
    <row r="254" customFormat="false" ht="15" hidden="false" customHeight="false" outlineLevel="0" collapsed="false">
      <c r="A254" s="27"/>
      <c r="B254" s="29"/>
      <c r="C254" s="27"/>
      <c r="D254" s="30"/>
      <c r="E254" s="27"/>
    </row>
    <row r="255" customFormat="false" ht="15" hidden="false" customHeight="false" outlineLevel="0" collapsed="false">
      <c r="A255" s="27"/>
      <c r="B255" s="29"/>
      <c r="C255" s="27"/>
      <c r="D255" s="30"/>
      <c r="E255" s="27"/>
    </row>
    <row r="256" customFormat="false" ht="15" hidden="false" customHeight="false" outlineLevel="0" collapsed="false">
      <c r="A256" s="27"/>
      <c r="B256" s="29"/>
      <c r="C256" s="27"/>
      <c r="D256" s="30"/>
      <c r="E256" s="27"/>
    </row>
    <row r="257" customFormat="false" ht="15" hidden="false" customHeight="false" outlineLevel="0" collapsed="false">
      <c r="A257" s="27"/>
      <c r="B257" s="29"/>
      <c r="C257" s="27"/>
      <c r="D257" s="30"/>
      <c r="E257" s="27"/>
    </row>
    <row r="258" customFormat="false" ht="15" hidden="false" customHeight="false" outlineLevel="0" collapsed="false">
      <c r="A258" s="27"/>
      <c r="B258" s="29"/>
      <c r="C258" s="27"/>
      <c r="D258" s="30"/>
      <c r="E258" s="27"/>
    </row>
    <row r="259" customFormat="false" ht="15" hidden="false" customHeight="false" outlineLevel="0" collapsed="false">
      <c r="A259" s="27"/>
      <c r="B259" s="29"/>
      <c r="C259" s="27"/>
      <c r="D259" s="30"/>
      <c r="E259" s="27"/>
    </row>
    <row r="260" customFormat="false" ht="15" hidden="false" customHeight="false" outlineLevel="0" collapsed="false">
      <c r="A260" s="27"/>
      <c r="B260" s="29"/>
      <c r="C260" s="27"/>
      <c r="D260" s="30"/>
      <c r="E260" s="27"/>
    </row>
    <row r="261" customFormat="false" ht="15" hidden="false" customHeight="false" outlineLevel="0" collapsed="false">
      <c r="A261" s="27"/>
      <c r="B261" s="29"/>
      <c r="C261" s="27"/>
      <c r="D261" s="30"/>
      <c r="E261" s="27"/>
    </row>
    <row r="262" customFormat="false" ht="15" hidden="false" customHeight="false" outlineLevel="0" collapsed="false">
      <c r="A262" s="27"/>
      <c r="B262" s="29"/>
      <c r="C262" s="27"/>
      <c r="D262" s="30"/>
      <c r="E262" s="27"/>
    </row>
    <row r="263" customFormat="false" ht="15" hidden="false" customHeight="false" outlineLevel="0" collapsed="false">
      <c r="A263" s="27"/>
      <c r="B263" s="29"/>
      <c r="C263" s="27"/>
      <c r="D263" s="30"/>
      <c r="E263" s="27"/>
    </row>
    <row r="264" customFormat="false" ht="15" hidden="false" customHeight="false" outlineLevel="0" collapsed="false">
      <c r="A264" s="27"/>
      <c r="B264" s="29"/>
      <c r="C264" s="27"/>
      <c r="D264" s="30"/>
      <c r="E264" s="27"/>
    </row>
    <row r="265" customFormat="false" ht="15" hidden="false" customHeight="false" outlineLevel="0" collapsed="false">
      <c r="A265" s="27"/>
      <c r="B265" s="29"/>
      <c r="C265" s="27"/>
      <c r="D265" s="30"/>
      <c r="E265" s="27"/>
    </row>
    <row r="266" customFormat="false" ht="15" hidden="false" customHeight="false" outlineLevel="0" collapsed="false">
      <c r="A266" s="27"/>
      <c r="B266" s="29"/>
      <c r="C266" s="27"/>
      <c r="D266" s="30"/>
      <c r="E266" s="27"/>
    </row>
    <row r="267" customFormat="false" ht="15" hidden="false" customHeight="false" outlineLevel="0" collapsed="false">
      <c r="A267" s="27"/>
      <c r="B267" s="29"/>
      <c r="C267" s="27"/>
      <c r="D267" s="30"/>
      <c r="E267" s="27"/>
    </row>
    <row r="268" customFormat="false" ht="15" hidden="false" customHeight="false" outlineLevel="0" collapsed="false">
      <c r="A268" s="27"/>
      <c r="B268" s="29"/>
      <c r="C268" s="27"/>
      <c r="D268" s="30"/>
      <c r="E268" s="27"/>
    </row>
    <row r="269" customFormat="false" ht="15" hidden="false" customHeight="false" outlineLevel="0" collapsed="false">
      <c r="A269" s="27"/>
      <c r="B269" s="29"/>
      <c r="C269" s="27"/>
      <c r="D269" s="30"/>
      <c r="E269" s="27"/>
    </row>
    <row r="270" customFormat="false" ht="15" hidden="false" customHeight="false" outlineLevel="0" collapsed="false">
      <c r="A270" s="27"/>
      <c r="B270" s="29"/>
      <c r="C270" s="27"/>
      <c r="D270" s="30"/>
      <c r="E270" s="27"/>
    </row>
    <row r="271" customFormat="false" ht="15" hidden="false" customHeight="false" outlineLevel="0" collapsed="false">
      <c r="A271" s="27"/>
      <c r="B271" s="29"/>
      <c r="C271" s="27"/>
      <c r="D271" s="30"/>
      <c r="E271" s="27"/>
    </row>
    <row r="272" customFormat="false" ht="15" hidden="false" customHeight="false" outlineLevel="0" collapsed="false">
      <c r="A272" s="27"/>
      <c r="B272" s="29"/>
      <c r="C272" s="27"/>
      <c r="D272" s="30"/>
      <c r="E272" s="27"/>
    </row>
    <row r="273" customFormat="false" ht="15" hidden="false" customHeight="false" outlineLevel="0" collapsed="false">
      <c r="A273" s="27"/>
      <c r="B273" s="29"/>
      <c r="C273" s="27"/>
      <c r="D273" s="30"/>
      <c r="E273" s="27"/>
    </row>
    <row r="274" customFormat="false" ht="15" hidden="false" customHeight="false" outlineLevel="0" collapsed="false">
      <c r="A274" s="27"/>
      <c r="B274" s="29"/>
      <c r="C274" s="27"/>
      <c r="D274" s="30"/>
      <c r="E274" s="27"/>
    </row>
    <row r="275" customFormat="false" ht="15" hidden="false" customHeight="false" outlineLevel="0" collapsed="false">
      <c r="A275" s="27"/>
      <c r="B275" s="29"/>
      <c r="C275" s="27"/>
      <c r="D275" s="30"/>
      <c r="E275" s="27"/>
    </row>
    <row r="276" customFormat="false" ht="15" hidden="false" customHeight="false" outlineLevel="0" collapsed="false">
      <c r="A276" s="27"/>
      <c r="B276" s="29"/>
      <c r="C276" s="27"/>
      <c r="D276" s="30"/>
      <c r="E276" s="27"/>
    </row>
    <row r="277" customFormat="false" ht="15" hidden="false" customHeight="false" outlineLevel="0" collapsed="false">
      <c r="A277" s="27"/>
      <c r="B277" s="29"/>
      <c r="C277" s="27"/>
      <c r="D277" s="30"/>
      <c r="E277" s="27"/>
    </row>
    <row r="278" customFormat="false" ht="15" hidden="false" customHeight="false" outlineLevel="0" collapsed="false">
      <c r="A278" s="27"/>
      <c r="B278" s="29"/>
      <c r="C278" s="27"/>
      <c r="D278" s="30"/>
      <c r="E278" s="27"/>
    </row>
    <row r="279" customFormat="false" ht="15" hidden="false" customHeight="false" outlineLevel="0" collapsed="false">
      <c r="A279" s="27"/>
      <c r="B279" s="29"/>
      <c r="C279" s="27"/>
      <c r="D279" s="30"/>
      <c r="E279" s="27"/>
    </row>
    <row r="280" customFormat="false" ht="15" hidden="false" customHeight="false" outlineLevel="0" collapsed="false">
      <c r="A280" s="27"/>
      <c r="B280" s="29"/>
      <c r="C280" s="27"/>
      <c r="D280" s="30"/>
      <c r="E280" s="27"/>
    </row>
    <row r="281" customFormat="false" ht="15" hidden="false" customHeight="false" outlineLevel="0" collapsed="false">
      <c r="A281" s="27"/>
      <c r="B281" s="29"/>
      <c r="C281" s="27"/>
      <c r="D281" s="30"/>
      <c r="E281" s="27"/>
    </row>
    <row r="282" customFormat="false" ht="15" hidden="false" customHeight="false" outlineLevel="0" collapsed="false">
      <c r="A282" s="27"/>
      <c r="B282" s="29"/>
      <c r="C282" s="27"/>
      <c r="D282" s="30"/>
      <c r="E282" s="27"/>
    </row>
    <row r="283" customFormat="false" ht="15" hidden="false" customHeight="false" outlineLevel="0" collapsed="false">
      <c r="A283" s="27"/>
      <c r="B283" s="29"/>
      <c r="C283" s="27"/>
      <c r="D283" s="30"/>
      <c r="E283" s="27"/>
    </row>
    <row r="284" customFormat="false" ht="15" hidden="false" customHeight="false" outlineLevel="0" collapsed="false">
      <c r="A284" s="27"/>
      <c r="B284" s="29"/>
      <c r="C284" s="27"/>
      <c r="D284" s="30"/>
      <c r="E284" s="27"/>
    </row>
    <row r="285" customFormat="false" ht="15" hidden="false" customHeight="false" outlineLevel="0" collapsed="false">
      <c r="A285" s="27"/>
      <c r="B285" s="29"/>
      <c r="C285" s="27"/>
      <c r="D285" s="30"/>
      <c r="E285" s="27"/>
    </row>
    <row r="286" customFormat="false" ht="15" hidden="false" customHeight="false" outlineLevel="0" collapsed="false">
      <c r="A286" s="27"/>
      <c r="B286" s="29"/>
      <c r="C286" s="27"/>
      <c r="D286" s="30"/>
      <c r="E286" s="27"/>
    </row>
    <row r="287" customFormat="false" ht="15" hidden="false" customHeight="false" outlineLevel="0" collapsed="false">
      <c r="A287" s="27"/>
      <c r="B287" s="29"/>
      <c r="C287" s="27"/>
      <c r="D287" s="30"/>
      <c r="E287" s="27"/>
    </row>
    <row r="288" customFormat="false" ht="15" hidden="false" customHeight="false" outlineLevel="0" collapsed="false">
      <c r="A288" s="27"/>
      <c r="B288" s="29"/>
      <c r="C288" s="27"/>
      <c r="D288" s="30"/>
      <c r="E288" s="27"/>
    </row>
    <row r="289" customFormat="false" ht="15" hidden="false" customHeight="false" outlineLevel="0" collapsed="false">
      <c r="A289" s="27"/>
      <c r="B289" s="29"/>
      <c r="C289" s="27"/>
      <c r="D289" s="30"/>
      <c r="E289" s="27"/>
    </row>
    <row r="290" customFormat="false" ht="15" hidden="false" customHeight="false" outlineLevel="0" collapsed="false">
      <c r="A290" s="27"/>
      <c r="B290" s="29"/>
      <c r="C290" s="27"/>
      <c r="D290" s="30"/>
      <c r="E290" s="27"/>
    </row>
    <row r="291" customFormat="false" ht="15" hidden="false" customHeight="false" outlineLevel="0" collapsed="false">
      <c r="A291" s="27"/>
      <c r="B291" s="29"/>
      <c r="C291" s="27"/>
      <c r="D291" s="30"/>
      <c r="E291" s="27"/>
    </row>
    <row r="292" customFormat="false" ht="15" hidden="false" customHeight="false" outlineLevel="0" collapsed="false">
      <c r="A292" s="27"/>
      <c r="B292" s="29"/>
      <c r="C292" s="27"/>
      <c r="D292" s="30"/>
      <c r="E292" s="27"/>
    </row>
    <row r="293" customFormat="false" ht="15" hidden="false" customHeight="false" outlineLevel="0" collapsed="false">
      <c r="A293" s="27"/>
      <c r="B293" s="29"/>
      <c r="C293" s="27"/>
      <c r="D293" s="30"/>
      <c r="E293" s="27"/>
    </row>
    <row r="294" customFormat="false" ht="15" hidden="false" customHeight="false" outlineLevel="0" collapsed="false">
      <c r="A294" s="27"/>
      <c r="B294" s="29"/>
      <c r="C294" s="27"/>
      <c r="D294" s="30"/>
      <c r="E294" s="27"/>
    </row>
    <row r="295" customFormat="false" ht="15" hidden="false" customHeight="false" outlineLevel="0" collapsed="false">
      <c r="A295" s="27"/>
      <c r="B295" s="29"/>
      <c r="C295" s="27"/>
      <c r="D295" s="30"/>
      <c r="E295" s="27"/>
    </row>
    <row r="296" customFormat="false" ht="15" hidden="false" customHeight="false" outlineLevel="0" collapsed="false">
      <c r="A296" s="27"/>
      <c r="B296" s="29"/>
      <c r="C296" s="27"/>
      <c r="D296" s="30"/>
      <c r="E296" s="27"/>
    </row>
    <row r="297" customFormat="false" ht="15" hidden="false" customHeight="false" outlineLevel="0" collapsed="false">
      <c r="A297" s="27"/>
      <c r="B297" s="29"/>
      <c r="C297" s="27"/>
      <c r="D297" s="30"/>
      <c r="E297" s="27"/>
    </row>
    <row r="298" customFormat="false" ht="15" hidden="false" customHeight="false" outlineLevel="0" collapsed="false">
      <c r="A298" s="27"/>
      <c r="B298" s="29"/>
      <c r="C298" s="27"/>
      <c r="D298" s="30"/>
      <c r="E298" s="27"/>
    </row>
    <row r="299" customFormat="false" ht="15" hidden="false" customHeight="false" outlineLevel="0" collapsed="false">
      <c r="A299" s="27"/>
      <c r="B299" s="29"/>
      <c r="C299" s="27"/>
      <c r="D299" s="30"/>
      <c r="E299" s="27"/>
    </row>
    <row r="300" customFormat="false" ht="15" hidden="false" customHeight="false" outlineLevel="0" collapsed="false">
      <c r="A300" s="27"/>
      <c r="B300" s="29"/>
      <c r="C300" s="27"/>
      <c r="D300" s="30"/>
      <c r="E300" s="27"/>
    </row>
    <row r="301" customFormat="false" ht="15" hidden="false" customHeight="false" outlineLevel="0" collapsed="false">
      <c r="A301" s="27"/>
      <c r="B301" s="29"/>
      <c r="C301" s="27"/>
      <c r="D301" s="30"/>
      <c r="E301" s="27"/>
    </row>
    <row r="302" customFormat="false" ht="15" hidden="false" customHeight="false" outlineLevel="0" collapsed="false">
      <c r="A302" s="27"/>
      <c r="B302" s="29"/>
      <c r="C302" s="27"/>
      <c r="D302" s="30"/>
      <c r="E302" s="27"/>
    </row>
    <row r="303" customFormat="false" ht="15" hidden="false" customHeight="false" outlineLevel="0" collapsed="false">
      <c r="A303" s="27"/>
      <c r="B303" s="29"/>
      <c r="C303" s="27"/>
      <c r="D303" s="30"/>
      <c r="E303" s="27"/>
    </row>
    <row r="304" customFormat="false" ht="15" hidden="false" customHeight="false" outlineLevel="0" collapsed="false">
      <c r="A304" s="27"/>
      <c r="B304" s="29"/>
      <c r="C304" s="27"/>
      <c r="D304" s="30"/>
      <c r="E304" s="27"/>
    </row>
    <row r="305" customFormat="false" ht="15" hidden="false" customHeight="false" outlineLevel="0" collapsed="false">
      <c r="A305" s="27"/>
      <c r="B305" s="29"/>
      <c r="C305" s="27"/>
      <c r="D305" s="30"/>
      <c r="E305" s="27"/>
    </row>
    <row r="306" customFormat="false" ht="15" hidden="false" customHeight="false" outlineLevel="0" collapsed="false">
      <c r="A306" s="27"/>
      <c r="B306" s="29"/>
      <c r="C306" s="27"/>
      <c r="D306" s="30"/>
      <c r="E306" s="27"/>
    </row>
    <row r="307" customFormat="false" ht="15" hidden="false" customHeight="false" outlineLevel="0" collapsed="false">
      <c r="A307" s="27"/>
      <c r="B307" s="29"/>
      <c r="C307" s="27"/>
      <c r="D307" s="30"/>
      <c r="E307" s="27"/>
    </row>
    <row r="308" customFormat="false" ht="15" hidden="false" customHeight="false" outlineLevel="0" collapsed="false">
      <c r="A308" s="27"/>
      <c r="B308" s="29"/>
      <c r="C308" s="27"/>
      <c r="D308" s="30"/>
      <c r="E308" s="27"/>
    </row>
    <row r="309" customFormat="false" ht="15" hidden="false" customHeight="false" outlineLevel="0" collapsed="false">
      <c r="A309" s="27"/>
      <c r="B309" s="29"/>
      <c r="C309" s="27"/>
      <c r="D309" s="30"/>
      <c r="E309" s="27"/>
    </row>
    <row r="310" customFormat="false" ht="15" hidden="false" customHeight="false" outlineLevel="0" collapsed="false">
      <c r="A310" s="27"/>
      <c r="B310" s="29"/>
      <c r="C310" s="27"/>
      <c r="D310" s="30"/>
      <c r="E310" s="27"/>
    </row>
    <row r="311" customFormat="false" ht="15" hidden="false" customHeight="false" outlineLevel="0" collapsed="false">
      <c r="A311" s="27"/>
      <c r="B311" s="29"/>
      <c r="C311" s="27"/>
      <c r="D311" s="30"/>
      <c r="E311" s="27"/>
    </row>
    <row r="312" customFormat="false" ht="15" hidden="false" customHeight="false" outlineLevel="0" collapsed="false">
      <c r="A312" s="27"/>
      <c r="B312" s="29"/>
      <c r="C312" s="27"/>
      <c r="D312" s="30"/>
      <c r="E312" s="27"/>
    </row>
    <row r="313" customFormat="false" ht="15" hidden="false" customHeight="false" outlineLevel="0" collapsed="false">
      <c r="A313" s="27"/>
      <c r="B313" s="29"/>
      <c r="C313" s="27"/>
      <c r="D313" s="30"/>
      <c r="E313" s="27"/>
    </row>
    <row r="314" customFormat="false" ht="15" hidden="false" customHeight="false" outlineLevel="0" collapsed="false">
      <c r="A314" s="27"/>
      <c r="B314" s="29"/>
      <c r="C314" s="27"/>
      <c r="D314" s="30"/>
      <c r="E314" s="27"/>
    </row>
    <row r="315" customFormat="false" ht="15" hidden="false" customHeight="false" outlineLevel="0" collapsed="false">
      <c r="A315" s="27"/>
      <c r="B315" s="29"/>
      <c r="C315" s="27"/>
      <c r="D315" s="30"/>
      <c r="E315" s="27"/>
    </row>
    <row r="316" customFormat="false" ht="15" hidden="false" customHeight="false" outlineLevel="0" collapsed="false">
      <c r="A316" s="27"/>
      <c r="B316" s="29"/>
      <c r="C316" s="27"/>
      <c r="D316" s="30"/>
      <c r="E316" s="27"/>
    </row>
    <row r="317" customFormat="false" ht="15" hidden="false" customHeight="false" outlineLevel="0" collapsed="false">
      <c r="A317" s="27"/>
      <c r="B317" s="29"/>
      <c r="C317" s="27"/>
      <c r="D317" s="30"/>
      <c r="E317" s="27"/>
    </row>
    <row r="318" customFormat="false" ht="15" hidden="false" customHeight="false" outlineLevel="0" collapsed="false">
      <c r="A318" s="27"/>
      <c r="B318" s="29"/>
      <c r="C318" s="27"/>
      <c r="D318" s="30"/>
      <c r="E318" s="27"/>
    </row>
    <row r="319" customFormat="false" ht="15" hidden="false" customHeight="false" outlineLevel="0" collapsed="false">
      <c r="A319" s="27"/>
      <c r="B319" s="29"/>
      <c r="C319" s="27"/>
      <c r="D319" s="30"/>
      <c r="E319" s="27"/>
    </row>
    <row r="320" customFormat="false" ht="15" hidden="false" customHeight="false" outlineLevel="0" collapsed="false">
      <c r="A320" s="27"/>
      <c r="B320" s="29"/>
      <c r="C320" s="27"/>
      <c r="D320" s="30"/>
      <c r="E320" s="27"/>
    </row>
    <row r="321" customFormat="false" ht="15" hidden="false" customHeight="false" outlineLevel="0" collapsed="false">
      <c r="A321" s="27"/>
      <c r="B321" s="29"/>
      <c r="C321" s="27"/>
      <c r="D321" s="30"/>
      <c r="E321" s="27"/>
    </row>
    <row r="322" customFormat="false" ht="15" hidden="false" customHeight="false" outlineLevel="0" collapsed="false">
      <c r="A322" s="27"/>
      <c r="B322" s="29"/>
      <c r="C322" s="27"/>
      <c r="D322" s="30"/>
      <c r="E322" s="27"/>
    </row>
    <row r="323" customFormat="false" ht="15" hidden="false" customHeight="false" outlineLevel="0" collapsed="false">
      <c r="A323" s="27"/>
      <c r="B323" s="29"/>
      <c r="C323" s="27"/>
      <c r="D323" s="30"/>
      <c r="E323" s="27"/>
    </row>
    <row r="324" customFormat="false" ht="15" hidden="false" customHeight="false" outlineLevel="0" collapsed="false">
      <c r="A324" s="27"/>
      <c r="B324" s="29"/>
      <c r="C324" s="27"/>
      <c r="D324" s="30"/>
      <c r="E324" s="27"/>
    </row>
    <row r="325" customFormat="false" ht="15" hidden="false" customHeight="false" outlineLevel="0" collapsed="false">
      <c r="A325" s="27"/>
      <c r="B325" s="29"/>
      <c r="C325" s="27"/>
      <c r="D325" s="30"/>
      <c r="E325" s="27"/>
    </row>
    <row r="326" customFormat="false" ht="15" hidden="false" customHeight="false" outlineLevel="0" collapsed="false">
      <c r="A326" s="27"/>
      <c r="B326" s="29"/>
      <c r="C326" s="27"/>
      <c r="D326" s="30"/>
      <c r="E326" s="27"/>
    </row>
    <row r="327" customFormat="false" ht="15" hidden="false" customHeight="false" outlineLevel="0" collapsed="false">
      <c r="A327" s="27"/>
      <c r="B327" s="29"/>
      <c r="C327" s="27"/>
      <c r="D327" s="30"/>
      <c r="E327" s="27"/>
    </row>
    <row r="328" customFormat="false" ht="15" hidden="false" customHeight="false" outlineLevel="0" collapsed="false">
      <c r="A328" s="27"/>
      <c r="B328" s="29"/>
      <c r="C328" s="27"/>
      <c r="D328" s="30"/>
      <c r="E328" s="27"/>
    </row>
    <row r="329" customFormat="false" ht="15" hidden="false" customHeight="false" outlineLevel="0" collapsed="false">
      <c r="A329" s="27"/>
      <c r="B329" s="29"/>
      <c r="C329" s="27"/>
      <c r="D329" s="30"/>
      <c r="E329" s="27"/>
    </row>
    <row r="330" customFormat="false" ht="15" hidden="false" customHeight="false" outlineLevel="0" collapsed="false">
      <c r="A330" s="27"/>
      <c r="B330" s="29"/>
      <c r="C330" s="27"/>
      <c r="D330" s="30"/>
      <c r="E330" s="27"/>
    </row>
    <row r="331" customFormat="false" ht="15" hidden="false" customHeight="false" outlineLevel="0" collapsed="false">
      <c r="A331" s="27"/>
      <c r="B331" s="29"/>
      <c r="C331" s="27"/>
      <c r="D331" s="30"/>
      <c r="E331" s="27"/>
    </row>
    <row r="332" customFormat="false" ht="15" hidden="false" customHeight="false" outlineLevel="0" collapsed="false">
      <c r="A332" s="27"/>
      <c r="B332" s="29"/>
      <c r="C332" s="27"/>
      <c r="D332" s="30"/>
      <c r="E332" s="27"/>
    </row>
    <row r="333" customFormat="false" ht="15" hidden="false" customHeight="false" outlineLevel="0" collapsed="false">
      <c r="A333" s="27"/>
      <c r="B333" s="29"/>
      <c r="C333" s="27"/>
      <c r="D333" s="30"/>
      <c r="E333" s="27"/>
    </row>
    <row r="334" customFormat="false" ht="15" hidden="false" customHeight="false" outlineLevel="0" collapsed="false">
      <c r="A334" s="27"/>
      <c r="B334" s="29"/>
      <c r="C334" s="27"/>
      <c r="D334" s="30"/>
      <c r="E334" s="27"/>
    </row>
    <row r="335" customFormat="false" ht="15" hidden="false" customHeight="false" outlineLevel="0" collapsed="false">
      <c r="A335" s="27"/>
      <c r="B335" s="29"/>
      <c r="C335" s="27"/>
      <c r="D335" s="30"/>
      <c r="E335" s="27"/>
    </row>
    <row r="336" customFormat="false" ht="15" hidden="false" customHeight="false" outlineLevel="0" collapsed="false">
      <c r="A336" s="27"/>
      <c r="B336" s="29"/>
      <c r="C336" s="27"/>
      <c r="D336" s="30"/>
      <c r="E336" s="27"/>
    </row>
    <row r="337" customFormat="false" ht="15" hidden="false" customHeight="false" outlineLevel="0" collapsed="false">
      <c r="A337" s="27"/>
      <c r="B337" s="29"/>
      <c r="C337" s="27"/>
      <c r="D337" s="30"/>
      <c r="E337" s="27"/>
    </row>
    <row r="338" customFormat="false" ht="15" hidden="false" customHeight="false" outlineLevel="0" collapsed="false">
      <c r="A338" s="27"/>
      <c r="B338" s="29"/>
      <c r="C338" s="27"/>
      <c r="D338" s="30"/>
      <c r="E338" s="27"/>
    </row>
    <row r="339" customFormat="false" ht="15" hidden="false" customHeight="false" outlineLevel="0" collapsed="false">
      <c r="A339" s="27"/>
      <c r="B339" s="29"/>
      <c r="C339" s="27"/>
      <c r="D339" s="30"/>
      <c r="E339" s="27"/>
    </row>
    <row r="340" customFormat="false" ht="15" hidden="false" customHeight="false" outlineLevel="0" collapsed="false">
      <c r="A340" s="27"/>
      <c r="B340" s="29"/>
      <c r="C340" s="27"/>
      <c r="D340" s="30"/>
      <c r="E340" s="27"/>
    </row>
    <row r="341" customFormat="false" ht="15" hidden="false" customHeight="false" outlineLevel="0" collapsed="false">
      <c r="A341" s="27"/>
      <c r="B341" s="29"/>
      <c r="C341" s="27"/>
      <c r="D341" s="30"/>
      <c r="E341" s="27"/>
    </row>
    <row r="342" customFormat="false" ht="15" hidden="false" customHeight="false" outlineLevel="0" collapsed="false">
      <c r="A342" s="27"/>
      <c r="B342" s="29"/>
      <c r="C342" s="27"/>
      <c r="D342" s="30"/>
      <c r="E342" s="27"/>
    </row>
    <row r="343" customFormat="false" ht="15" hidden="false" customHeight="false" outlineLevel="0" collapsed="false">
      <c r="A343" s="27"/>
      <c r="B343" s="29"/>
      <c r="C343" s="27"/>
      <c r="D343" s="30"/>
      <c r="E343" s="27"/>
    </row>
    <row r="344" customFormat="false" ht="15" hidden="false" customHeight="false" outlineLevel="0" collapsed="false">
      <c r="A344" s="27"/>
      <c r="B344" s="29"/>
      <c r="C344" s="27"/>
      <c r="D344" s="30"/>
      <c r="E344" s="27"/>
    </row>
    <row r="345" customFormat="false" ht="15" hidden="false" customHeight="false" outlineLevel="0" collapsed="false">
      <c r="A345" s="27"/>
      <c r="B345" s="29"/>
      <c r="C345" s="27"/>
      <c r="D345" s="30"/>
      <c r="E345" s="27"/>
    </row>
    <row r="346" customFormat="false" ht="15" hidden="false" customHeight="false" outlineLevel="0" collapsed="false">
      <c r="A346" s="27"/>
      <c r="B346" s="29"/>
      <c r="C346" s="27"/>
      <c r="D346" s="30"/>
      <c r="E346" s="27"/>
    </row>
    <row r="347" customFormat="false" ht="15" hidden="false" customHeight="false" outlineLevel="0" collapsed="false">
      <c r="A347" s="27"/>
      <c r="B347" s="29"/>
      <c r="C347" s="27"/>
      <c r="D347" s="30"/>
      <c r="E347" s="27"/>
    </row>
    <row r="348" customFormat="false" ht="15" hidden="false" customHeight="false" outlineLevel="0" collapsed="false">
      <c r="A348" s="27"/>
      <c r="B348" s="29"/>
      <c r="C348" s="27"/>
      <c r="D348" s="30"/>
      <c r="E348" s="27"/>
    </row>
    <row r="349" customFormat="false" ht="15" hidden="false" customHeight="false" outlineLevel="0" collapsed="false">
      <c r="A349" s="27"/>
      <c r="B349" s="29"/>
      <c r="C349" s="27"/>
      <c r="D349" s="30"/>
      <c r="E349" s="27"/>
    </row>
    <row r="350" customFormat="false" ht="15" hidden="false" customHeight="false" outlineLevel="0" collapsed="false">
      <c r="A350" s="27"/>
      <c r="B350" s="29"/>
      <c r="C350" s="27"/>
      <c r="D350" s="30"/>
      <c r="E350" s="27"/>
    </row>
    <row r="351" customFormat="false" ht="15" hidden="false" customHeight="false" outlineLevel="0" collapsed="false">
      <c r="A351" s="27"/>
      <c r="B351" s="29"/>
      <c r="C351" s="27"/>
      <c r="D351" s="30"/>
      <c r="E351" s="27"/>
    </row>
    <row r="352" customFormat="false" ht="15" hidden="false" customHeight="false" outlineLevel="0" collapsed="false">
      <c r="A352" s="27"/>
      <c r="B352" s="29"/>
      <c r="C352" s="27"/>
      <c r="D352" s="30"/>
      <c r="E352" s="27"/>
    </row>
    <row r="353" customFormat="false" ht="15" hidden="false" customHeight="false" outlineLevel="0" collapsed="false">
      <c r="A353" s="27"/>
      <c r="B353" s="29"/>
      <c r="C353" s="27"/>
      <c r="D353" s="30"/>
      <c r="E353" s="27"/>
    </row>
    <row r="354" customFormat="false" ht="15" hidden="false" customHeight="false" outlineLevel="0" collapsed="false">
      <c r="A354" s="27"/>
      <c r="B354" s="29"/>
      <c r="C354" s="27"/>
      <c r="D354" s="30"/>
      <c r="E354" s="27"/>
    </row>
    <row r="355" customFormat="false" ht="15" hidden="false" customHeight="false" outlineLevel="0" collapsed="false">
      <c r="A355" s="27"/>
      <c r="B355" s="29"/>
      <c r="C355" s="27"/>
      <c r="D355" s="30"/>
      <c r="E355" s="27"/>
    </row>
    <row r="356" customFormat="false" ht="15" hidden="false" customHeight="false" outlineLevel="0" collapsed="false">
      <c r="A356" s="27"/>
      <c r="B356" s="29"/>
      <c r="C356" s="27"/>
      <c r="D356" s="30"/>
      <c r="E356" s="27"/>
    </row>
    <row r="357" customFormat="false" ht="15" hidden="false" customHeight="false" outlineLevel="0" collapsed="false">
      <c r="A357" s="27"/>
      <c r="B357" s="29"/>
      <c r="C357" s="27"/>
      <c r="D357" s="30"/>
      <c r="E357" s="27"/>
    </row>
    <row r="358" customFormat="false" ht="15" hidden="false" customHeight="false" outlineLevel="0" collapsed="false">
      <c r="A358" s="27"/>
      <c r="B358" s="29"/>
      <c r="C358" s="27"/>
      <c r="D358" s="30"/>
      <c r="E358" s="27"/>
    </row>
    <row r="359" customFormat="false" ht="15" hidden="false" customHeight="false" outlineLevel="0" collapsed="false">
      <c r="A359" s="27"/>
      <c r="B359" s="29"/>
      <c r="C359" s="27"/>
      <c r="D359" s="30"/>
      <c r="E359" s="27"/>
    </row>
    <row r="360" customFormat="false" ht="15" hidden="false" customHeight="false" outlineLevel="0" collapsed="false">
      <c r="A360" s="27"/>
      <c r="B360" s="29"/>
      <c r="C360" s="27"/>
      <c r="D360" s="30"/>
      <c r="E360" s="27"/>
    </row>
    <row r="361" customFormat="false" ht="15" hidden="false" customHeight="false" outlineLevel="0" collapsed="false">
      <c r="A361" s="27"/>
      <c r="B361" s="29"/>
      <c r="C361" s="27"/>
      <c r="D361" s="30"/>
      <c r="E361" s="27"/>
    </row>
    <row r="362" customFormat="false" ht="15" hidden="false" customHeight="false" outlineLevel="0" collapsed="false">
      <c r="A362" s="27"/>
      <c r="B362" s="29"/>
      <c r="C362" s="27"/>
      <c r="D362" s="30"/>
      <c r="E362" s="27"/>
    </row>
    <row r="363" customFormat="false" ht="15" hidden="false" customHeight="false" outlineLevel="0" collapsed="false">
      <c r="A363" s="27"/>
      <c r="B363" s="29"/>
      <c r="C363" s="27"/>
      <c r="D363" s="30"/>
      <c r="E363" s="27"/>
    </row>
    <row r="364" customFormat="false" ht="15" hidden="false" customHeight="false" outlineLevel="0" collapsed="false">
      <c r="A364" s="27"/>
      <c r="B364" s="29"/>
      <c r="C364" s="27"/>
      <c r="D364" s="30"/>
      <c r="E364" s="27"/>
    </row>
    <row r="365" customFormat="false" ht="15" hidden="false" customHeight="false" outlineLevel="0" collapsed="false">
      <c r="A365" s="27"/>
      <c r="B365" s="29"/>
      <c r="C365" s="27"/>
      <c r="D365" s="30"/>
      <c r="E365" s="27"/>
    </row>
    <row r="366" customFormat="false" ht="15" hidden="false" customHeight="false" outlineLevel="0" collapsed="false">
      <c r="A366" s="27"/>
      <c r="B366" s="29"/>
      <c r="C366" s="27"/>
      <c r="D366" s="30"/>
      <c r="E366" s="27"/>
    </row>
    <row r="367" customFormat="false" ht="15" hidden="false" customHeight="false" outlineLevel="0" collapsed="false">
      <c r="A367" s="27"/>
      <c r="B367" s="29"/>
      <c r="C367" s="27"/>
      <c r="D367" s="30"/>
      <c r="E367" s="27"/>
    </row>
    <row r="368" customFormat="false" ht="15" hidden="false" customHeight="false" outlineLevel="0" collapsed="false">
      <c r="A368" s="27"/>
      <c r="B368" s="29"/>
      <c r="C368" s="27"/>
      <c r="D368" s="30"/>
      <c r="E368" s="27"/>
    </row>
    <row r="369" customFormat="false" ht="15" hidden="false" customHeight="false" outlineLevel="0" collapsed="false">
      <c r="A369" s="27"/>
      <c r="B369" s="29"/>
      <c r="C369" s="27"/>
      <c r="D369" s="30"/>
      <c r="E369" s="27"/>
    </row>
    <row r="370" customFormat="false" ht="15" hidden="false" customHeight="false" outlineLevel="0" collapsed="false">
      <c r="A370" s="27"/>
      <c r="B370" s="29"/>
      <c r="C370" s="27"/>
      <c r="D370" s="30"/>
      <c r="E370" s="27"/>
    </row>
    <row r="371" customFormat="false" ht="15" hidden="false" customHeight="false" outlineLevel="0" collapsed="false">
      <c r="A371" s="27"/>
      <c r="B371" s="29"/>
      <c r="C371" s="27"/>
      <c r="D371" s="30"/>
      <c r="E371" s="27"/>
    </row>
    <row r="372" customFormat="false" ht="15" hidden="false" customHeight="false" outlineLevel="0" collapsed="false">
      <c r="A372" s="27"/>
      <c r="B372" s="29"/>
      <c r="C372" s="27"/>
      <c r="D372" s="30"/>
      <c r="E372" s="27"/>
    </row>
    <row r="373" customFormat="false" ht="15" hidden="false" customHeight="false" outlineLevel="0" collapsed="false">
      <c r="A373" s="27"/>
      <c r="B373" s="29"/>
      <c r="C373" s="27"/>
      <c r="D373" s="30"/>
      <c r="E373" s="27"/>
    </row>
    <row r="374" customFormat="false" ht="15" hidden="false" customHeight="false" outlineLevel="0" collapsed="false">
      <c r="A374" s="27"/>
      <c r="B374" s="29"/>
      <c r="C374" s="27"/>
      <c r="D374" s="30"/>
      <c r="E374" s="27"/>
    </row>
    <row r="375" customFormat="false" ht="15" hidden="false" customHeight="false" outlineLevel="0" collapsed="false">
      <c r="A375" s="27"/>
      <c r="B375" s="29"/>
      <c r="C375" s="27"/>
      <c r="D375" s="30"/>
      <c r="E375" s="27"/>
    </row>
    <row r="376" customFormat="false" ht="15" hidden="false" customHeight="false" outlineLevel="0" collapsed="false">
      <c r="A376" s="27"/>
      <c r="B376" s="29"/>
      <c r="C376" s="27"/>
      <c r="D376" s="30"/>
      <c r="E376" s="27"/>
    </row>
    <row r="377" customFormat="false" ht="15" hidden="false" customHeight="false" outlineLevel="0" collapsed="false">
      <c r="A377" s="27"/>
      <c r="B377" s="29"/>
      <c r="C377" s="27"/>
      <c r="D377" s="30"/>
      <c r="E377" s="27"/>
    </row>
    <row r="378" customFormat="false" ht="15" hidden="false" customHeight="false" outlineLevel="0" collapsed="false">
      <c r="A378" s="27"/>
      <c r="B378" s="29"/>
      <c r="C378" s="27"/>
      <c r="D378" s="30"/>
      <c r="E378" s="27"/>
    </row>
    <row r="379" customFormat="false" ht="15" hidden="false" customHeight="false" outlineLevel="0" collapsed="false">
      <c r="A379" s="27"/>
      <c r="B379" s="29"/>
      <c r="C379" s="27"/>
      <c r="D379" s="30"/>
      <c r="E379" s="27"/>
    </row>
    <row r="380" customFormat="false" ht="15" hidden="false" customHeight="false" outlineLevel="0" collapsed="false">
      <c r="A380" s="27"/>
      <c r="B380" s="29"/>
      <c r="C380" s="27"/>
      <c r="D380" s="30"/>
      <c r="E380" s="27"/>
    </row>
    <row r="381" customFormat="false" ht="15" hidden="false" customHeight="false" outlineLevel="0" collapsed="false">
      <c r="A381" s="27"/>
      <c r="B381" s="29"/>
      <c r="C381" s="27"/>
      <c r="D381" s="30"/>
      <c r="E381" s="27"/>
    </row>
    <row r="382" customFormat="false" ht="15" hidden="false" customHeight="false" outlineLevel="0" collapsed="false">
      <c r="A382" s="27"/>
      <c r="B382" s="29"/>
      <c r="C382" s="27"/>
      <c r="D382" s="30"/>
      <c r="E382" s="27"/>
    </row>
    <row r="383" customFormat="false" ht="15" hidden="false" customHeight="false" outlineLevel="0" collapsed="false">
      <c r="A383" s="27"/>
      <c r="B383" s="29"/>
      <c r="C383" s="27"/>
      <c r="D383" s="30"/>
      <c r="E383" s="27"/>
    </row>
    <row r="384" customFormat="false" ht="15" hidden="false" customHeight="false" outlineLevel="0" collapsed="false">
      <c r="A384" s="27"/>
      <c r="B384" s="29"/>
      <c r="C384" s="27"/>
      <c r="D384" s="30"/>
      <c r="E384" s="27"/>
    </row>
    <row r="385" customFormat="false" ht="15" hidden="false" customHeight="false" outlineLevel="0" collapsed="false">
      <c r="A385" s="27"/>
      <c r="B385" s="29"/>
      <c r="C385" s="27"/>
      <c r="D385" s="30"/>
      <c r="E385" s="27"/>
    </row>
    <row r="386" customFormat="false" ht="15" hidden="false" customHeight="false" outlineLevel="0" collapsed="false">
      <c r="A386" s="27"/>
      <c r="B386" s="29"/>
      <c r="C386" s="27"/>
      <c r="D386" s="30"/>
      <c r="E386" s="27"/>
    </row>
    <row r="387" customFormat="false" ht="15" hidden="false" customHeight="false" outlineLevel="0" collapsed="false">
      <c r="A387" s="27"/>
      <c r="B387" s="29"/>
      <c r="C387" s="27"/>
      <c r="D387" s="30"/>
      <c r="E387" s="27"/>
    </row>
    <row r="388" customFormat="false" ht="15" hidden="false" customHeight="false" outlineLevel="0" collapsed="false">
      <c r="A388" s="27"/>
      <c r="B388" s="29"/>
      <c r="C388" s="27"/>
      <c r="D388" s="30"/>
      <c r="E388" s="27"/>
    </row>
    <row r="389" customFormat="false" ht="15" hidden="false" customHeight="false" outlineLevel="0" collapsed="false">
      <c r="A389" s="27"/>
      <c r="B389" s="29"/>
      <c r="C389" s="27"/>
      <c r="D389" s="30"/>
      <c r="E389" s="27"/>
    </row>
    <row r="390" customFormat="false" ht="15" hidden="false" customHeight="false" outlineLevel="0" collapsed="false">
      <c r="A390" s="27"/>
      <c r="B390" s="29"/>
      <c r="C390" s="27"/>
      <c r="D390" s="30"/>
      <c r="E390" s="27"/>
    </row>
    <row r="391" customFormat="false" ht="15" hidden="false" customHeight="false" outlineLevel="0" collapsed="false">
      <c r="A391" s="27"/>
      <c r="B391" s="29"/>
      <c r="C391" s="27"/>
      <c r="D391" s="30"/>
      <c r="E391" s="27"/>
    </row>
    <row r="392" customFormat="false" ht="15" hidden="false" customHeight="false" outlineLevel="0" collapsed="false">
      <c r="A392" s="27"/>
      <c r="B392" s="29"/>
      <c r="C392" s="27"/>
      <c r="D392" s="30"/>
      <c r="E392" s="27"/>
    </row>
    <row r="393" customFormat="false" ht="15" hidden="false" customHeight="false" outlineLevel="0" collapsed="false">
      <c r="A393" s="27"/>
      <c r="B393" s="29"/>
      <c r="C393" s="27"/>
      <c r="D393" s="30"/>
      <c r="E393" s="27"/>
    </row>
    <row r="394" customFormat="false" ht="15" hidden="false" customHeight="false" outlineLevel="0" collapsed="false">
      <c r="A394" s="27"/>
      <c r="B394" s="29"/>
      <c r="C394" s="27"/>
      <c r="D394" s="30"/>
      <c r="E394" s="27"/>
    </row>
    <row r="395" customFormat="false" ht="15" hidden="false" customHeight="false" outlineLevel="0" collapsed="false">
      <c r="A395" s="27"/>
      <c r="B395" s="29"/>
      <c r="C395" s="27"/>
      <c r="D395" s="30"/>
      <c r="E395" s="27"/>
    </row>
    <row r="396" customFormat="false" ht="15" hidden="false" customHeight="false" outlineLevel="0" collapsed="false">
      <c r="A396" s="27"/>
      <c r="B396" s="29"/>
      <c r="C396" s="27"/>
      <c r="D396" s="30"/>
      <c r="E396" s="27"/>
    </row>
    <row r="397" customFormat="false" ht="15" hidden="false" customHeight="false" outlineLevel="0" collapsed="false">
      <c r="A397" s="27"/>
      <c r="B397" s="29"/>
      <c r="C397" s="27"/>
      <c r="D397" s="30"/>
      <c r="E397" s="27"/>
    </row>
    <row r="398" customFormat="false" ht="15" hidden="false" customHeight="false" outlineLevel="0" collapsed="false">
      <c r="A398" s="27"/>
      <c r="B398" s="29"/>
      <c r="C398" s="27"/>
      <c r="D398" s="30"/>
      <c r="E398" s="27"/>
    </row>
    <row r="399" customFormat="false" ht="15" hidden="false" customHeight="false" outlineLevel="0" collapsed="false">
      <c r="A399" s="27"/>
      <c r="B399" s="29"/>
      <c r="C399" s="27"/>
      <c r="D399" s="30"/>
      <c r="E399" s="27"/>
    </row>
    <row r="400" customFormat="false" ht="15" hidden="false" customHeight="false" outlineLevel="0" collapsed="false">
      <c r="A400" s="27"/>
      <c r="B400" s="29"/>
      <c r="C400" s="27"/>
      <c r="D400" s="30"/>
      <c r="E400" s="27"/>
    </row>
    <row r="401" customFormat="false" ht="15" hidden="false" customHeight="false" outlineLevel="0" collapsed="false">
      <c r="A401" s="27"/>
      <c r="B401" s="29"/>
      <c r="C401" s="27"/>
      <c r="D401" s="30"/>
      <c r="E401" s="27"/>
    </row>
    <row r="402" customFormat="false" ht="15" hidden="false" customHeight="false" outlineLevel="0" collapsed="false">
      <c r="A402" s="27"/>
      <c r="B402" s="29"/>
      <c r="C402" s="27"/>
      <c r="D402" s="30"/>
      <c r="E402" s="27"/>
    </row>
    <row r="403" customFormat="false" ht="15" hidden="false" customHeight="false" outlineLevel="0" collapsed="false">
      <c r="A403" s="27"/>
      <c r="B403" s="29"/>
      <c r="C403" s="27"/>
      <c r="D403" s="30"/>
      <c r="E403" s="27"/>
    </row>
    <row r="404" customFormat="false" ht="15" hidden="false" customHeight="false" outlineLevel="0" collapsed="false">
      <c r="A404" s="27"/>
      <c r="B404" s="29"/>
      <c r="C404" s="27"/>
      <c r="D404" s="30"/>
      <c r="E404" s="27"/>
    </row>
    <row r="405" customFormat="false" ht="15" hidden="false" customHeight="false" outlineLevel="0" collapsed="false">
      <c r="A405" s="27"/>
      <c r="B405" s="29"/>
      <c r="C405" s="27"/>
      <c r="D405" s="30"/>
      <c r="E405" s="27"/>
    </row>
    <row r="406" customFormat="false" ht="15" hidden="false" customHeight="false" outlineLevel="0" collapsed="false">
      <c r="A406" s="27"/>
      <c r="B406" s="29"/>
      <c r="C406" s="27"/>
      <c r="D406" s="30"/>
      <c r="E406" s="27"/>
    </row>
    <row r="407" customFormat="false" ht="15" hidden="false" customHeight="false" outlineLevel="0" collapsed="false">
      <c r="A407" s="27"/>
      <c r="B407" s="29"/>
      <c r="C407" s="27"/>
      <c r="D407" s="30"/>
      <c r="E407" s="27"/>
    </row>
    <row r="408" customFormat="false" ht="15" hidden="false" customHeight="false" outlineLevel="0" collapsed="false">
      <c r="A408" s="27"/>
      <c r="B408" s="29"/>
      <c r="C408" s="27"/>
      <c r="D408" s="30"/>
      <c r="E408" s="27"/>
    </row>
    <row r="409" customFormat="false" ht="15" hidden="false" customHeight="false" outlineLevel="0" collapsed="false">
      <c r="A409" s="27"/>
      <c r="B409" s="29"/>
      <c r="C409" s="27"/>
      <c r="D409" s="30"/>
      <c r="E409" s="27"/>
    </row>
    <row r="410" customFormat="false" ht="15" hidden="false" customHeight="false" outlineLevel="0" collapsed="false">
      <c r="A410" s="27"/>
      <c r="B410" s="29"/>
      <c r="C410" s="27"/>
      <c r="D410" s="30"/>
      <c r="E410" s="27"/>
    </row>
    <row r="411" customFormat="false" ht="15" hidden="false" customHeight="false" outlineLevel="0" collapsed="false">
      <c r="A411" s="27"/>
      <c r="B411" s="29"/>
      <c r="C411" s="27"/>
      <c r="D411" s="30"/>
      <c r="E411" s="27"/>
    </row>
    <row r="412" customFormat="false" ht="15" hidden="false" customHeight="false" outlineLevel="0" collapsed="false">
      <c r="A412" s="27"/>
      <c r="B412" s="29"/>
      <c r="C412" s="27"/>
      <c r="D412" s="30"/>
      <c r="E412" s="27"/>
    </row>
    <row r="413" customFormat="false" ht="15" hidden="false" customHeight="false" outlineLevel="0" collapsed="false">
      <c r="A413" s="27"/>
      <c r="B413" s="29"/>
      <c r="C413" s="27"/>
      <c r="D413" s="30"/>
      <c r="E413" s="27"/>
    </row>
    <row r="414" customFormat="false" ht="15" hidden="false" customHeight="false" outlineLevel="0" collapsed="false">
      <c r="A414" s="27"/>
      <c r="B414" s="29"/>
      <c r="C414" s="27"/>
      <c r="D414" s="30"/>
      <c r="E414" s="27"/>
    </row>
    <row r="415" customFormat="false" ht="15" hidden="false" customHeight="false" outlineLevel="0" collapsed="false">
      <c r="A415" s="27"/>
      <c r="B415" s="29"/>
      <c r="C415" s="27"/>
      <c r="D415" s="30"/>
      <c r="E415" s="27"/>
    </row>
    <row r="416" customFormat="false" ht="15" hidden="false" customHeight="false" outlineLevel="0" collapsed="false">
      <c r="A416" s="27"/>
      <c r="B416" s="29"/>
      <c r="C416" s="27"/>
      <c r="D416" s="30"/>
      <c r="E416" s="27"/>
    </row>
    <row r="417" customFormat="false" ht="15" hidden="false" customHeight="false" outlineLevel="0" collapsed="false">
      <c r="A417" s="27"/>
      <c r="B417" s="29"/>
      <c r="C417" s="27"/>
      <c r="D417" s="30"/>
      <c r="E417" s="27"/>
    </row>
    <row r="418" customFormat="false" ht="15" hidden="false" customHeight="false" outlineLevel="0" collapsed="false">
      <c r="A418" s="27"/>
      <c r="B418" s="29"/>
      <c r="C418" s="27"/>
      <c r="D418" s="30"/>
      <c r="E418" s="27"/>
    </row>
    <row r="419" customFormat="false" ht="15" hidden="false" customHeight="false" outlineLevel="0" collapsed="false">
      <c r="A419" s="27"/>
      <c r="B419" s="29"/>
      <c r="C419" s="27"/>
      <c r="D419" s="30"/>
      <c r="E419" s="27"/>
    </row>
    <row r="420" customFormat="false" ht="15" hidden="false" customHeight="false" outlineLevel="0" collapsed="false">
      <c r="A420" s="27"/>
      <c r="B420" s="29"/>
      <c r="C420" s="27"/>
      <c r="D420" s="30"/>
      <c r="E420" s="27"/>
    </row>
    <row r="421" customFormat="false" ht="15" hidden="false" customHeight="false" outlineLevel="0" collapsed="false">
      <c r="A421" s="27"/>
      <c r="B421" s="29"/>
      <c r="C421" s="27"/>
      <c r="D421" s="30"/>
      <c r="E421" s="27"/>
    </row>
    <row r="422" customFormat="false" ht="15" hidden="false" customHeight="false" outlineLevel="0" collapsed="false">
      <c r="A422" s="27"/>
      <c r="B422" s="29"/>
      <c r="C422" s="27"/>
      <c r="D422" s="30"/>
      <c r="E422" s="27"/>
    </row>
    <row r="423" customFormat="false" ht="15" hidden="false" customHeight="false" outlineLevel="0" collapsed="false">
      <c r="A423" s="27"/>
      <c r="B423" s="29"/>
      <c r="C423" s="27"/>
      <c r="D423" s="30"/>
      <c r="E423" s="27"/>
    </row>
    <row r="424" customFormat="false" ht="15" hidden="false" customHeight="false" outlineLevel="0" collapsed="false">
      <c r="A424" s="27"/>
      <c r="B424" s="29"/>
      <c r="C424" s="27"/>
      <c r="D424" s="30"/>
      <c r="E424" s="27"/>
    </row>
    <row r="425" customFormat="false" ht="15" hidden="false" customHeight="false" outlineLevel="0" collapsed="false">
      <c r="A425" s="27"/>
      <c r="B425" s="29"/>
      <c r="C425" s="27"/>
      <c r="D425" s="30"/>
      <c r="E425" s="27"/>
    </row>
    <row r="426" customFormat="false" ht="15" hidden="false" customHeight="false" outlineLevel="0" collapsed="false">
      <c r="A426" s="27"/>
      <c r="B426" s="29"/>
      <c r="C426" s="27"/>
      <c r="D426" s="30"/>
      <c r="E426" s="27"/>
    </row>
    <row r="427" customFormat="false" ht="15" hidden="false" customHeight="false" outlineLevel="0" collapsed="false">
      <c r="A427" s="27"/>
      <c r="B427" s="29"/>
      <c r="C427" s="27"/>
      <c r="D427" s="30"/>
      <c r="E427" s="27"/>
    </row>
    <row r="428" customFormat="false" ht="15" hidden="false" customHeight="false" outlineLevel="0" collapsed="false">
      <c r="A428" s="27"/>
      <c r="B428" s="29"/>
      <c r="C428" s="27"/>
      <c r="D428" s="30"/>
      <c r="E428" s="27"/>
    </row>
    <row r="429" customFormat="false" ht="15" hidden="false" customHeight="false" outlineLevel="0" collapsed="false">
      <c r="A429" s="27"/>
      <c r="B429" s="29"/>
      <c r="C429" s="27"/>
      <c r="D429" s="30"/>
      <c r="E429" s="27"/>
    </row>
    <row r="430" customFormat="false" ht="15" hidden="false" customHeight="false" outlineLevel="0" collapsed="false">
      <c r="A430" s="27"/>
      <c r="B430" s="29"/>
      <c r="C430" s="27"/>
      <c r="D430" s="30"/>
      <c r="E430" s="27"/>
    </row>
    <row r="431" customFormat="false" ht="15" hidden="false" customHeight="false" outlineLevel="0" collapsed="false">
      <c r="A431" s="27"/>
      <c r="B431" s="29"/>
      <c r="C431" s="27"/>
      <c r="D431" s="30"/>
      <c r="E431" s="27"/>
    </row>
    <row r="432" customFormat="false" ht="15" hidden="false" customHeight="false" outlineLevel="0" collapsed="false">
      <c r="A432" s="27"/>
      <c r="B432" s="29"/>
      <c r="C432" s="27"/>
      <c r="D432" s="30"/>
      <c r="E432" s="27"/>
    </row>
    <row r="433" customFormat="false" ht="15" hidden="false" customHeight="false" outlineLevel="0" collapsed="false">
      <c r="A433" s="27"/>
      <c r="B433" s="29"/>
      <c r="C433" s="27"/>
      <c r="D433" s="30"/>
      <c r="E433" s="27"/>
    </row>
    <row r="434" customFormat="false" ht="15" hidden="false" customHeight="false" outlineLevel="0" collapsed="false">
      <c r="A434" s="27"/>
      <c r="B434" s="29"/>
      <c r="C434" s="27"/>
      <c r="D434" s="30"/>
      <c r="E434" s="27"/>
    </row>
    <row r="435" customFormat="false" ht="15" hidden="false" customHeight="false" outlineLevel="0" collapsed="false">
      <c r="A435" s="27"/>
      <c r="B435" s="29"/>
      <c r="C435" s="27"/>
      <c r="D435" s="30"/>
      <c r="E435" s="27"/>
    </row>
    <row r="436" customFormat="false" ht="15" hidden="false" customHeight="false" outlineLevel="0" collapsed="false">
      <c r="A436" s="27"/>
      <c r="B436" s="29"/>
      <c r="C436" s="27"/>
      <c r="D436" s="30"/>
      <c r="E436" s="27"/>
    </row>
    <row r="437" customFormat="false" ht="15" hidden="false" customHeight="false" outlineLevel="0" collapsed="false">
      <c r="A437" s="27"/>
      <c r="B437" s="29"/>
      <c r="C437" s="27"/>
      <c r="D437" s="30"/>
      <c r="E437" s="27"/>
    </row>
    <row r="438" customFormat="false" ht="15" hidden="false" customHeight="false" outlineLevel="0" collapsed="false">
      <c r="A438" s="27"/>
      <c r="B438" s="29"/>
      <c r="C438" s="27"/>
      <c r="D438" s="30"/>
      <c r="E438" s="27"/>
    </row>
    <row r="439" customFormat="false" ht="15" hidden="false" customHeight="false" outlineLevel="0" collapsed="false">
      <c r="A439" s="27"/>
      <c r="B439" s="29"/>
      <c r="C439" s="27"/>
      <c r="D439" s="30"/>
      <c r="E439" s="27"/>
    </row>
    <row r="440" customFormat="false" ht="15" hidden="false" customHeight="false" outlineLevel="0" collapsed="false">
      <c r="A440" s="27"/>
      <c r="B440" s="29"/>
      <c r="C440" s="27"/>
      <c r="D440" s="30"/>
      <c r="E440" s="27"/>
    </row>
    <row r="441" customFormat="false" ht="15" hidden="false" customHeight="false" outlineLevel="0" collapsed="false">
      <c r="A441" s="27"/>
      <c r="B441" s="29"/>
      <c r="C441" s="27"/>
      <c r="D441" s="30"/>
      <c r="E441" s="27"/>
    </row>
    <row r="442" customFormat="false" ht="15" hidden="false" customHeight="false" outlineLevel="0" collapsed="false">
      <c r="A442" s="27"/>
      <c r="B442" s="29"/>
      <c r="C442" s="27"/>
      <c r="D442" s="30"/>
      <c r="E442" s="27"/>
    </row>
    <row r="443" customFormat="false" ht="15" hidden="false" customHeight="false" outlineLevel="0" collapsed="false">
      <c r="A443" s="27"/>
      <c r="B443" s="29"/>
      <c r="C443" s="27"/>
      <c r="D443" s="30"/>
      <c r="E443" s="27"/>
    </row>
    <row r="444" customFormat="false" ht="15" hidden="false" customHeight="false" outlineLevel="0" collapsed="false">
      <c r="A444" s="27"/>
      <c r="B444" s="29"/>
      <c r="C444" s="27"/>
      <c r="D444" s="30"/>
      <c r="E444" s="27"/>
    </row>
    <row r="445" customFormat="false" ht="15" hidden="false" customHeight="false" outlineLevel="0" collapsed="false">
      <c r="A445" s="27"/>
      <c r="B445" s="29"/>
      <c r="C445" s="27"/>
      <c r="D445" s="30"/>
      <c r="E445" s="27"/>
    </row>
    <row r="446" customFormat="false" ht="15" hidden="false" customHeight="false" outlineLevel="0" collapsed="false">
      <c r="A446" s="27"/>
      <c r="B446" s="29"/>
      <c r="C446" s="27"/>
      <c r="D446" s="30"/>
      <c r="E446" s="27"/>
    </row>
    <row r="447" customFormat="false" ht="15" hidden="false" customHeight="false" outlineLevel="0" collapsed="false">
      <c r="A447" s="27"/>
      <c r="B447" s="29"/>
      <c r="C447" s="27"/>
      <c r="D447" s="30"/>
      <c r="E447" s="27"/>
    </row>
    <row r="448" customFormat="false" ht="15" hidden="false" customHeight="false" outlineLevel="0" collapsed="false">
      <c r="A448" s="27"/>
      <c r="B448" s="29"/>
      <c r="C448" s="27"/>
      <c r="D448" s="30"/>
      <c r="E448" s="27"/>
    </row>
    <row r="449" customFormat="false" ht="15" hidden="false" customHeight="false" outlineLevel="0" collapsed="false">
      <c r="A449" s="27"/>
      <c r="B449" s="29"/>
      <c r="C449" s="27"/>
      <c r="D449" s="30"/>
      <c r="E449" s="27"/>
    </row>
    <row r="450" customFormat="false" ht="15" hidden="false" customHeight="false" outlineLevel="0" collapsed="false">
      <c r="A450" s="27"/>
      <c r="B450" s="29"/>
      <c r="C450" s="27"/>
      <c r="D450" s="30"/>
      <c r="E450" s="27"/>
    </row>
    <row r="451" customFormat="false" ht="15" hidden="false" customHeight="false" outlineLevel="0" collapsed="false">
      <c r="A451" s="27"/>
      <c r="B451" s="29"/>
      <c r="C451" s="27"/>
      <c r="D451" s="30"/>
      <c r="E451" s="27"/>
    </row>
    <row r="452" customFormat="false" ht="15" hidden="false" customHeight="false" outlineLevel="0" collapsed="false">
      <c r="A452" s="27"/>
      <c r="B452" s="29"/>
      <c r="C452" s="27"/>
      <c r="D452" s="30"/>
      <c r="E452" s="27"/>
    </row>
    <row r="453" customFormat="false" ht="15" hidden="false" customHeight="false" outlineLevel="0" collapsed="false">
      <c r="A453" s="27"/>
      <c r="B453" s="29"/>
      <c r="C453" s="27"/>
      <c r="D453" s="30"/>
      <c r="E453" s="27"/>
    </row>
    <row r="454" customFormat="false" ht="15" hidden="false" customHeight="false" outlineLevel="0" collapsed="false">
      <c r="A454" s="27"/>
      <c r="B454" s="29"/>
      <c r="C454" s="27"/>
      <c r="D454" s="30"/>
      <c r="E454" s="27"/>
    </row>
    <row r="455" customFormat="false" ht="15" hidden="false" customHeight="false" outlineLevel="0" collapsed="false">
      <c r="A455" s="27"/>
      <c r="B455" s="29"/>
      <c r="C455" s="27"/>
      <c r="D455" s="30"/>
      <c r="E455" s="27"/>
    </row>
    <row r="456" customFormat="false" ht="15" hidden="false" customHeight="false" outlineLevel="0" collapsed="false">
      <c r="A456" s="27"/>
      <c r="B456" s="29"/>
      <c r="C456" s="27"/>
      <c r="D456" s="30"/>
      <c r="E456" s="27"/>
    </row>
    <row r="457" customFormat="false" ht="15" hidden="false" customHeight="false" outlineLevel="0" collapsed="false">
      <c r="A457" s="27"/>
      <c r="B457" s="29"/>
      <c r="C457" s="27"/>
      <c r="D457" s="30"/>
      <c r="E457" s="27"/>
    </row>
    <row r="458" customFormat="false" ht="15" hidden="false" customHeight="false" outlineLevel="0" collapsed="false">
      <c r="A458" s="27"/>
      <c r="B458" s="29"/>
      <c r="C458" s="27"/>
      <c r="D458" s="30"/>
      <c r="E458" s="27"/>
    </row>
    <row r="459" customFormat="false" ht="15" hidden="false" customHeight="false" outlineLevel="0" collapsed="false">
      <c r="A459" s="27"/>
      <c r="B459" s="29"/>
      <c r="C459" s="27"/>
      <c r="D459" s="30"/>
      <c r="E459" s="27"/>
    </row>
    <row r="460" customFormat="false" ht="15" hidden="false" customHeight="false" outlineLevel="0" collapsed="false">
      <c r="A460" s="27"/>
      <c r="B460" s="29"/>
      <c r="C460" s="27"/>
      <c r="D460" s="30"/>
      <c r="E460" s="27"/>
    </row>
    <row r="461" customFormat="false" ht="15" hidden="false" customHeight="false" outlineLevel="0" collapsed="false">
      <c r="A461" s="27"/>
      <c r="B461" s="29"/>
      <c r="C461" s="27"/>
      <c r="D461" s="30"/>
      <c r="E461" s="27"/>
    </row>
    <row r="462" customFormat="false" ht="15" hidden="false" customHeight="false" outlineLevel="0" collapsed="false">
      <c r="A462" s="27"/>
      <c r="B462" s="29"/>
      <c r="C462" s="27"/>
      <c r="D462" s="30"/>
      <c r="E462" s="27"/>
    </row>
    <row r="463" customFormat="false" ht="15" hidden="false" customHeight="false" outlineLevel="0" collapsed="false">
      <c r="A463" s="27"/>
      <c r="B463" s="29"/>
      <c r="C463" s="27"/>
      <c r="D463" s="30"/>
      <c r="E463" s="27"/>
    </row>
    <row r="464" customFormat="false" ht="15" hidden="false" customHeight="false" outlineLevel="0" collapsed="false">
      <c r="A464" s="27"/>
      <c r="B464" s="29"/>
      <c r="C464" s="27"/>
      <c r="D464" s="30"/>
      <c r="E464" s="27"/>
    </row>
    <row r="465" customFormat="false" ht="15" hidden="false" customHeight="false" outlineLevel="0" collapsed="false">
      <c r="A465" s="27"/>
      <c r="B465" s="29"/>
      <c r="C465" s="27"/>
      <c r="D465" s="30"/>
      <c r="E465" s="27"/>
    </row>
    <row r="466" customFormat="false" ht="15" hidden="false" customHeight="false" outlineLevel="0" collapsed="false">
      <c r="A466" s="27"/>
      <c r="B466" s="29"/>
      <c r="C466" s="27"/>
      <c r="D466" s="30"/>
      <c r="E466" s="27"/>
    </row>
    <row r="467" customFormat="false" ht="15" hidden="false" customHeight="false" outlineLevel="0" collapsed="false">
      <c r="A467" s="27"/>
      <c r="B467" s="29"/>
      <c r="C467" s="27"/>
      <c r="D467" s="30"/>
      <c r="E467" s="27"/>
    </row>
    <row r="468" customFormat="false" ht="15" hidden="false" customHeight="false" outlineLevel="0" collapsed="false">
      <c r="A468" s="27"/>
      <c r="B468" s="29"/>
      <c r="C468" s="27"/>
      <c r="D468" s="30"/>
      <c r="E468" s="27"/>
    </row>
    <row r="469" customFormat="false" ht="15" hidden="false" customHeight="false" outlineLevel="0" collapsed="false">
      <c r="A469" s="27"/>
      <c r="B469" s="29"/>
      <c r="C469" s="27"/>
      <c r="D469" s="30"/>
      <c r="E469" s="27"/>
    </row>
    <row r="470" customFormat="false" ht="15" hidden="false" customHeight="false" outlineLevel="0" collapsed="false">
      <c r="A470" s="27"/>
      <c r="B470" s="29"/>
      <c r="C470" s="27"/>
      <c r="D470" s="30"/>
      <c r="E470" s="27"/>
    </row>
    <row r="471" customFormat="false" ht="15" hidden="false" customHeight="false" outlineLevel="0" collapsed="false">
      <c r="A471" s="27"/>
      <c r="B471" s="29"/>
      <c r="C471" s="27"/>
      <c r="D471" s="30"/>
      <c r="E471" s="27"/>
    </row>
    <row r="472" customFormat="false" ht="15" hidden="false" customHeight="false" outlineLevel="0" collapsed="false">
      <c r="A472" s="27"/>
      <c r="B472" s="29"/>
      <c r="C472" s="27"/>
      <c r="D472" s="30"/>
      <c r="E472" s="27"/>
    </row>
    <row r="473" customFormat="false" ht="15" hidden="false" customHeight="false" outlineLevel="0" collapsed="false">
      <c r="A473" s="27"/>
      <c r="B473" s="29"/>
      <c r="C473" s="27"/>
      <c r="D473" s="30"/>
      <c r="E473" s="27"/>
    </row>
    <row r="474" customFormat="false" ht="15" hidden="false" customHeight="false" outlineLevel="0" collapsed="false">
      <c r="A474" s="27"/>
      <c r="B474" s="29"/>
      <c r="C474" s="27"/>
      <c r="D474" s="30"/>
      <c r="E474" s="27"/>
    </row>
    <row r="475" customFormat="false" ht="15" hidden="false" customHeight="false" outlineLevel="0" collapsed="false">
      <c r="A475" s="27"/>
      <c r="B475" s="29"/>
      <c r="C475" s="27"/>
      <c r="D475" s="30"/>
      <c r="E475" s="27"/>
    </row>
    <row r="476" customFormat="false" ht="15" hidden="false" customHeight="false" outlineLevel="0" collapsed="false">
      <c r="A476" s="27"/>
      <c r="B476" s="29"/>
      <c r="C476" s="27"/>
      <c r="D476" s="30"/>
      <c r="E476" s="27"/>
    </row>
    <row r="477" customFormat="false" ht="15" hidden="false" customHeight="false" outlineLevel="0" collapsed="false">
      <c r="A477" s="27"/>
      <c r="B477" s="29"/>
      <c r="C477" s="27"/>
      <c r="D477" s="30"/>
      <c r="E477" s="27"/>
    </row>
    <row r="478" customFormat="false" ht="15" hidden="false" customHeight="false" outlineLevel="0" collapsed="false">
      <c r="A478" s="27"/>
      <c r="B478" s="29"/>
      <c r="C478" s="27"/>
      <c r="D478" s="30"/>
      <c r="E478" s="27"/>
    </row>
    <row r="479" customFormat="false" ht="15" hidden="false" customHeight="false" outlineLevel="0" collapsed="false">
      <c r="A479" s="27"/>
      <c r="B479" s="29"/>
      <c r="C479" s="27"/>
      <c r="D479" s="30"/>
      <c r="E479" s="27"/>
    </row>
    <row r="480" customFormat="false" ht="15" hidden="false" customHeight="false" outlineLevel="0" collapsed="false">
      <c r="A480" s="27"/>
      <c r="B480" s="29"/>
      <c r="C480" s="27"/>
      <c r="D480" s="30"/>
      <c r="E480" s="27"/>
    </row>
    <row r="481" customFormat="false" ht="15" hidden="false" customHeight="false" outlineLevel="0" collapsed="false">
      <c r="A481" s="27"/>
      <c r="B481" s="29"/>
      <c r="C481" s="27"/>
      <c r="D481" s="30"/>
      <c r="E481" s="27"/>
    </row>
    <row r="482" customFormat="false" ht="15" hidden="false" customHeight="false" outlineLevel="0" collapsed="false">
      <c r="A482" s="27"/>
      <c r="B482" s="29"/>
      <c r="C482" s="27"/>
      <c r="D482" s="30"/>
      <c r="E482" s="27"/>
    </row>
    <row r="483" customFormat="false" ht="15" hidden="false" customHeight="false" outlineLevel="0" collapsed="false">
      <c r="A483" s="27"/>
      <c r="B483" s="29"/>
      <c r="C483" s="27"/>
      <c r="D483" s="30"/>
      <c r="E483" s="27"/>
    </row>
    <row r="484" customFormat="false" ht="15" hidden="false" customHeight="false" outlineLevel="0" collapsed="false">
      <c r="A484" s="27"/>
      <c r="B484" s="29"/>
      <c r="C484" s="27"/>
      <c r="D484" s="30"/>
      <c r="E484" s="27"/>
    </row>
    <row r="485" customFormat="false" ht="15" hidden="false" customHeight="false" outlineLevel="0" collapsed="false">
      <c r="A485" s="27"/>
      <c r="B485" s="29"/>
      <c r="C485" s="27"/>
      <c r="D485" s="30"/>
      <c r="E485" s="27"/>
    </row>
    <row r="486" customFormat="false" ht="15" hidden="false" customHeight="false" outlineLevel="0" collapsed="false">
      <c r="A486" s="27"/>
      <c r="B486" s="29"/>
      <c r="C486" s="27"/>
      <c r="D486" s="30"/>
      <c r="E486" s="27"/>
    </row>
    <row r="487" customFormat="false" ht="15" hidden="false" customHeight="false" outlineLevel="0" collapsed="false">
      <c r="A487" s="27"/>
      <c r="B487" s="29"/>
      <c r="C487" s="27"/>
      <c r="D487" s="30"/>
      <c r="E487" s="27"/>
    </row>
    <row r="488" customFormat="false" ht="15" hidden="false" customHeight="false" outlineLevel="0" collapsed="false">
      <c r="A488" s="27"/>
      <c r="B488" s="29"/>
      <c r="C488" s="27"/>
      <c r="D488" s="30"/>
      <c r="E488" s="27"/>
    </row>
    <row r="489" customFormat="false" ht="15" hidden="false" customHeight="false" outlineLevel="0" collapsed="false">
      <c r="A489" s="27"/>
      <c r="B489" s="29"/>
      <c r="C489" s="27"/>
      <c r="D489" s="30"/>
      <c r="E489" s="27"/>
    </row>
    <row r="490" customFormat="false" ht="15" hidden="false" customHeight="false" outlineLevel="0" collapsed="false">
      <c r="A490" s="27"/>
      <c r="B490" s="29"/>
      <c r="C490" s="27"/>
      <c r="D490" s="30"/>
      <c r="E490" s="27"/>
    </row>
    <row r="491" customFormat="false" ht="15" hidden="false" customHeight="false" outlineLevel="0" collapsed="false">
      <c r="A491" s="27"/>
      <c r="B491" s="29"/>
      <c r="C491" s="27"/>
      <c r="D491" s="30"/>
      <c r="E491" s="27"/>
    </row>
    <row r="492" customFormat="false" ht="15" hidden="false" customHeight="false" outlineLevel="0" collapsed="false">
      <c r="A492" s="27"/>
      <c r="B492" s="29"/>
      <c r="C492" s="27"/>
      <c r="D492" s="30"/>
      <c r="E492" s="27"/>
    </row>
    <row r="493" customFormat="false" ht="15" hidden="false" customHeight="false" outlineLevel="0" collapsed="false">
      <c r="A493" s="27"/>
      <c r="B493" s="29"/>
      <c r="C493" s="27"/>
      <c r="D493" s="30"/>
      <c r="E493" s="27"/>
    </row>
    <row r="494" customFormat="false" ht="15" hidden="false" customHeight="false" outlineLevel="0" collapsed="false">
      <c r="A494" s="27"/>
      <c r="B494" s="29"/>
      <c r="C494" s="27"/>
      <c r="D494" s="30"/>
      <c r="E494" s="27"/>
    </row>
    <row r="495" customFormat="false" ht="15" hidden="false" customHeight="false" outlineLevel="0" collapsed="false">
      <c r="A495" s="27"/>
      <c r="B495" s="29"/>
      <c r="C495" s="27"/>
      <c r="D495" s="30"/>
      <c r="E495" s="27"/>
    </row>
    <row r="496" customFormat="false" ht="15" hidden="false" customHeight="false" outlineLevel="0" collapsed="false">
      <c r="A496" s="27"/>
      <c r="B496" s="29"/>
      <c r="C496" s="27"/>
      <c r="D496" s="30"/>
      <c r="E496" s="27"/>
    </row>
    <row r="497" customFormat="false" ht="15" hidden="false" customHeight="false" outlineLevel="0" collapsed="false">
      <c r="A497" s="27"/>
      <c r="B497" s="29"/>
      <c r="C497" s="27"/>
      <c r="D497" s="30"/>
      <c r="E497" s="27"/>
    </row>
    <row r="498" customFormat="false" ht="15" hidden="false" customHeight="false" outlineLevel="0" collapsed="false">
      <c r="A498" s="27"/>
      <c r="B498" s="29"/>
      <c r="C498" s="27"/>
      <c r="D498" s="30"/>
      <c r="E498" s="27"/>
    </row>
    <row r="499" customFormat="false" ht="15" hidden="false" customHeight="false" outlineLevel="0" collapsed="false">
      <c r="A499" s="27"/>
      <c r="B499" s="29"/>
      <c r="C499" s="27"/>
      <c r="D499" s="30"/>
      <c r="E499" s="27"/>
    </row>
    <row r="500" customFormat="false" ht="15" hidden="false" customHeight="false" outlineLevel="0" collapsed="false">
      <c r="A500" s="27"/>
      <c r="B500" s="29"/>
      <c r="C500" s="27"/>
      <c r="D500" s="30"/>
      <c r="E500" s="27"/>
    </row>
    <row r="501" customFormat="false" ht="15" hidden="false" customHeight="false" outlineLevel="0" collapsed="false">
      <c r="A501" s="27"/>
      <c r="B501" s="29"/>
      <c r="C501" s="27"/>
      <c r="D501" s="30"/>
      <c r="E501" s="27"/>
    </row>
    <row r="502" customFormat="false" ht="15" hidden="false" customHeight="false" outlineLevel="0" collapsed="false">
      <c r="A502" s="27"/>
      <c r="B502" s="29"/>
      <c r="C502" s="27"/>
      <c r="D502" s="30"/>
      <c r="E502" s="27"/>
    </row>
  </sheetData>
  <mergeCells count="1">
    <mergeCell ref="A1:E1"/>
  </mergeCells>
  <dataValidations count="1">
    <dataValidation allowBlank="true" error="Choose a value from the list." errorStyle="stop" errorTitle="Not in the list" operator="between" showDropDown="false" showErrorMessage="false" showInputMessage="false" sqref="E3:E502" type="list">
      <formula1>L_YesNo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C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</cols>
  <sheetData>
    <row r="1" customFormat="false" ht="30" hidden="false" customHeight="true" outlineLevel="0" collapsed="false">
      <c r="A1" s="25" t="s">
        <v>144</v>
      </c>
      <c r="B1" s="25"/>
      <c r="C1" s="25"/>
    </row>
    <row r="2" customFormat="false" ht="31.5" hidden="false" customHeight="true" outlineLevel="0" collapsed="false">
      <c r="A2" s="26" t="s">
        <v>145</v>
      </c>
      <c r="B2" s="26" t="s">
        <v>146</v>
      </c>
      <c r="C2" s="26" t="s">
        <v>121</v>
      </c>
    </row>
    <row r="3" customFormat="false" ht="15" hidden="false" customHeight="false" outlineLevel="0" collapsed="false">
      <c r="A3" s="27" t="s">
        <v>147</v>
      </c>
      <c r="B3" s="27" t="s">
        <v>148</v>
      </c>
      <c r="C3" s="27" t="s">
        <v>126</v>
      </c>
    </row>
    <row r="4" customFormat="false" ht="15" hidden="false" customHeight="false" outlineLevel="0" collapsed="false">
      <c r="A4" s="27" t="s">
        <v>149</v>
      </c>
      <c r="B4" s="27" t="s">
        <v>148</v>
      </c>
      <c r="C4" s="27" t="s">
        <v>126</v>
      </c>
    </row>
    <row r="5" customFormat="false" ht="15" hidden="false" customHeight="false" outlineLevel="0" collapsed="false">
      <c r="A5" s="27"/>
      <c r="B5" s="27"/>
      <c r="C5" s="27"/>
    </row>
    <row r="6" customFormat="false" ht="15" hidden="false" customHeight="false" outlineLevel="0" collapsed="false">
      <c r="A6" s="27"/>
      <c r="B6" s="27"/>
      <c r="C6" s="27"/>
    </row>
    <row r="7" customFormat="false" ht="15" hidden="false" customHeight="false" outlineLevel="0" collapsed="false">
      <c r="A7" s="27"/>
      <c r="B7" s="27"/>
      <c r="C7" s="27"/>
    </row>
    <row r="8" customFormat="false" ht="15" hidden="false" customHeight="false" outlineLevel="0" collapsed="false">
      <c r="A8" s="27"/>
      <c r="B8" s="27"/>
      <c r="C8" s="27"/>
    </row>
    <row r="9" customFormat="false" ht="15" hidden="false" customHeight="false" outlineLevel="0" collapsed="false">
      <c r="A9" s="27"/>
      <c r="B9" s="27"/>
      <c r="C9" s="27"/>
    </row>
    <row r="10" customFormat="false" ht="15" hidden="false" customHeight="false" outlineLevel="0" collapsed="false">
      <c r="A10" s="27"/>
      <c r="B10" s="27"/>
      <c r="C10" s="27"/>
    </row>
    <row r="11" customFormat="false" ht="15" hidden="false" customHeight="false" outlineLevel="0" collapsed="false">
      <c r="A11" s="27"/>
      <c r="B11" s="27"/>
      <c r="C11" s="27"/>
    </row>
    <row r="12" customFormat="false" ht="15" hidden="false" customHeight="false" outlineLevel="0" collapsed="false">
      <c r="A12" s="27"/>
      <c r="B12" s="27"/>
      <c r="C12" s="27"/>
    </row>
    <row r="13" customFormat="false" ht="15" hidden="false" customHeight="false" outlineLevel="0" collapsed="false">
      <c r="A13" s="27"/>
      <c r="B13" s="27"/>
      <c r="C13" s="27"/>
    </row>
    <row r="14" customFormat="false" ht="15" hidden="false" customHeight="false" outlineLevel="0" collapsed="false">
      <c r="A14" s="27"/>
      <c r="B14" s="27"/>
      <c r="C14" s="27"/>
    </row>
    <row r="15" customFormat="false" ht="15" hidden="false" customHeight="false" outlineLevel="0" collapsed="false">
      <c r="A15" s="27"/>
      <c r="B15" s="27"/>
      <c r="C15" s="27"/>
    </row>
    <row r="16" customFormat="false" ht="15" hidden="false" customHeight="false" outlineLevel="0" collapsed="false">
      <c r="A16" s="27"/>
      <c r="B16" s="27"/>
      <c r="C16" s="27"/>
    </row>
    <row r="17" customFormat="false" ht="15" hidden="false" customHeight="false" outlineLevel="0" collapsed="false">
      <c r="A17" s="27"/>
      <c r="B17" s="27"/>
      <c r="C17" s="27"/>
    </row>
    <row r="18" customFormat="false" ht="15" hidden="false" customHeight="false" outlineLevel="0" collapsed="false">
      <c r="A18" s="27"/>
      <c r="B18" s="27"/>
      <c r="C18" s="27"/>
    </row>
    <row r="19" customFormat="false" ht="15" hidden="false" customHeight="false" outlineLevel="0" collapsed="false">
      <c r="A19" s="27"/>
      <c r="B19" s="27"/>
      <c r="C19" s="27"/>
    </row>
    <row r="20" customFormat="false" ht="15" hidden="false" customHeight="false" outlineLevel="0" collapsed="false">
      <c r="A20" s="27"/>
      <c r="B20" s="27"/>
      <c r="C20" s="27"/>
    </row>
    <row r="21" customFormat="false" ht="15" hidden="false" customHeight="false" outlineLevel="0" collapsed="false">
      <c r="A21" s="27"/>
      <c r="B21" s="27"/>
      <c r="C21" s="27"/>
    </row>
    <row r="22" customFormat="false" ht="15" hidden="false" customHeight="false" outlineLevel="0" collapsed="false">
      <c r="A22" s="27"/>
      <c r="B22" s="27"/>
      <c r="C22" s="27"/>
    </row>
    <row r="23" customFormat="false" ht="15" hidden="false" customHeight="false" outlineLevel="0" collapsed="false">
      <c r="A23" s="27"/>
      <c r="B23" s="27"/>
      <c r="C23" s="27"/>
    </row>
    <row r="24" customFormat="false" ht="15" hidden="false" customHeight="false" outlineLevel="0" collapsed="false">
      <c r="A24" s="27"/>
      <c r="B24" s="27"/>
      <c r="C24" s="27"/>
    </row>
    <row r="25" customFormat="false" ht="15" hidden="false" customHeight="false" outlineLevel="0" collapsed="false">
      <c r="A25" s="27"/>
      <c r="B25" s="27"/>
      <c r="C25" s="27"/>
    </row>
    <row r="26" customFormat="false" ht="15" hidden="false" customHeight="false" outlineLevel="0" collapsed="false">
      <c r="A26" s="27"/>
      <c r="B26" s="27"/>
      <c r="C26" s="27"/>
    </row>
    <row r="27" customFormat="false" ht="15" hidden="false" customHeight="false" outlineLevel="0" collapsed="false">
      <c r="A27" s="27"/>
      <c r="B27" s="27"/>
      <c r="C27" s="27"/>
    </row>
    <row r="28" customFormat="false" ht="15" hidden="false" customHeight="false" outlineLevel="0" collapsed="false">
      <c r="A28" s="27"/>
      <c r="B28" s="27"/>
      <c r="C28" s="27"/>
    </row>
    <row r="29" customFormat="false" ht="15" hidden="false" customHeight="false" outlineLevel="0" collapsed="false">
      <c r="A29" s="27"/>
      <c r="B29" s="27"/>
      <c r="C29" s="27"/>
    </row>
    <row r="30" customFormat="false" ht="15" hidden="false" customHeight="false" outlineLevel="0" collapsed="false">
      <c r="A30" s="27"/>
      <c r="B30" s="27"/>
      <c r="C30" s="27"/>
    </row>
    <row r="31" customFormat="false" ht="15" hidden="false" customHeight="false" outlineLevel="0" collapsed="false">
      <c r="A31" s="27"/>
      <c r="B31" s="27"/>
      <c r="C31" s="27"/>
    </row>
    <row r="32" customFormat="false" ht="15" hidden="false" customHeight="false" outlineLevel="0" collapsed="false">
      <c r="A32" s="27"/>
      <c r="B32" s="27"/>
      <c r="C32" s="27"/>
    </row>
    <row r="33" customFormat="false" ht="15" hidden="false" customHeight="false" outlineLevel="0" collapsed="false">
      <c r="A33" s="27"/>
      <c r="B33" s="27"/>
      <c r="C33" s="27"/>
    </row>
    <row r="34" customFormat="false" ht="15" hidden="false" customHeight="false" outlineLevel="0" collapsed="false">
      <c r="A34" s="27"/>
      <c r="B34" s="27"/>
      <c r="C34" s="27"/>
    </row>
    <row r="35" customFormat="false" ht="15" hidden="false" customHeight="false" outlineLevel="0" collapsed="false">
      <c r="A35" s="27"/>
      <c r="B35" s="27"/>
      <c r="C35" s="27"/>
    </row>
    <row r="36" customFormat="false" ht="15" hidden="false" customHeight="false" outlineLevel="0" collapsed="false">
      <c r="A36" s="27"/>
      <c r="B36" s="27"/>
      <c r="C36" s="27"/>
    </row>
    <row r="37" customFormat="false" ht="15" hidden="false" customHeight="false" outlineLevel="0" collapsed="false">
      <c r="A37" s="27"/>
      <c r="B37" s="27"/>
      <c r="C37" s="27"/>
    </row>
    <row r="38" customFormat="false" ht="15" hidden="false" customHeight="false" outlineLevel="0" collapsed="false">
      <c r="A38" s="27"/>
      <c r="B38" s="27"/>
      <c r="C38" s="27"/>
    </row>
    <row r="39" customFormat="false" ht="15" hidden="false" customHeight="false" outlineLevel="0" collapsed="false">
      <c r="A39" s="27"/>
      <c r="B39" s="27"/>
      <c r="C39" s="27"/>
    </row>
    <row r="40" customFormat="false" ht="15" hidden="false" customHeight="false" outlineLevel="0" collapsed="false">
      <c r="A40" s="27"/>
      <c r="B40" s="27"/>
      <c r="C40" s="27"/>
    </row>
    <row r="41" customFormat="false" ht="15" hidden="false" customHeight="false" outlineLevel="0" collapsed="false">
      <c r="A41" s="27"/>
      <c r="B41" s="27"/>
      <c r="C41" s="27"/>
    </row>
    <row r="42" customFormat="false" ht="15" hidden="false" customHeight="false" outlineLevel="0" collapsed="false">
      <c r="A42" s="27"/>
      <c r="B42" s="27"/>
      <c r="C42" s="27"/>
    </row>
    <row r="43" customFormat="false" ht="15" hidden="false" customHeight="false" outlineLevel="0" collapsed="false">
      <c r="A43" s="27"/>
      <c r="B43" s="27"/>
      <c r="C43" s="27"/>
    </row>
    <row r="44" customFormat="false" ht="15" hidden="false" customHeight="false" outlineLevel="0" collapsed="false">
      <c r="A44" s="27"/>
      <c r="B44" s="27"/>
      <c r="C44" s="27"/>
    </row>
    <row r="45" customFormat="false" ht="15" hidden="false" customHeight="false" outlineLevel="0" collapsed="false">
      <c r="A45" s="27"/>
      <c r="B45" s="27"/>
      <c r="C45" s="27"/>
    </row>
    <row r="46" customFormat="false" ht="15" hidden="false" customHeight="false" outlineLevel="0" collapsed="false">
      <c r="A46" s="27"/>
      <c r="B46" s="27"/>
      <c r="C46" s="27"/>
    </row>
    <row r="47" customFormat="false" ht="15" hidden="false" customHeight="false" outlineLevel="0" collapsed="false">
      <c r="A47" s="27"/>
      <c r="B47" s="27"/>
      <c r="C47" s="27"/>
    </row>
    <row r="48" customFormat="false" ht="15" hidden="false" customHeight="false" outlineLevel="0" collapsed="false">
      <c r="A48" s="27"/>
      <c r="B48" s="27"/>
      <c r="C48" s="27"/>
    </row>
    <row r="49" customFormat="false" ht="15" hidden="false" customHeight="false" outlineLevel="0" collapsed="false">
      <c r="A49" s="27"/>
      <c r="B49" s="27"/>
      <c r="C49" s="27"/>
    </row>
    <row r="50" customFormat="false" ht="15" hidden="false" customHeight="false" outlineLevel="0" collapsed="false">
      <c r="A50" s="27"/>
      <c r="B50" s="27"/>
      <c r="C50" s="27"/>
    </row>
    <row r="51" customFormat="false" ht="15" hidden="false" customHeight="false" outlineLevel="0" collapsed="false">
      <c r="A51" s="27"/>
      <c r="B51" s="27"/>
      <c r="C51" s="27"/>
    </row>
    <row r="52" customFormat="false" ht="15" hidden="false" customHeight="false" outlineLevel="0" collapsed="false">
      <c r="A52" s="27"/>
      <c r="B52" s="27"/>
      <c r="C52" s="27"/>
    </row>
    <row r="53" customFormat="false" ht="15" hidden="false" customHeight="false" outlineLevel="0" collapsed="false">
      <c r="A53" s="27"/>
      <c r="B53" s="27"/>
      <c r="C53" s="27"/>
    </row>
    <row r="54" customFormat="false" ht="15" hidden="false" customHeight="false" outlineLevel="0" collapsed="false">
      <c r="A54" s="27"/>
      <c r="B54" s="27"/>
      <c r="C54" s="27"/>
    </row>
    <row r="55" customFormat="false" ht="15" hidden="false" customHeight="false" outlineLevel="0" collapsed="false">
      <c r="A55" s="27"/>
      <c r="B55" s="27"/>
      <c r="C55" s="27"/>
    </row>
    <row r="56" customFormat="false" ht="15" hidden="false" customHeight="false" outlineLevel="0" collapsed="false">
      <c r="A56" s="27"/>
      <c r="B56" s="27"/>
      <c r="C56" s="27"/>
    </row>
    <row r="57" customFormat="false" ht="15" hidden="false" customHeight="false" outlineLevel="0" collapsed="false">
      <c r="A57" s="27"/>
      <c r="B57" s="27"/>
      <c r="C57" s="27"/>
    </row>
    <row r="58" customFormat="false" ht="15" hidden="false" customHeight="false" outlineLevel="0" collapsed="false">
      <c r="A58" s="27"/>
      <c r="B58" s="27"/>
      <c r="C58" s="27"/>
    </row>
    <row r="59" customFormat="false" ht="15" hidden="false" customHeight="false" outlineLevel="0" collapsed="false">
      <c r="A59" s="27"/>
      <c r="B59" s="27"/>
      <c r="C59" s="27"/>
    </row>
    <row r="60" customFormat="false" ht="15" hidden="false" customHeight="false" outlineLevel="0" collapsed="false">
      <c r="A60" s="27"/>
      <c r="B60" s="27"/>
      <c r="C60" s="27"/>
    </row>
    <row r="61" customFormat="false" ht="15" hidden="false" customHeight="false" outlineLevel="0" collapsed="false">
      <c r="A61" s="27"/>
      <c r="B61" s="27"/>
      <c r="C61" s="27"/>
    </row>
    <row r="62" customFormat="false" ht="15" hidden="false" customHeight="false" outlineLevel="0" collapsed="false">
      <c r="A62" s="27"/>
      <c r="B62" s="27"/>
      <c r="C62" s="27"/>
    </row>
    <row r="63" customFormat="false" ht="15" hidden="false" customHeight="false" outlineLevel="0" collapsed="false">
      <c r="A63" s="27"/>
      <c r="B63" s="27"/>
      <c r="C63" s="27"/>
    </row>
    <row r="64" customFormat="false" ht="15" hidden="false" customHeight="false" outlineLevel="0" collapsed="false">
      <c r="A64" s="27"/>
      <c r="B64" s="27"/>
      <c r="C64" s="27"/>
    </row>
    <row r="65" customFormat="false" ht="15" hidden="false" customHeight="false" outlineLevel="0" collapsed="false">
      <c r="A65" s="27"/>
      <c r="B65" s="27"/>
      <c r="C65" s="27"/>
    </row>
    <row r="66" customFormat="false" ht="15" hidden="false" customHeight="false" outlineLevel="0" collapsed="false">
      <c r="A66" s="27"/>
      <c r="B66" s="27"/>
      <c r="C66" s="27"/>
    </row>
    <row r="67" customFormat="false" ht="15" hidden="false" customHeight="false" outlineLevel="0" collapsed="false">
      <c r="A67" s="27"/>
      <c r="B67" s="27"/>
      <c r="C67" s="27"/>
    </row>
    <row r="68" customFormat="false" ht="15" hidden="false" customHeight="false" outlineLevel="0" collapsed="false">
      <c r="A68" s="27"/>
      <c r="B68" s="27"/>
      <c r="C68" s="27"/>
    </row>
    <row r="69" customFormat="false" ht="15" hidden="false" customHeight="false" outlineLevel="0" collapsed="false">
      <c r="A69" s="27"/>
      <c r="B69" s="27"/>
      <c r="C69" s="27"/>
    </row>
    <row r="70" customFormat="false" ht="15" hidden="false" customHeight="false" outlineLevel="0" collapsed="false">
      <c r="A70" s="27"/>
      <c r="B70" s="27"/>
      <c r="C70" s="27"/>
    </row>
    <row r="71" customFormat="false" ht="15" hidden="false" customHeight="false" outlineLevel="0" collapsed="false">
      <c r="A71" s="27"/>
      <c r="B71" s="27"/>
      <c r="C71" s="27"/>
    </row>
    <row r="72" customFormat="false" ht="15" hidden="false" customHeight="false" outlineLevel="0" collapsed="false">
      <c r="A72" s="27"/>
      <c r="B72" s="27"/>
      <c r="C72" s="27"/>
    </row>
    <row r="73" customFormat="false" ht="15" hidden="false" customHeight="false" outlineLevel="0" collapsed="false">
      <c r="A73" s="27"/>
      <c r="B73" s="27"/>
      <c r="C73" s="27"/>
    </row>
    <row r="74" customFormat="false" ht="15" hidden="false" customHeight="false" outlineLevel="0" collapsed="false">
      <c r="A74" s="27"/>
      <c r="B74" s="27"/>
      <c r="C74" s="27"/>
    </row>
    <row r="75" customFormat="false" ht="15" hidden="false" customHeight="false" outlineLevel="0" collapsed="false">
      <c r="A75" s="27"/>
      <c r="B75" s="27"/>
      <c r="C75" s="27"/>
    </row>
    <row r="76" customFormat="false" ht="15" hidden="false" customHeight="false" outlineLevel="0" collapsed="false">
      <c r="A76" s="27"/>
      <c r="B76" s="27"/>
      <c r="C76" s="27"/>
    </row>
    <row r="77" customFormat="false" ht="15" hidden="false" customHeight="false" outlineLevel="0" collapsed="false">
      <c r="A77" s="27"/>
      <c r="B77" s="27"/>
      <c r="C77" s="27"/>
    </row>
    <row r="78" customFormat="false" ht="15" hidden="false" customHeight="false" outlineLevel="0" collapsed="false">
      <c r="A78" s="27"/>
      <c r="B78" s="27"/>
      <c r="C78" s="27"/>
    </row>
    <row r="79" customFormat="false" ht="15" hidden="false" customHeight="false" outlineLevel="0" collapsed="false">
      <c r="A79" s="27"/>
      <c r="B79" s="27"/>
      <c r="C79" s="27"/>
    </row>
    <row r="80" customFormat="false" ht="15" hidden="false" customHeight="false" outlineLevel="0" collapsed="false">
      <c r="A80" s="27"/>
      <c r="B80" s="27"/>
      <c r="C80" s="27"/>
    </row>
    <row r="81" customFormat="false" ht="15" hidden="false" customHeight="false" outlineLevel="0" collapsed="false">
      <c r="A81" s="27"/>
      <c r="B81" s="27"/>
      <c r="C81" s="27"/>
    </row>
    <row r="82" customFormat="false" ht="15" hidden="false" customHeight="false" outlineLevel="0" collapsed="false">
      <c r="A82" s="27"/>
      <c r="B82" s="27"/>
      <c r="C82" s="27"/>
    </row>
    <row r="83" customFormat="false" ht="15" hidden="false" customHeight="false" outlineLevel="0" collapsed="false">
      <c r="A83" s="27"/>
      <c r="B83" s="27"/>
      <c r="C83" s="27"/>
    </row>
    <row r="84" customFormat="false" ht="15" hidden="false" customHeight="false" outlineLevel="0" collapsed="false">
      <c r="A84" s="27"/>
      <c r="B84" s="27"/>
      <c r="C84" s="27"/>
    </row>
    <row r="85" customFormat="false" ht="15" hidden="false" customHeight="false" outlineLevel="0" collapsed="false">
      <c r="A85" s="27"/>
      <c r="B85" s="27"/>
      <c r="C85" s="27"/>
    </row>
    <row r="86" customFormat="false" ht="15" hidden="false" customHeight="false" outlineLevel="0" collapsed="false">
      <c r="A86" s="27"/>
      <c r="B86" s="27"/>
      <c r="C86" s="27"/>
    </row>
    <row r="87" customFormat="false" ht="15" hidden="false" customHeight="false" outlineLevel="0" collapsed="false">
      <c r="A87" s="27"/>
      <c r="B87" s="27"/>
      <c r="C87" s="27"/>
    </row>
    <row r="88" customFormat="false" ht="15" hidden="false" customHeight="false" outlineLevel="0" collapsed="false">
      <c r="A88" s="27"/>
      <c r="B88" s="27"/>
      <c r="C88" s="27"/>
    </row>
    <row r="89" customFormat="false" ht="15" hidden="false" customHeight="false" outlineLevel="0" collapsed="false">
      <c r="A89" s="27"/>
      <c r="B89" s="27"/>
      <c r="C89" s="27"/>
    </row>
    <row r="90" customFormat="false" ht="15" hidden="false" customHeight="false" outlineLevel="0" collapsed="false">
      <c r="A90" s="27"/>
      <c r="B90" s="27"/>
      <c r="C90" s="27"/>
    </row>
    <row r="91" customFormat="false" ht="15" hidden="false" customHeight="false" outlineLevel="0" collapsed="false">
      <c r="A91" s="27"/>
      <c r="B91" s="27"/>
      <c r="C91" s="27"/>
    </row>
    <row r="92" customFormat="false" ht="15" hidden="false" customHeight="false" outlineLevel="0" collapsed="false">
      <c r="A92" s="27"/>
      <c r="B92" s="27"/>
      <c r="C92" s="27"/>
    </row>
    <row r="93" customFormat="false" ht="15" hidden="false" customHeight="false" outlineLevel="0" collapsed="false">
      <c r="A93" s="27"/>
      <c r="B93" s="27"/>
      <c r="C93" s="27"/>
    </row>
    <row r="94" customFormat="false" ht="15" hidden="false" customHeight="false" outlineLevel="0" collapsed="false">
      <c r="A94" s="27"/>
      <c r="B94" s="27"/>
      <c r="C94" s="27"/>
    </row>
    <row r="95" customFormat="false" ht="15" hidden="false" customHeight="false" outlineLevel="0" collapsed="false">
      <c r="A95" s="27"/>
      <c r="B95" s="27"/>
      <c r="C95" s="27"/>
    </row>
    <row r="96" customFormat="false" ht="15" hidden="false" customHeight="false" outlineLevel="0" collapsed="false">
      <c r="A96" s="27"/>
      <c r="B96" s="27"/>
      <c r="C96" s="27"/>
    </row>
    <row r="97" customFormat="false" ht="15" hidden="false" customHeight="false" outlineLevel="0" collapsed="false">
      <c r="A97" s="27"/>
      <c r="B97" s="27"/>
      <c r="C97" s="27"/>
    </row>
    <row r="98" customFormat="false" ht="15" hidden="false" customHeight="false" outlineLevel="0" collapsed="false">
      <c r="A98" s="27"/>
      <c r="B98" s="27"/>
      <c r="C98" s="27"/>
    </row>
    <row r="99" customFormat="false" ht="15" hidden="false" customHeight="false" outlineLevel="0" collapsed="false">
      <c r="A99" s="27"/>
      <c r="B99" s="27"/>
      <c r="C99" s="27"/>
    </row>
    <row r="100" customFormat="false" ht="15" hidden="false" customHeight="false" outlineLevel="0" collapsed="false">
      <c r="A100" s="27"/>
      <c r="B100" s="27"/>
      <c r="C100" s="27"/>
    </row>
    <row r="101" customFormat="false" ht="15" hidden="false" customHeight="false" outlineLevel="0" collapsed="false">
      <c r="A101" s="27"/>
      <c r="B101" s="27"/>
      <c r="C101" s="27"/>
    </row>
    <row r="102" customFormat="false" ht="15" hidden="false" customHeight="false" outlineLevel="0" collapsed="false">
      <c r="A102" s="27"/>
      <c r="B102" s="27"/>
      <c r="C102" s="27"/>
    </row>
    <row r="103" customFormat="false" ht="15" hidden="false" customHeight="false" outlineLevel="0" collapsed="false">
      <c r="A103" s="27"/>
      <c r="B103" s="27"/>
      <c r="C103" s="27"/>
    </row>
    <row r="104" customFormat="false" ht="15" hidden="false" customHeight="false" outlineLevel="0" collapsed="false">
      <c r="A104" s="27"/>
      <c r="B104" s="27"/>
      <c r="C104" s="27"/>
    </row>
    <row r="105" customFormat="false" ht="15" hidden="false" customHeight="false" outlineLevel="0" collapsed="false">
      <c r="A105" s="27"/>
      <c r="B105" s="27"/>
      <c r="C105" s="27"/>
    </row>
    <row r="106" customFormat="false" ht="15" hidden="false" customHeight="false" outlineLevel="0" collapsed="false">
      <c r="A106" s="27"/>
      <c r="B106" s="27"/>
      <c r="C106" s="27"/>
    </row>
    <row r="107" customFormat="false" ht="15" hidden="false" customHeight="false" outlineLevel="0" collapsed="false">
      <c r="A107" s="27"/>
      <c r="B107" s="27"/>
      <c r="C107" s="27"/>
    </row>
    <row r="108" customFormat="false" ht="15" hidden="false" customHeight="false" outlineLevel="0" collapsed="false">
      <c r="A108" s="27"/>
      <c r="B108" s="27"/>
      <c r="C108" s="27"/>
    </row>
    <row r="109" customFormat="false" ht="15" hidden="false" customHeight="false" outlineLevel="0" collapsed="false">
      <c r="A109" s="27"/>
      <c r="B109" s="27"/>
      <c r="C109" s="27"/>
    </row>
    <row r="110" customFormat="false" ht="15" hidden="false" customHeight="false" outlineLevel="0" collapsed="false">
      <c r="A110" s="27"/>
      <c r="B110" s="27"/>
      <c r="C110" s="27"/>
    </row>
    <row r="111" customFormat="false" ht="15" hidden="false" customHeight="false" outlineLevel="0" collapsed="false">
      <c r="A111" s="27"/>
      <c r="B111" s="27"/>
      <c r="C111" s="27"/>
    </row>
    <row r="112" customFormat="false" ht="15" hidden="false" customHeight="false" outlineLevel="0" collapsed="false">
      <c r="A112" s="27"/>
      <c r="B112" s="27"/>
      <c r="C112" s="27"/>
    </row>
    <row r="113" customFormat="false" ht="15" hidden="false" customHeight="false" outlineLevel="0" collapsed="false">
      <c r="A113" s="27"/>
      <c r="B113" s="27"/>
      <c r="C113" s="27"/>
    </row>
    <row r="114" customFormat="false" ht="15" hidden="false" customHeight="false" outlineLevel="0" collapsed="false">
      <c r="A114" s="27"/>
      <c r="B114" s="27"/>
      <c r="C114" s="27"/>
    </row>
    <row r="115" customFormat="false" ht="15" hidden="false" customHeight="false" outlineLevel="0" collapsed="false">
      <c r="A115" s="27"/>
      <c r="B115" s="27"/>
      <c r="C115" s="27"/>
    </row>
    <row r="116" customFormat="false" ht="15" hidden="false" customHeight="false" outlineLevel="0" collapsed="false">
      <c r="A116" s="27"/>
      <c r="B116" s="27"/>
      <c r="C116" s="27"/>
    </row>
    <row r="117" customFormat="false" ht="15" hidden="false" customHeight="false" outlineLevel="0" collapsed="false">
      <c r="A117" s="27"/>
      <c r="B117" s="27"/>
      <c r="C117" s="27"/>
    </row>
    <row r="118" customFormat="false" ht="15" hidden="false" customHeight="false" outlineLevel="0" collapsed="false">
      <c r="A118" s="27"/>
      <c r="B118" s="27"/>
      <c r="C118" s="27"/>
    </row>
    <row r="119" customFormat="false" ht="15" hidden="false" customHeight="false" outlineLevel="0" collapsed="false">
      <c r="A119" s="27"/>
      <c r="B119" s="27"/>
      <c r="C119" s="27"/>
    </row>
    <row r="120" customFormat="false" ht="15" hidden="false" customHeight="false" outlineLevel="0" collapsed="false">
      <c r="A120" s="27"/>
      <c r="B120" s="27"/>
      <c r="C120" s="27"/>
    </row>
    <row r="121" customFormat="false" ht="15" hidden="false" customHeight="false" outlineLevel="0" collapsed="false">
      <c r="A121" s="27"/>
      <c r="B121" s="27"/>
      <c r="C121" s="27"/>
    </row>
    <row r="122" customFormat="false" ht="15" hidden="false" customHeight="false" outlineLevel="0" collapsed="false">
      <c r="A122" s="27"/>
      <c r="B122" s="27"/>
      <c r="C122" s="27"/>
    </row>
    <row r="123" customFormat="false" ht="15" hidden="false" customHeight="false" outlineLevel="0" collapsed="false">
      <c r="A123" s="27"/>
      <c r="B123" s="27"/>
      <c r="C123" s="27"/>
    </row>
    <row r="124" customFormat="false" ht="15" hidden="false" customHeight="false" outlineLevel="0" collapsed="false">
      <c r="A124" s="27"/>
      <c r="B124" s="27"/>
      <c r="C124" s="27"/>
    </row>
    <row r="125" customFormat="false" ht="15" hidden="false" customHeight="false" outlineLevel="0" collapsed="false">
      <c r="A125" s="27"/>
      <c r="B125" s="27"/>
      <c r="C125" s="27"/>
    </row>
    <row r="126" customFormat="false" ht="15" hidden="false" customHeight="false" outlineLevel="0" collapsed="false">
      <c r="A126" s="27"/>
      <c r="B126" s="27"/>
      <c r="C126" s="27"/>
    </row>
    <row r="127" customFormat="false" ht="15" hidden="false" customHeight="false" outlineLevel="0" collapsed="false">
      <c r="A127" s="27"/>
      <c r="B127" s="27"/>
      <c r="C127" s="27"/>
    </row>
    <row r="128" customFormat="false" ht="15" hidden="false" customHeight="false" outlineLevel="0" collapsed="false">
      <c r="A128" s="27"/>
      <c r="B128" s="27"/>
      <c r="C128" s="27"/>
    </row>
    <row r="129" customFormat="false" ht="15" hidden="false" customHeight="false" outlineLevel="0" collapsed="false">
      <c r="A129" s="27"/>
      <c r="B129" s="27"/>
      <c r="C129" s="27"/>
    </row>
    <row r="130" customFormat="false" ht="15" hidden="false" customHeight="false" outlineLevel="0" collapsed="false">
      <c r="A130" s="27"/>
      <c r="B130" s="27"/>
      <c r="C130" s="27"/>
    </row>
    <row r="131" customFormat="false" ht="15" hidden="false" customHeight="false" outlineLevel="0" collapsed="false">
      <c r="A131" s="27"/>
      <c r="B131" s="27"/>
      <c r="C131" s="27"/>
    </row>
    <row r="132" customFormat="false" ht="15" hidden="false" customHeight="false" outlineLevel="0" collapsed="false">
      <c r="A132" s="27"/>
      <c r="B132" s="27"/>
      <c r="C132" s="27"/>
    </row>
    <row r="133" customFormat="false" ht="15" hidden="false" customHeight="false" outlineLevel="0" collapsed="false">
      <c r="A133" s="27"/>
      <c r="B133" s="27"/>
      <c r="C133" s="27"/>
    </row>
    <row r="134" customFormat="false" ht="15" hidden="false" customHeight="false" outlineLevel="0" collapsed="false">
      <c r="A134" s="27"/>
      <c r="B134" s="27"/>
      <c r="C134" s="27"/>
    </row>
    <row r="135" customFormat="false" ht="15" hidden="false" customHeight="false" outlineLevel="0" collapsed="false">
      <c r="A135" s="27"/>
      <c r="B135" s="27"/>
      <c r="C135" s="27"/>
    </row>
    <row r="136" customFormat="false" ht="15" hidden="false" customHeight="false" outlineLevel="0" collapsed="false">
      <c r="A136" s="27"/>
      <c r="B136" s="27"/>
      <c r="C136" s="27"/>
    </row>
    <row r="137" customFormat="false" ht="15" hidden="false" customHeight="false" outlineLevel="0" collapsed="false">
      <c r="A137" s="27"/>
      <c r="B137" s="27"/>
      <c r="C137" s="27"/>
    </row>
    <row r="138" customFormat="false" ht="15" hidden="false" customHeight="false" outlineLevel="0" collapsed="false">
      <c r="A138" s="27"/>
      <c r="B138" s="27"/>
      <c r="C138" s="27"/>
    </row>
    <row r="139" customFormat="false" ht="15" hidden="false" customHeight="false" outlineLevel="0" collapsed="false">
      <c r="A139" s="27"/>
      <c r="B139" s="27"/>
      <c r="C139" s="27"/>
    </row>
    <row r="140" customFormat="false" ht="15" hidden="false" customHeight="false" outlineLevel="0" collapsed="false">
      <c r="A140" s="27"/>
      <c r="B140" s="27"/>
      <c r="C140" s="27"/>
    </row>
    <row r="141" customFormat="false" ht="15" hidden="false" customHeight="false" outlineLevel="0" collapsed="false">
      <c r="A141" s="27"/>
      <c r="B141" s="27"/>
      <c r="C141" s="27"/>
    </row>
    <row r="142" customFormat="false" ht="15" hidden="false" customHeight="false" outlineLevel="0" collapsed="false">
      <c r="A142" s="27"/>
      <c r="B142" s="27"/>
      <c r="C142" s="27"/>
    </row>
    <row r="143" customFormat="false" ht="15" hidden="false" customHeight="false" outlineLevel="0" collapsed="false">
      <c r="A143" s="27"/>
      <c r="B143" s="27"/>
      <c r="C143" s="27"/>
    </row>
    <row r="144" customFormat="false" ht="15" hidden="false" customHeight="false" outlineLevel="0" collapsed="false">
      <c r="A144" s="27"/>
      <c r="B144" s="27"/>
      <c r="C144" s="27"/>
    </row>
    <row r="145" customFormat="false" ht="15" hidden="false" customHeight="false" outlineLevel="0" collapsed="false">
      <c r="A145" s="27"/>
      <c r="B145" s="27"/>
      <c r="C145" s="27"/>
    </row>
    <row r="146" customFormat="false" ht="15" hidden="false" customHeight="false" outlineLevel="0" collapsed="false">
      <c r="A146" s="27"/>
      <c r="B146" s="27"/>
      <c r="C146" s="27"/>
    </row>
    <row r="147" customFormat="false" ht="15" hidden="false" customHeight="false" outlineLevel="0" collapsed="false">
      <c r="A147" s="27"/>
      <c r="B147" s="27"/>
      <c r="C147" s="27"/>
    </row>
    <row r="148" customFormat="false" ht="15" hidden="false" customHeight="false" outlineLevel="0" collapsed="false">
      <c r="A148" s="27"/>
      <c r="B148" s="27"/>
      <c r="C148" s="27"/>
    </row>
    <row r="149" customFormat="false" ht="15" hidden="false" customHeight="false" outlineLevel="0" collapsed="false">
      <c r="A149" s="27"/>
      <c r="B149" s="27"/>
      <c r="C149" s="27"/>
    </row>
    <row r="150" customFormat="false" ht="15" hidden="false" customHeight="false" outlineLevel="0" collapsed="false">
      <c r="A150" s="27"/>
      <c r="B150" s="27"/>
      <c r="C150" s="27"/>
    </row>
    <row r="151" customFormat="false" ht="15" hidden="false" customHeight="false" outlineLevel="0" collapsed="false">
      <c r="A151" s="27"/>
      <c r="B151" s="27"/>
      <c r="C151" s="27"/>
    </row>
    <row r="152" customFormat="false" ht="15" hidden="false" customHeight="false" outlineLevel="0" collapsed="false">
      <c r="A152" s="27"/>
      <c r="B152" s="27"/>
      <c r="C152" s="27"/>
    </row>
    <row r="153" customFormat="false" ht="15" hidden="false" customHeight="false" outlineLevel="0" collapsed="false">
      <c r="A153" s="27"/>
      <c r="B153" s="27"/>
      <c r="C153" s="27"/>
    </row>
    <row r="154" customFormat="false" ht="15" hidden="false" customHeight="false" outlineLevel="0" collapsed="false">
      <c r="A154" s="27"/>
      <c r="B154" s="27"/>
      <c r="C154" s="27"/>
    </row>
    <row r="155" customFormat="false" ht="15" hidden="false" customHeight="false" outlineLevel="0" collapsed="false">
      <c r="A155" s="27"/>
      <c r="B155" s="27"/>
      <c r="C155" s="27"/>
    </row>
    <row r="156" customFormat="false" ht="15" hidden="false" customHeight="false" outlineLevel="0" collapsed="false">
      <c r="A156" s="27"/>
      <c r="B156" s="27"/>
      <c r="C156" s="27"/>
    </row>
    <row r="157" customFormat="false" ht="15" hidden="false" customHeight="false" outlineLevel="0" collapsed="false">
      <c r="A157" s="27"/>
      <c r="B157" s="27"/>
      <c r="C157" s="27"/>
    </row>
    <row r="158" customFormat="false" ht="15" hidden="false" customHeight="false" outlineLevel="0" collapsed="false">
      <c r="A158" s="27"/>
      <c r="B158" s="27"/>
      <c r="C158" s="27"/>
    </row>
    <row r="159" customFormat="false" ht="15" hidden="false" customHeight="false" outlineLevel="0" collapsed="false">
      <c r="A159" s="27"/>
      <c r="B159" s="27"/>
      <c r="C159" s="27"/>
    </row>
    <row r="160" customFormat="false" ht="15" hidden="false" customHeight="false" outlineLevel="0" collapsed="false">
      <c r="A160" s="27"/>
      <c r="B160" s="27"/>
      <c r="C160" s="27"/>
    </row>
    <row r="161" customFormat="false" ht="15" hidden="false" customHeight="false" outlineLevel="0" collapsed="false">
      <c r="A161" s="27"/>
      <c r="B161" s="27"/>
      <c r="C161" s="27"/>
    </row>
    <row r="162" customFormat="false" ht="15" hidden="false" customHeight="false" outlineLevel="0" collapsed="false">
      <c r="A162" s="27"/>
      <c r="B162" s="27"/>
      <c r="C162" s="27"/>
    </row>
    <row r="163" customFormat="false" ht="15" hidden="false" customHeight="false" outlineLevel="0" collapsed="false">
      <c r="A163" s="27"/>
      <c r="B163" s="27"/>
      <c r="C163" s="27"/>
    </row>
    <row r="164" customFormat="false" ht="15" hidden="false" customHeight="false" outlineLevel="0" collapsed="false">
      <c r="A164" s="27"/>
      <c r="B164" s="27"/>
      <c r="C164" s="27"/>
    </row>
    <row r="165" customFormat="false" ht="15" hidden="false" customHeight="false" outlineLevel="0" collapsed="false">
      <c r="A165" s="27"/>
      <c r="B165" s="27"/>
      <c r="C165" s="27"/>
    </row>
    <row r="166" customFormat="false" ht="15" hidden="false" customHeight="false" outlineLevel="0" collapsed="false">
      <c r="A166" s="27"/>
      <c r="B166" s="27"/>
      <c r="C166" s="27"/>
    </row>
    <row r="167" customFormat="false" ht="15" hidden="false" customHeight="false" outlineLevel="0" collapsed="false">
      <c r="A167" s="27"/>
      <c r="B167" s="27"/>
      <c r="C167" s="27"/>
    </row>
    <row r="168" customFormat="false" ht="15" hidden="false" customHeight="false" outlineLevel="0" collapsed="false">
      <c r="A168" s="27"/>
      <c r="B168" s="27"/>
      <c r="C168" s="27"/>
    </row>
    <row r="169" customFormat="false" ht="15" hidden="false" customHeight="false" outlineLevel="0" collapsed="false">
      <c r="A169" s="27"/>
      <c r="B169" s="27"/>
      <c r="C169" s="27"/>
    </row>
    <row r="170" customFormat="false" ht="15" hidden="false" customHeight="false" outlineLevel="0" collapsed="false">
      <c r="A170" s="27"/>
      <c r="B170" s="27"/>
      <c r="C170" s="27"/>
    </row>
    <row r="171" customFormat="false" ht="15" hidden="false" customHeight="false" outlineLevel="0" collapsed="false">
      <c r="A171" s="27"/>
      <c r="B171" s="27"/>
      <c r="C171" s="27"/>
    </row>
    <row r="172" customFormat="false" ht="15" hidden="false" customHeight="false" outlineLevel="0" collapsed="false">
      <c r="A172" s="27"/>
      <c r="B172" s="27"/>
      <c r="C172" s="27"/>
    </row>
    <row r="173" customFormat="false" ht="15" hidden="false" customHeight="false" outlineLevel="0" collapsed="false">
      <c r="A173" s="27"/>
      <c r="B173" s="27"/>
      <c r="C173" s="27"/>
    </row>
    <row r="174" customFormat="false" ht="15" hidden="false" customHeight="false" outlineLevel="0" collapsed="false">
      <c r="A174" s="27"/>
      <c r="B174" s="27"/>
      <c r="C174" s="27"/>
    </row>
    <row r="175" customFormat="false" ht="15" hidden="false" customHeight="false" outlineLevel="0" collapsed="false">
      <c r="A175" s="27"/>
      <c r="B175" s="27"/>
      <c r="C175" s="27"/>
    </row>
    <row r="176" customFormat="false" ht="15" hidden="false" customHeight="false" outlineLevel="0" collapsed="false">
      <c r="A176" s="27"/>
      <c r="B176" s="27"/>
      <c r="C176" s="27"/>
    </row>
    <row r="177" customFormat="false" ht="15" hidden="false" customHeight="false" outlineLevel="0" collapsed="false">
      <c r="A177" s="27"/>
      <c r="B177" s="27"/>
      <c r="C177" s="27"/>
    </row>
    <row r="178" customFormat="false" ht="15" hidden="false" customHeight="false" outlineLevel="0" collapsed="false">
      <c r="A178" s="27"/>
      <c r="B178" s="27"/>
      <c r="C178" s="27"/>
    </row>
    <row r="179" customFormat="false" ht="15" hidden="false" customHeight="false" outlineLevel="0" collapsed="false">
      <c r="A179" s="27"/>
      <c r="B179" s="27"/>
      <c r="C179" s="27"/>
    </row>
    <row r="180" customFormat="false" ht="15" hidden="false" customHeight="false" outlineLevel="0" collapsed="false">
      <c r="A180" s="27"/>
      <c r="B180" s="27"/>
      <c r="C180" s="27"/>
    </row>
    <row r="181" customFormat="false" ht="15" hidden="false" customHeight="false" outlineLevel="0" collapsed="false">
      <c r="A181" s="27"/>
      <c r="B181" s="27"/>
      <c r="C181" s="27"/>
    </row>
    <row r="182" customFormat="false" ht="15" hidden="false" customHeight="false" outlineLevel="0" collapsed="false">
      <c r="A182" s="27"/>
      <c r="B182" s="27"/>
      <c r="C182" s="27"/>
    </row>
    <row r="183" customFormat="false" ht="15" hidden="false" customHeight="false" outlineLevel="0" collapsed="false">
      <c r="A183" s="27"/>
      <c r="B183" s="27"/>
      <c r="C183" s="27"/>
    </row>
    <row r="184" customFormat="false" ht="15" hidden="false" customHeight="false" outlineLevel="0" collapsed="false">
      <c r="A184" s="27"/>
      <c r="B184" s="27"/>
      <c r="C184" s="27"/>
    </row>
    <row r="185" customFormat="false" ht="15" hidden="false" customHeight="false" outlineLevel="0" collapsed="false">
      <c r="A185" s="27"/>
      <c r="B185" s="27"/>
      <c r="C185" s="27"/>
    </row>
    <row r="186" customFormat="false" ht="15" hidden="false" customHeight="false" outlineLevel="0" collapsed="false">
      <c r="A186" s="27"/>
      <c r="B186" s="27"/>
      <c r="C186" s="27"/>
    </row>
    <row r="187" customFormat="false" ht="15" hidden="false" customHeight="false" outlineLevel="0" collapsed="false">
      <c r="A187" s="27"/>
      <c r="B187" s="27"/>
      <c r="C187" s="27"/>
    </row>
    <row r="188" customFormat="false" ht="15" hidden="false" customHeight="false" outlineLevel="0" collapsed="false">
      <c r="A188" s="27"/>
      <c r="B188" s="27"/>
      <c r="C188" s="27"/>
    </row>
    <row r="189" customFormat="false" ht="15" hidden="false" customHeight="false" outlineLevel="0" collapsed="false">
      <c r="A189" s="27"/>
      <c r="B189" s="27"/>
      <c r="C189" s="27"/>
    </row>
    <row r="190" customFormat="false" ht="15" hidden="false" customHeight="false" outlineLevel="0" collapsed="false">
      <c r="A190" s="27"/>
      <c r="B190" s="27"/>
      <c r="C190" s="27"/>
    </row>
    <row r="191" customFormat="false" ht="15" hidden="false" customHeight="false" outlineLevel="0" collapsed="false">
      <c r="A191" s="27"/>
      <c r="B191" s="27"/>
      <c r="C191" s="27"/>
    </row>
    <row r="192" customFormat="false" ht="15" hidden="false" customHeight="false" outlineLevel="0" collapsed="false">
      <c r="A192" s="27"/>
      <c r="B192" s="27"/>
      <c r="C192" s="27"/>
    </row>
    <row r="193" customFormat="false" ht="15" hidden="false" customHeight="false" outlineLevel="0" collapsed="false">
      <c r="A193" s="27"/>
      <c r="B193" s="27"/>
      <c r="C193" s="27"/>
    </row>
    <row r="194" customFormat="false" ht="15" hidden="false" customHeight="false" outlineLevel="0" collapsed="false">
      <c r="A194" s="27"/>
      <c r="B194" s="27"/>
      <c r="C194" s="27"/>
    </row>
    <row r="195" customFormat="false" ht="15" hidden="false" customHeight="false" outlineLevel="0" collapsed="false">
      <c r="A195" s="27"/>
      <c r="B195" s="27"/>
      <c r="C195" s="27"/>
    </row>
    <row r="196" customFormat="false" ht="15" hidden="false" customHeight="false" outlineLevel="0" collapsed="false">
      <c r="A196" s="27"/>
      <c r="B196" s="27"/>
      <c r="C196" s="27"/>
    </row>
    <row r="197" customFormat="false" ht="15" hidden="false" customHeight="false" outlineLevel="0" collapsed="false">
      <c r="A197" s="27"/>
      <c r="B197" s="27"/>
      <c r="C197" s="27"/>
    </row>
    <row r="198" customFormat="false" ht="15" hidden="false" customHeight="false" outlineLevel="0" collapsed="false">
      <c r="A198" s="27"/>
      <c r="B198" s="27"/>
      <c r="C198" s="27"/>
    </row>
    <row r="199" customFormat="false" ht="15" hidden="false" customHeight="false" outlineLevel="0" collapsed="false">
      <c r="A199" s="27"/>
      <c r="B199" s="27"/>
      <c r="C199" s="27"/>
    </row>
    <row r="200" customFormat="false" ht="15" hidden="false" customHeight="false" outlineLevel="0" collapsed="false">
      <c r="A200" s="27"/>
      <c r="B200" s="27"/>
      <c r="C200" s="27"/>
    </row>
    <row r="201" customFormat="false" ht="15" hidden="false" customHeight="false" outlineLevel="0" collapsed="false">
      <c r="A201" s="27"/>
      <c r="B201" s="27"/>
      <c r="C201" s="27"/>
    </row>
    <row r="202" customFormat="false" ht="15" hidden="false" customHeight="false" outlineLevel="0" collapsed="false">
      <c r="A202" s="27"/>
      <c r="B202" s="27"/>
      <c r="C202" s="27"/>
    </row>
    <row r="203" customFormat="false" ht="15" hidden="false" customHeight="false" outlineLevel="0" collapsed="false">
      <c r="A203" s="27"/>
      <c r="B203" s="27"/>
      <c r="C203" s="27"/>
    </row>
    <row r="204" customFormat="false" ht="15" hidden="false" customHeight="false" outlineLevel="0" collapsed="false">
      <c r="A204" s="27"/>
      <c r="B204" s="27"/>
      <c r="C204" s="27"/>
    </row>
    <row r="205" customFormat="false" ht="15" hidden="false" customHeight="false" outlineLevel="0" collapsed="false">
      <c r="A205" s="27"/>
      <c r="B205" s="27"/>
      <c r="C205" s="27"/>
    </row>
    <row r="206" customFormat="false" ht="15" hidden="false" customHeight="false" outlineLevel="0" collapsed="false">
      <c r="A206" s="27"/>
      <c r="B206" s="27"/>
      <c r="C206" s="27"/>
    </row>
    <row r="207" customFormat="false" ht="15" hidden="false" customHeight="false" outlineLevel="0" collapsed="false">
      <c r="A207" s="27"/>
      <c r="B207" s="27"/>
      <c r="C207" s="27"/>
    </row>
    <row r="208" customFormat="false" ht="15" hidden="false" customHeight="false" outlineLevel="0" collapsed="false">
      <c r="A208" s="27"/>
      <c r="B208" s="27"/>
      <c r="C208" s="27"/>
    </row>
    <row r="209" customFormat="false" ht="15" hidden="false" customHeight="false" outlineLevel="0" collapsed="false">
      <c r="A209" s="27"/>
      <c r="B209" s="27"/>
      <c r="C209" s="27"/>
    </row>
    <row r="210" customFormat="false" ht="15" hidden="false" customHeight="false" outlineLevel="0" collapsed="false">
      <c r="A210" s="27"/>
      <c r="B210" s="27"/>
      <c r="C210" s="27"/>
    </row>
    <row r="211" customFormat="false" ht="15" hidden="false" customHeight="false" outlineLevel="0" collapsed="false">
      <c r="A211" s="27"/>
      <c r="B211" s="27"/>
      <c r="C211" s="27"/>
    </row>
    <row r="212" customFormat="false" ht="15" hidden="false" customHeight="false" outlineLevel="0" collapsed="false">
      <c r="A212" s="27"/>
      <c r="B212" s="27"/>
      <c r="C212" s="27"/>
    </row>
    <row r="213" customFormat="false" ht="15" hidden="false" customHeight="false" outlineLevel="0" collapsed="false">
      <c r="A213" s="27"/>
      <c r="B213" s="27"/>
      <c r="C213" s="27"/>
    </row>
    <row r="214" customFormat="false" ht="15" hidden="false" customHeight="false" outlineLevel="0" collapsed="false">
      <c r="A214" s="27"/>
      <c r="B214" s="27"/>
      <c r="C214" s="27"/>
    </row>
    <row r="215" customFormat="false" ht="15" hidden="false" customHeight="false" outlineLevel="0" collapsed="false">
      <c r="A215" s="27"/>
      <c r="B215" s="27"/>
      <c r="C215" s="27"/>
    </row>
    <row r="216" customFormat="false" ht="15" hidden="false" customHeight="false" outlineLevel="0" collapsed="false">
      <c r="A216" s="27"/>
      <c r="B216" s="27"/>
      <c r="C216" s="27"/>
    </row>
    <row r="217" customFormat="false" ht="15" hidden="false" customHeight="false" outlineLevel="0" collapsed="false">
      <c r="A217" s="27"/>
      <c r="B217" s="27"/>
      <c r="C217" s="27"/>
    </row>
    <row r="218" customFormat="false" ht="15" hidden="false" customHeight="false" outlineLevel="0" collapsed="false">
      <c r="A218" s="27"/>
      <c r="B218" s="27"/>
      <c r="C218" s="27"/>
    </row>
    <row r="219" customFormat="false" ht="15" hidden="false" customHeight="false" outlineLevel="0" collapsed="false">
      <c r="A219" s="27"/>
      <c r="B219" s="27"/>
      <c r="C219" s="27"/>
    </row>
    <row r="220" customFormat="false" ht="15" hidden="false" customHeight="false" outlineLevel="0" collapsed="false">
      <c r="A220" s="27"/>
      <c r="B220" s="27"/>
      <c r="C220" s="27"/>
    </row>
    <row r="221" customFormat="false" ht="15" hidden="false" customHeight="false" outlineLevel="0" collapsed="false">
      <c r="A221" s="27"/>
      <c r="B221" s="27"/>
      <c r="C221" s="27"/>
    </row>
    <row r="222" customFormat="false" ht="15" hidden="false" customHeight="false" outlineLevel="0" collapsed="false">
      <c r="A222" s="27"/>
      <c r="B222" s="27"/>
      <c r="C222" s="27"/>
    </row>
    <row r="223" customFormat="false" ht="15" hidden="false" customHeight="false" outlineLevel="0" collapsed="false">
      <c r="A223" s="27"/>
      <c r="B223" s="27"/>
      <c r="C223" s="27"/>
    </row>
    <row r="224" customFormat="false" ht="15" hidden="false" customHeight="false" outlineLevel="0" collapsed="false">
      <c r="A224" s="27"/>
      <c r="B224" s="27"/>
      <c r="C224" s="27"/>
    </row>
    <row r="225" customFormat="false" ht="15" hidden="false" customHeight="false" outlineLevel="0" collapsed="false">
      <c r="A225" s="27"/>
      <c r="B225" s="27"/>
      <c r="C225" s="27"/>
    </row>
    <row r="226" customFormat="false" ht="15" hidden="false" customHeight="false" outlineLevel="0" collapsed="false">
      <c r="A226" s="27"/>
      <c r="B226" s="27"/>
      <c r="C226" s="27"/>
    </row>
    <row r="227" customFormat="false" ht="15" hidden="false" customHeight="false" outlineLevel="0" collapsed="false">
      <c r="A227" s="27"/>
      <c r="B227" s="27"/>
      <c r="C227" s="27"/>
    </row>
    <row r="228" customFormat="false" ht="15" hidden="false" customHeight="false" outlineLevel="0" collapsed="false">
      <c r="A228" s="27"/>
      <c r="B228" s="27"/>
      <c r="C228" s="27"/>
    </row>
    <row r="229" customFormat="false" ht="15" hidden="false" customHeight="false" outlineLevel="0" collapsed="false">
      <c r="A229" s="27"/>
      <c r="B229" s="27"/>
      <c r="C229" s="27"/>
    </row>
    <row r="230" customFormat="false" ht="15" hidden="false" customHeight="false" outlineLevel="0" collapsed="false">
      <c r="A230" s="27"/>
      <c r="B230" s="27"/>
      <c r="C230" s="27"/>
    </row>
    <row r="231" customFormat="false" ht="15" hidden="false" customHeight="false" outlineLevel="0" collapsed="false">
      <c r="A231" s="27"/>
      <c r="B231" s="27"/>
      <c r="C231" s="27"/>
    </row>
    <row r="232" customFormat="false" ht="15" hidden="false" customHeight="false" outlineLevel="0" collapsed="false">
      <c r="A232" s="27"/>
      <c r="B232" s="27"/>
      <c r="C232" s="27"/>
    </row>
    <row r="233" customFormat="false" ht="15" hidden="false" customHeight="false" outlineLevel="0" collapsed="false">
      <c r="A233" s="27"/>
      <c r="B233" s="27"/>
      <c r="C233" s="27"/>
    </row>
    <row r="234" customFormat="false" ht="15" hidden="false" customHeight="false" outlineLevel="0" collapsed="false">
      <c r="A234" s="27"/>
      <c r="B234" s="27"/>
      <c r="C234" s="27"/>
    </row>
    <row r="235" customFormat="false" ht="15" hidden="false" customHeight="false" outlineLevel="0" collapsed="false">
      <c r="A235" s="27"/>
      <c r="B235" s="27"/>
      <c r="C235" s="27"/>
    </row>
    <row r="236" customFormat="false" ht="15" hidden="false" customHeight="false" outlineLevel="0" collapsed="false">
      <c r="A236" s="27"/>
      <c r="B236" s="27"/>
      <c r="C236" s="27"/>
    </row>
    <row r="237" customFormat="false" ht="15" hidden="false" customHeight="false" outlineLevel="0" collapsed="false">
      <c r="A237" s="27"/>
      <c r="B237" s="27"/>
      <c r="C237" s="27"/>
    </row>
    <row r="238" customFormat="false" ht="15" hidden="false" customHeight="false" outlineLevel="0" collapsed="false">
      <c r="A238" s="27"/>
      <c r="B238" s="27"/>
      <c r="C238" s="27"/>
    </row>
    <row r="239" customFormat="false" ht="15" hidden="false" customHeight="false" outlineLevel="0" collapsed="false">
      <c r="A239" s="27"/>
      <c r="B239" s="27"/>
      <c r="C239" s="27"/>
    </row>
    <row r="240" customFormat="false" ht="15" hidden="false" customHeight="false" outlineLevel="0" collapsed="false">
      <c r="A240" s="27"/>
      <c r="B240" s="27"/>
      <c r="C240" s="27"/>
    </row>
    <row r="241" customFormat="false" ht="15" hidden="false" customHeight="false" outlineLevel="0" collapsed="false">
      <c r="A241" s="27"/>
      <c r="B241" s="27"/>
      <c r="C241" s="27"/>
    </row>
    <row r="242" customFormat="false" ht="15" hidden="false" customHeight="false" outlineLevel="0" collapsed="false">
      <c r="A242" s="27"/>
      <c r="B242" s="27"/>
      <c r="C242" s="27"/>
    </row>
    <row r="243" customFormat="false" ht="15" hidden="false" customHeight="false" outlineLevel="0" collapsed="false">
      <c r="A243" s="27"/>
      <c r="B243" s="27"/>
      <c r="C243" s="27"/>
    </row>
    <row r="244" customFormat="false" ht="15" hidden="false" customHeight="false" outlineLevel="0" collapsed="false">
      <c r="A244" s="27"/>
      <c r="B244" s="27"/>
      <c r="C244" s="27"/>
    </row>
    <row r="245" customFormat="false" ht="15" hidden="false" customHeight="false" outlineLevel="0" collapsed="false">
      <c r="A245" s="27"/>
      <c r="B245" s="27"/>
      <c r="C245" s="27"/>
    </row>
    <row r="246" customFormat="false" ht="15" hidden="false" customHeight="false" outlineLevel="0" collapsed="false">
      <c r="A246" s="27"/>
      <c r="B246" s="27"/>
      <c r="C246" s="27"/>
    </row>
    <row r="247" customFormat="false" ht="15" hidden="false" customHeight="false" outlineLevel="0" collapsed="false">
      <c r="A247" s="27"/>
      <c r="B247" s="27"/>
      <c r="C247" s="27"/>
    </row>
    <row r="248" customFormat="false" ht="15" hidden="false" customHeight="false" outlineLevel="0" collapsed="false">
      <c r="A248" s="27"/>
      <c r="B248" s="27"/>
      <c r="C248" s="27"/>
    </row>
    <row r="249" customFormat="false" ht="15" hidden="false" customHeight="false" outlineLevel="0" collapsed="false">
      <c r="A249" s="27"/>
      <c r="B249" s="27"/>
      <c r="C249" s="27"/>
    </row>
    <row r="250" customFormat="false" ht="15" hidden="false" customHeight="false" outlineLevel="0" collapsed="false">
      <c r="A250" s="27"/>
      <c r="B250" s="27"/>
      <c r="C250" s="27"/>
    </row>
    <row r="251" customFormat="false" ht="15" hidden="false" customHeight="false" outlineLevel="0" collapsed="false">
      <c r="A251" s="27"/>
      <c r="B251" s="27"/>
      <c r="C251" s="27"/>
    </row>
    <row r="252" customFormat="false" ht="15" hidden="false" customHeight="false" outlineLevel="0" collapsed="false">
      <c r="A252" s="27"/>
      <c r="B252" s="27"/>
      <c r="C252" s="27"/>
    </row>
    <row r="253" customFormat="false" ht="15" hidden="false" customHeight="false" outlineLevel="0" collapsed="false">
      <c r="A253" s="27"/>
      <c r="B253" s="27"/>
      <c r="C253" s="27"/>
    </row>
    <row r="254" customFormat="false" ht="15" hidden="false" customHeight="false" outlineLevel="0" collapsed="false">
      <c r="A254" s="27"/>
      <c r="B254" s="27"/>
      <c r="C254" s="27"/>
    </row>
    <row r="255" customFormat="false" ht="15" hidden="false" customHeight="false" outlineLevel="0" collapsed="false">
      <c r="A255" s="27"/>
      <c r="B255" s="27"/>
      <c r="C255" s="27"/>
    </row>
    <row r="256" customFormat="false" ht="15" hidden="false" customHeight="false" outlineLevel="0" collapsed="false">
      <c r="A256" s="27"/>
      <c r="B256" s="27"/>
      <c r="C256" s="27"/>
    </row>
    <row r="257" customFormat="false" ht="15" hidden="false" customHeight="false" outlineLevel="0" collapsed="false">
      <c r="A257" s="27"/>
      <c r="B257" s="27"/>
      <c r="C257" s="27"/>
    </row>
    <row r="258" customFormat="false" ht="15" hidden="false" customHeight="false" outlineLevel="0" collapsed="false">
      <c r="A258" s="27"/>
      <c r="B258" s="27"/>
      <c r="C258" s="27"/>
    </row>
    <row r="259" customFormat="false" ht="15" hidden="false" customHeight="false" outlineLevel="0" collapsed="false">
      <c r="A259" s="27"/>
      <c r="B259" s="27"/>
      <c r="C259" s="27"/>
    </row>
    <row r="260" customFormat="false" ht="15" hidden="false" customHeight="false" outlineLevel="0" collapsed="false">
      <c r="A260" s="27"/>
      <c r="B260" s="27"/>
      <c r="C260" s="27"/>
    </row>
    <row r="261" customFormat="false" ht="15" hidden="false" customHeight="false" outlineLevel="0" collapsed="false">
      <c r="A261" s="27"/>
      <c r="B261" s="27"/>
      <c r="C261" s="27"/>
    </row>
    <row r="262" customFormat="false" ht="15" hidden="false" customHeight="false" outlineLevel="0" collapsed="false">
      <c r="A262" s="27"/>
      <c r="B262" s="27"/>
      <c r="C262" s="27"/>
    </row>
    <row r="263" customFormat="false" ht="15" hidden="false" customHeight="false" outlineLevel="0" collapsed="false">
      <c r="A263" s="27"/>
      <c r="B263" s="27"/>
      <c r="C263" s="27"/>
    </row>
    <row r="264" customFormat="false" ht="15" hidden="false" customHeight="false" outlineLevel="0" collapsed="false">
      <c r="A264" s="27"/>
      <c r="B264" s="27"/>
      <c r="C264" s="27"/>
    </row>
    <row r="265" customFormat="false" ht="15" hidden="false" customHeight="false" outlineLevel="0" collapsed="false">
      <c r="A265" s="27"/>
      <c r="B265" s="27"/>
      <c r="C265" s="27"/>
    </row>
    <row r="266" customFormat="false" ht="15" hidden="false" customHeight="false" outlineLevel="0" collapsed="false">
      <c r="A266" s="27"/>
      <c r="B266" s="27"/>
      <c r="C266" s="27"/>
    </row>
    <row r="267" customFormat="false" ht="15" hidden="false" customHeight="false" outlineLevel="0" collapsed="false">
      <c r="A267" s="27"/>
      <c r="B267" s="27"/>
      <c r="C267" s="27"/>
    </row>
    <row r="268" customFormat="false" ht="15" hidden="false" customHeight="false" outlineLevel="0" collapsed="false">
      <c r="A268" s="27"/>
      <c r="B268" s="27"/>
      <c r="C268" s="27"/>
    </row>
    <row r="269" customFormat="false" ht="15" hidden="false" customHeight="false" outlineLevel="0" collapsed="false">
      <c r="A269" s="27"/>
      <c r="B269" s="27"/>
      <c r="C269" s="27"/>
    </row>
    <row r="270" customFormat="false" ht="15" hidden="false" customHeight="false" outlineLevel="0" collapsed="false">
      <c r="A270" s="27"/>
      <c r="B270" s="27"/>
      <c r="C270" s="27"/>
    </row>
    <row r="271" customFormat="false" ht="15" hidden="false" customHeight="false" outlineLevel="0" collapsed="false">
      <c r="A271" s="27"/>
      <c r="B271" s="27"/>
      <c r="C271" s="27"/>
    </row>
    <row r="272" customFormat="false" ht="15" hidden="false" customHeight="false" outlineLevel="0" collapsed="false">
      <c r="A272" s="27"/>
      <c r="B272" s="27"/>
      <c r="C272" s="27"/>
    </row>
    <row r="273" customFormat="false" ht="15" hidden="false" customHeight="false" outlineLevel="0" collapsed="false">
      <c r="A273" s="27"/>
      <c r="B273" s="27"/>
      <c r="C273" s="27"/>
    </row>
    <row r="274" customFormat="false" ht="15" hidden="false" customHeight="false" outlineLevel="0" collapsed="false">
      <c r="A274" s="27"/>
      <c r="B274" s="27"/>
      <c r="C274" s="27"/>
    </row>
    <row r="275" customFormat="false" ht="15" hidden="false" customHeight="false" outlineLevel="0" collapsed="false">
      <c r="A275" s="27"/>
      <c r="B275" s="27"/>
      <c r="C275" s="27"/>
    </row>
    <row r="276" customFormat="false" ht="15" hidden="false" customHeight="false" outlineLevel="0" collapsed="false">
      <c r="A276" s="27"/>
      <c r="B276" s="27"/>
      <c r="C276" s="27"/>
    </row>
    <row r="277" customFormat="false" ht="15" hidden="false" customHeight="false" outlineLevel="0" collapsed="false">
      <c r="A277" s="27"/>
      <c r="B277" s="27"/>
      <c r="C277" s="27"/>
    </row>
    <row r="278" customFormat="false" ht="15" hidden="false" customHeight="false" outlineLevel="0" collapsed="false">
      <c r="A278" s="27"/>
      <c r="B278" s="27"/>
      <c r="C278" s="27"/>
    </row>
    <row r="279" customFormat="false" ht="15" hidden="false" customHeight="false" outlineLevel="0" collapsed="false">
      <c r="A279" s="27"/>
      <c r="B279" s="27"/>
      <c r="C279" s="27"/>
    </row>
    <row r="280" customFormat="false" ht="15" hidden="false" customHeight="false" outlineLevel="0" collapsed="false">
      <c r="A280" s="27"/>
      <c r="B280" s="27"/>
      <c r="C280" s="27"/>
    </row>
    <row r="281" customFormat="false" ht="15" hidden="false" customHeight="false" outlineLevel="0" collapsed="false">
      <c r="A281" s="27"/>
      <c r="B281" s="27"/>
      <c r="C281" s="27"/>
    </row>
    <row r="282" customFormat="false" ht="15" hidden="false" customHeight="false" outlineLevel="0" collapsed="false">
      <c r="A282" s="27"/>
      <c r="B282" s="27"/>
      <c r="C282" s="27"/>
    </row>
    <row r="283" customFormat="false" ht="15" hidden="false" customHeight="false" outlineLevel="0" collapsed="false">
      <c r="A283" s="27"/>
      <c r="B283" s="27"/>
      <c r="C283" s="27"/>
    </row>
    <row r="284" customFormat="false" ht="15" hidden="false" customHeight="false" outlineLevel="0" collapsed="false">
      <c r="A284" s="27"/>
      <c r="B284" s="27"/>
      <c r="C284" s="27"/>
    </row>
    <row r="285" customFormat="false" ht="15" hidden="false" customHeight="false" outlineLevel="0" collapsed="false">
      <c r="A285" s="27"/>
      <c r="B285" s="27"/>
      <c r="C285" s="27"/>
    </row>
    <row r="286" customFormat="false" ht="15" hidden="false" customHeight="false" outlineLevel="0" collapsed="false">
      <c r="A286" s="27"/>
      <c r="B286" s="27"/>
      <c r="C286" s="27"/>
    </row>
    <row r="287" customFormat="false" ht="15" hidden="false" customHeight="false" outlineLevel="0" collapsed="false">
      <c r="A287" s="27"/>
      <c r="B287" s="27"/>
      <c r="C287" s="27"/>
    </row>
    <row r="288" customFormat="false" ht="15" hidden="false" customHeight="false" outlineLevel="0" collapsed="false">
      <c r="A288" s="27"/>
      <c r="B288" s="27"/>
      <c r="C288" s="27"/>
    </row>
    <row r="289" customFormat="false" ht="15" hidden="false" customHeight="false" outlineLevel="0" collapsed="false">
      <c r="A289" s="27"/>
      <c r="B289" s="27"/>
      <c r="C289" s="27"/>
    </row>
    <row r="290" customFormat="false" ht="15" hidden="false" customHeight="false" outlineLevel="0" collapsed="false">
      <c r="A290" s="27"/>
      <c r="B290" s="27"/>
      <c r="C290" s="27"/>
    </row>
    <row r="291" customFormat="false" ht="15" hidden="false" customHeight="false" outlineLevel="0" collapsed="false">
      <c r="A291" s="27"/>
      <c r="B291" s="27"/>
      <c r="C291" s="27"/>
    </row>
    <row r="292" customFormat="false" ht="15" hidden="false" customHeight="false" outlineLevel="0" collapsed="false">
      <c r="A292" s="27"/>
      <c r="B292" s="27"/>
      <c r="C292" s="27"/>
    </row>
    <row r="293" customFormat="false" ht="15" hidden="false" customHeight="false" outlineLevel="0" collapsed="false">
      <c r="A293" s="27"/>
      <c r="B293" s="27"/>
      <c r="C293" s="27"/>
    </row>
    <row r="294" customFormat="false" ht="15" hidden="false" customHeight="false" outlineLevel="0" collapsed="false">
      <c r="A294" s="27"/>
      <c r="B294" s="27"/>
      <c r="C294" s="27"/>
    </row>
    <row r="295" customFormat="false" ht="15" hidden="false" customHeight="false" outlineLevel="0" collapsed="false">
      <c r="A295" s="27"/>
      <c r="B295" s="27"/>
      <c r="C295" s="27"/>
    </row>
    <row r="296" customFormat="false" ht="15" hidden="false" customHeight="false" outlineLevel="0" collapsed="false">
      <c r="A296" s="27"/>
      <c r="B296" s="27"/>
      <c r="C296" s="27"/>
    </row>
    <row r="297" customFormat="false" ht="15" hidden="false" customHeight="false" outlineLevel="0" collapsed="false">
      <c r="A297" s="27"/>
      <c r="B297" s="27"/>
      <c r="C297" s="27"/>
    </row>
    <row r="298" customFormat="false" ht="15" hidden="false" customHeight="false" outlineLevel="0" collapsed="false">
      <c r="A298" s="27"/>
      <c r="B298" s="27"/>
      <c r="C298" s="27"/>
    </row>
    <row r="299" customFormat="false" ht="15" hidden="false" customHeight="false" outlineLevel="0" collapsed="false">
      <c r="A299" s="27"/>
      <c r="B299" s="27"/>
      <c r="C299" s="27"/>
    </row>
    <row r="300" customFormat="false" ht="15" hidden="false" customHeight="false" outlineLevel="0" collapsed="false">
      <c r="A300" s="27"/>
      <c r="B300" s="27"/>
      <c r="C300" s="27"/>
    </row>
    <row r="301" customFormat="false" ht="15" hidden="false" customHeight="false" outlineLevel="0" collapsed="false">
      <c r="A301" s="27"/>
      <c r="B301" s="27"/>
      <c r="C301" s="27"/>
    </row>
    <row r="302" customFormat="false" ht="15" hidden="false" customHeight="false" outlineLevel="0" collapsed="false">
      <c r="A302" s="27"/>
      <c r="B302" s="27"/>
      <c r="C302" s="27"/>
    </row>
    <row r="303" customFormat="false" ht="15" hidden="false" customHeight="false" outlineLevel="0" collapsed="false">
      <c r="A303" s="27"/>
      <c r="B303" s="27"/>
      <c r="C303" s="27"/>
    </row>
    <row r="304" customFormat="false" ht="15" hidden="false" customHeight="false" outlineLevel="0" collapsed="false">
      <c r="A304" s="27"/>
      <c r="B304" s="27"/>
      <c r="C304" s="27"/>
    </row>
    <row r="305" customFormat="false" ht="15" hidden="false" customHeight="false" outlineLevel="0" collapsed="false">
      <c r="A305" s="27"/>
      <c r="B305" s="27"/>
      <c r="C305" s="27"/>
    </row>
    <row r="306" customFormat="false" ht="15" hidden="false" customHeight="false" outlineLevel="0" collapsed="false">
      <c r="A306" s="27"/>
      <c r="B306" s="27"/>
      <c r="C306" s="27"/>
    </row>
    <row r="307" customFormat="false" ht="15" hidden="false" customHeight="false" outlineLevel="0" collapsed="false">
      <c r="A307" s="27"/>
      <c r="B307" s="27"/>
      <c r="C307" s="27"/>
    </row>
    <row r="308" customFormat="false" ht="15" hidden="false" customHeight="false" outlineLevel="0" collapsed="false">
      <c r="A308" s="27"/>
      <c r="B308" s="27"/>
      <c r="C308" s="27"/>
    </row>
    <row r="309" customFormat="false" ht="15" hidden="false" customHeight="false" outlineLevel="0" collapsed="false">
      <c r="A309" s="27"/>
      <c r="B309" s="27"/>
      <c r="C309" s="27"/>
    </row>
    <row r="310" customFormat="false" ht="15" hidden="false" customHeight="false" outlineLevel="0" collapsed="false">
      <c r="A310" s="27"/>
      <c r="B310" s="27"/>
      <c r="C310" s="27"/>
    </row>
    <row r="311" customFormat="false" ht="15" hidden="false" customHeight="false" outlineLevel="0" collapsed="false">
      <c r="A311" s="27"/>
      <c r="B311" s="27"/>
      <c r="C311" s="27"/>
    </row>
    <row r="312" customFormat="false" ht="15" hidden="false" customHeight="false" outlineLevel="0" collapsed="false">
      <c r="A312" s="27"/>
      <c r="B312" s="27"/>
      <c r="C312" s="27"/>
    </row>
    <row r="313" customFormat="false" ht="15" hidden="false" customHeight="false" outlineLevel="0" collapsed="false">
      <c r="A313" s="27"/>
      <c r="B313" s="27"/>
      <c r="C313" s="27"/>
    </row>
    <row r="314" customFormat="false" ht="15" hidden="false" customHeight="false" outlineLevel="0" collapsed="false">
      <c r="A314" s="27"/>
      <c r="B314" s="27"/>
      <c r="C314" s="27"/>
    </row>
    <row r="315" customFormat="false" ht="15" hidden="false" customHeight="false" outlineLevel="0" collapsed="false">
      <c r="A315" s="27"/>
      <c r="B315" s="27"/>
      <c r="C315" s="27"/>
    </row>
    <row r="316" customFormat="false" ht="15" hidden="false" customHeight="false" outlineLevel="0" collapsed="false">
      <c r="A316" s="27"/>
      <c r="B316" s="27"/>
      <c r="C316" s="27"/>
    </row>
    <row r="317" customFormat="false" ht="15" hidden="false" customHeight="false" outlineLevel="0" collapsed="false">
      <c r="A317" s="27"/>
      <c r="B317" s="27"/>
      <c r="C317" s="27"/>
    </row>
    <row r="318" customFormat="false" ht="15" hidden="false" customHeight="false" outlineLevel="0" collapsed="false">
      <c r="A318" s="27"/>
      <c r="B318" s="27"/>
      <c r="C318" s="27"/>
    </row>
    <row r="319" customFormat="false" ht="15" hidden="false" customHeight="false" outlineLevel="0" collapsed="false">
      <c r="A319" s="27"/>
      <c r="B319" s="27"/>
      <c r="C319" s="27"/>
    </row>
    <row r="320" customFormat="false" ht="15" hidden="false" customHeight="false" outlineLevel="0" collapsed="false">
      <c r="A320" s="27"/>
      <c r="B320" s="27"/>
      <c r="C320" s="27"/>
    </row>
    <row r="321" customFormat="false" ht="15" hidden="false" customHeight="false" outlineLevel="0" collapsed="false">
      <c r="A321" s="27"/>
      <c r="B321" s="27"/>
      <c r="C321" s="27"/>
    </row>
    <row r="322" customFormat="false" ht="15" hidden="false" customHeight="false" outlineLevel="0" collapsed="false">
      <c r="A322" s="27"/>
      <c r="B322" s="27"/>
      <c r="C322" s="27"/>
    </row>
    <row r="323" customFormat="false" ht="15" hidden="false" customHeight="false" outlineLevel="0" collapsed="false">
      <c r="A323" s="27"/>
      <c r="B323" s="27"/>
      <c r="C323" s="27"/>
    </row>
    <row r="324" customFormat="false" ht="15" hidden="false" customHeight="false" outlineLevel="0" collapsed="false">
      <c r="A324" s="27"/>
      <c r="B324" s="27"/>
      <c r="C324" s="27"/>
    </row>
    <row r="325" customFormat="false" ht="15" hidden="false" customHeight="false" outlineLevel="0" collapsed="false">
      <c r="A325" s="27"/>
      <c r="B325" s="27"/>
      <c r="C325" s="27"/>
    </row>
    <row r="326" customFormat="false" ht="15" hidden="false" customHeight="false" outlineLevel="0" collapsed="false">
      <c r="A326" s="27"/>
      <c r="B326" s="27"/>
      <c r="C326" s="27"/>
    </row>
    <row r="327" customFormat="false" ht="15" hidden="false" customHeight="false" outlineLevel="0" collapsed="false">
      <c r="A327" s="27"/>
      <c r="B327" s="27"/>
      <c r="C327" s="27"/>
    </row>
    <row r="328" customFormat="false" ht="15" hidden="false" customHeight="false" outlineLevel="0" collapsed="false">
      <c r="A328" s="27"/>
      <c r="B328" s="27"/>
      <c r="C328" s="27"/>
    </row>
    <row r="329" customFormat="false" ht="15" hidden="false" customHeight="false" outlineLevel="0" collapsed="false">
      <c r="A329" s="27"/>
      <c r="B329" s="27"/>
      <c r="C329" s="27"/>
    </row>
    <row r="330" customFormat="false" ht="15" hidden="false" customHeight="false" outlineLevel="0" collapsed="false">
      <c r="A330" s="27"/>
      <c r="B330" s="27"/>
      <c r="C330" s="27"/>
    </row>
    <row r="331" customFormat="false" ht="15" hidden="false" customHeight="false" outlineLevel="0" collapsed="false">
      <c r="A331" s="27"/>
      <c r="B331" s="27"/>
      <c r="C331" s="27"/>
    </row>
    <row r="332" customFormat="false" ht="15" hidden="false" customHeight="false" outlineLevel="0" collapsed="false">
      <c r="A332" s="27"/>
      <c r="B332" s="27"/>
      <c r="C332" s="27"/>
    </row>
    <row r="333" customFormat="false" ht="15" hidden="false" customHeight="false" outlineLevel="0" collapsed="false">
      <c r="A333" s="27"/>
      <c r="B333" s="27"/>
      <c r="C333" s="27"/>
    </row>
    <row r="334" customFormat="false" ht="15" hidden="false" customHeight="false" outlineLevel="0" collapsed="false">
      <c r="A334" s="27"/>
      <c r="B334" s="27"/>
      <c r="C334" s="27"/>
    </row>
    <row r="335" customFormat="false" ht="15" hidden="false" customHeight="false" outlineLevel="0" collapsed="false">
      <c r="A335" s="27"/>
      <c r="B335" s="27"/>
      <c r="C335" s="27"/>
    </row>
    <row r="336" customFormat="false" ht="15" hidden="false" customHeight="false" outlineLevel="0" collapsed="false">
      <c r="A336" s="27"/>
      <c r="B336" s="27"/>
      <c r="C336" s="27"/>
    </row>
    <row r="337" customFormat="false" ht="15" hidden="false" customHeight="false" outlineLevel="0" collapsed="false">
      <c r="A337" s="27"/>
      <c r="B337" s="27"/>
      <c r="C337" s="27"/>
    </row>
    <row r="338" customFormat="false" ht="15" hidden="false" customHeight="false" outlineLevel="0" collapsed="false">
      <c r="A338" s="27"/>
      <c r="B338" s="27"/>
      <c r="C338" s="27"/>
    </row>
    <row r="339" customFormat="false" ht="15" hidden="false" customHeight="false" outlineLevel="0" collapsed="false">
      <c r="A339" s="27"/>
      <c r="B339" s="27"/>
      <c r="C339" s="27"/>
    </row>
    <row r="340" customFormat="false" ht="15" hidden="false" customHeight="false" outlineLevel="0" collapsed="false">
      <c r="A340" s="27"/>
      <c r="B340" s="27"/>
      <c r="C340" s="27"/>
    </row>
    <row r="341" customFormat="false" ht="15" hidden="false" customHeight="false" outlineLevel="0" collapsed="false">
      <c r="A341" s="27"/>
      <c r="B341" s="27"/>
      <c r="C341" s="27"/>
    </row>
    <row r="342" customFormat="false" ht="15" hidden="false" customHeight="false" outlineLevel="0" collapsed="false">
      <c r="A342" s="27"/>
      <c r="B342" s="27"/>
      <c r="C342" s="27"/>
    </row>
    <row r="343" customFormat="false" ht="15" hidden="false" customHeight="false" outlineLevel="0" collapsed="false">
      <c r="A343" s="27"/>
      <c r="B343" s="27"/>
      <c r="C343" s="27"/>
    </row>
    <row r="344" customFormat="false" ht="15" hidden="false" customHeight="false" outlineLevel="0" collapsed="false">
      <c r="A344" s="27"/>
      <c r="B344" s="27"/>
      <c r="C344" s="27"/>
    </row>
    <row r="345" customFormat="false" ht="15" hidden="false" customHeight="false" outlineLevel="0" collapsed="false">
      <c r="A345" s="27"/>
      <c r="B345" s="27"/>
      <c r="C345" s="27"/>
    </row>
    <row r="346" customFormat="false" ht="15" hidden="false" customHeight="false" outlineLevel="0" collapsed="false">
      <c r="A346" s="27"/>
      <c r="B346" s="27"/>
      <c r="C346" s="27"/>
    </row>
    <row r="347" customFormat="false" ht="15" hidden="false" customHeight="false" outlineLevel="0" collapsed="false">
      <c r="A347" s="27"/>
      <c r="B347" s="27"/>
      <c r="C347" s="27"/>
    </row>
    <row r="348" customFormat="false" ht="15" hidden="false" customHeight="false" outlineLevel="0" collapsed="false">
      <c r="A348" s="27"/>
      <c r="B348" s="27"/>
      <c r="C348" s="27"/>
    </row>
    <row r="349" customFormat="false" ht="15" hidden="false" customHeight="false" outlineLevel="0" collapsed="false">
      <c r="A349" s="27"/>
      <c r="B349" s="27"/>
      <c r="C349" s="27"/>
    </row>
    <row r="350" customFormat="false" ht="15" hidden="false" customHeight="false" outlineLevel="0" collapsed="false">
      <c r="A350" s="27"/>
      <c r="B350" s="27"/>
      <c r="C350" s="27"/>
    </row>
    <row r="351" customFormat="false" ht="15" hidden="false" customHeight="false" outlineLevel="0" collapsed="false">
      <c r="A351" s="27"/>
      <c r="B351" s="27"/>
      <c r="C351" s="27"/>
    </row>
    <row r="352" customFormat="false" ht="15" hidden="false" customHeight="false" outlineLevel="0" collapsed="false">
      <c r="A352" s="27"/>
      <c r="B352" s="27"/>
      <c r="C352" s="27"/>
    </row>
    <row r="353" customFormat="false" ht="15" hidden="false" customHeight="false" outlineLevel="0" collapsed="false">
      <c r="A353" s="27"/>
      <c r="B353" s="27"/>
      <c r="C353" s="27"/>
    </row>
    <row r="354" customFormat="false" ht="15" hidden="false" customHeight="false" outlineLevel="0" collapsed="false">
      <c r="A354" s="27"/>
      <c r="B354" s="27"/>
      <c r="C354" s="27"/>
    </row>
    <row r="355" customFormat="false" ht="15" hidden="false" customHeight="false" outlineLevel="0" collapsed="false">
      <c r="A355" s="27"/>
      <c r="B355" s="27"/>
      <c r="C355" s="27"/>
    </row>
    <row r="356" customFormat="false" ht="15" hidden="false" customHeight="false" outlineLevel="0" collapsed="false">
      <c r="A356" s="27"/>
      <c r="B356" s="27"/>
      <c r="C356" s="27"/>
    </row>
    <row r="357" customFormat="false" ht="15" hidden="false" customHeight="false" outlineLevel="0" collapsed="false">
      <c r="A357" s="27"/>
      <c r="B357" s="27"/>
      <c r="C357" s="27"/>
    </row>
    <row r="358" customFormat="false" ht="15" hidden="false" customHeight="false" outlineLevel="0" collapsed="false">
      <c r="A358" s="27"/>
      <c r="B358" s="27"/>
      <c r="C358" s="27"/>
    </row>
    <row r="359" customFormat="false" ht="15" hidden="false" customHeight="false" outlineLevel="0" collapsed="false">
      <c r="A359" s="27"/>
      <c r="B359" s="27"/>
      <c r="C359" s="27"/>
    </row>
    <row r="360" customFormat="false" ht="15" hidden="false" customHeight="false" outlineLevel="0" collapsed="false">
      <c r="A360" s="27"/>
      <c r="B360" s="27"/>
      <c r="C360" s="27"/>
    </row>
    <row r="361" customFormat="false" ht="15" hidden="false" customHeight="false" outlineLevel="0" collapsed="false">
      <c r="A361" s="27"/>
      <c r="B361" s="27"/>
      <c r="C361" s="27"/>
    </row>
    <row r="362" customFormat="false" ht="15" hidden="false" customHeight="false" outlineLevel="0" collapsed="false">
      <c r="A362" s="27"/>
      <c r="B362" s="27"/>
      <c r="C362" s="27"/>
    </row>
    <row r="363" customFormat="false" ht="15" hidden="false" customHeight="false" outlineLevel="0" collapsed="false">
      <c r="A363" s="27"/>
      <c r="B363" s="27"/>
      <c r="C363" s="27"/>
    </row>
    <row r="364" customFormat="false" ht="15" hidden="false" customHeight="false" outlineLevel="0" collapsed="false">
      <c r="A364" s="27"/>
      <c r="B364" s="27"/>
      <c r="C364" s="27"/>
    </row>
    <row r="365" customFormat="false" ht="15" hidden="false" customHeight="false" outlineLevel="0" collapsed="false">
      <c r="A365" s="27"/>
      <c r="B365" s="27"/>
      <c r="C365" s="27"/>
    </row>
    <row r="366" customFormat="false" ht="15" hidden="false" customHeight="false" outlineLevel="0" collapsed="false">
      <c r="A366" s="27"/>
      <c r="B366" s="27"/>
      <c r="C366" s="27"/>
    </row>
    <row r="367" customFormat="false" ht="15" hidden="false" customHeight="false" outlineLevel="0" collapsed="false">
      <c r="A367" s="27"/>
      <c r="B367" s="27"/>
      <c r="C367" s="27"/>
    </row>
    <row r="368" customFormat="false" ht="15" hidden="false" customHeight="false" outlineLevel="0" collapsed="false">
      <c r="A368" s="27"/>
      <c r="B368" s="27"/>
      <c r="C368" s="27"/>
    </row>
    <row r="369" customFormat="false" ht="15" hidden="false" customHeight="false" outlineLevel="0" collapsed="false">
      <c r="A369" s="27"/>
      <c r="B369" s="27"/>
      <c r="C369" s="27"/>
    </row>
    <row r="370" customFormat="false" ht="15" hidden="false" customHeight="false" outlineLevel="0" collapsed="false">
      <c r="A370" s="27"/>
      <c r="B370" s="27"/>
      <c r="C370" s="27"/>
    </row>
    <row r="371" customFormat="false" ht="15" hidden="false" customHeight="false" outlineLevel="0" collapsed="false">
      <c r="A371" s="27"/>
      <c r="B371" s="27"/>
      <c r="C371" s="27"/>
    </row>
    <row r="372" customFormat="false" ht="15" hidden="false" customHeight="false" outlineLevel="0" collapsed="false">
      <c r="A372" s="27"/>
      <c r="B372" s="27"/>
      <c r="C372" s="27"/>
    </row>
    <row r="373" customFormat="false" ht="15" hidden="false" customHeight="false" outlineLevel="0" collapsed="false">
      <c r="A373" s="27"/>
      <c r="B373" s="27"/>
      <c r="C373" s="27"/>
    </row>
    <row r="374" customFormat="false" ht="15" hidden="false" customHeight="false" outlineLevel="0" collapsed="false">
      <c r="A374" s="27"/>
      <c r="B374" s="27"/>
      <c r="C374" s="27"/>
    </row>
    <row r="375" customFormat="false" ht="15" hidden="false" customHeight="false" outlineLevel="0" collapsed="false">
      <c r="A375" s="27"/>
      <c r="B375" s="27"/>
      <c r="C375" s="27"/>
    </row>
    <row r="376" customFormat="false" ht="15" hidden="false" customHeight="false" outlineLevel="0" collapsed="false">
      <c r="A376" s="27"/>
      <c r="B376" s="27"/>
      <c r="C376" s="27"/>
    </row>
    <row r="377" customFormat="false" ht="15" hidden="false" customHeight="false" outlineLevel="0" collapsed="false">
      <c r="A377" s="27"/>
      <c r="B377" s="27"/>
      <c r="C377" s="27"/>
    </row>
    <row r="378" customFormat="false" ht="15" hidden="false" customHeight="false" outlineLevel="0" collapsed="false">
      <c r="A378" s="27"/>
      <c r="B378" s="27"/>
      <c r="C378" s="27"/>
    </row>
    <row r="379" customFormat="false" ht="15" hidden="false" customHeight="false" outlineLevel="0" collapsed="false">
      <c r="A379" s="27"/>
      <c r="B379" s="27"/>
      <c r="C379" s="27"/>
    </row>
    <row r="380" customFormat="false" ht="15" hidden="false" customHeight="false" outlineLevel="0" collapsed="false">
      <c r="A380" s="27"/>
      <c r="B380" s="27"/>
      <c r="C380" s="27"/>
    </row>
    <row r="381" customFormat="false" ht="15" hidden="false" customHeight="false" outlineLevel="0" collapsed="false">
      <c r="A381" s="27"/>
      <c r="B381" s="27"/>
      <c r="C381" s="27"/>
    </row>
    <row r="382" customFormat="false" ht="15" hidden="false" customHeight="false" outlineLevel="0" collapsed="false">
      <c r="A382" s="27"/>
      <c r="B382" s="27"/>
      <c r="C382" s="27"/>
    </row>
    <row r="383" customFormat="false" ht="15" hidden="false" customHeight="false" outlineLevel="0" collapsed="false">
      <c r="A383" s="27"/>
      <c r="B383" s="27"/>
      <c r="C383" s="27"/>
    </row>
    <row r="384" customFormat="false" ht="15" hidden="false" customHeight="false" outlineLevel="0" collapsed="false">
      <c r="A384" s="27"/>
      <c r="B384" s="27"/>
      <c r="C384" s="27"/>
    </row>
    <row r="385" customFormat="false" ht="15" hidden="false" customHeight="false" outlineLevel="0" collapsed="false">
      <c r="A385" s="27"/>
      <c r="B385" s="27"/>
      <c r="C385" s="27"/>
    </row>
    <row r="386" customFormat="false" ht="15" hidden="false" customHeight="false" outlineLevel="0" collapsed="false">
      <c r="A386" s="27"/>
      <c r="B386" s="27"/>
      <c r="C386" s="27"/>
    </row>
    <row r="387" customFormat="false" ht="15" hidden="false" customHeight="false" outlineLevel="0" collapsed="false">
      <c r="A387" s="27"/>
      <c r="B387" s="27"/>
      <c r="C387" s="27"/>
    </row>
    <row r="388" customFormat="false" ht="15" hidden="false" customHeight="false" outlineLevel="0" collapsed="false">
      <c r="A388" s="27"/>
      <c r="B388" s="27"/>
      <c r="C388" s="27"/>
    </row>
    <row r="389" customFormat="false" ht="15" hidden="false" customHeight="false" outlineLevel="0" collapsed="false">
      <c r="A389" s="27"/>
      <c r="B389" s="27"/>
      <c r="C389" s="27"/>
    </row>
    <row r="390" customFormat="false" ht="15" hidden="false" customHeight="false" outlineLevel="0" collapsed="false">
      <c r="A390" s="27"/>
      <c r="B390" s="27"/>
      <c r="C390" s="27"/>
    </row>
    <row r="391" customFormat="false" ht="15" hidden="false" customHeight="false" outlineLevel="0" collapsed="false">
      <c r="A391" s="27"/>
      <c r="B391" s="27"/>
      <c r="C391" s="27"/>
    </row>
    <row r="392" customFormat="false" ht="15" hidden="false" customHeight="false" outlineLevel="0" collapsed="false">
      <c r="A392" s="27"/>
      <c r="B392" s="27"/>
      <c r="C392" s="27"/>
    </row>
    <row r="393" customFormat="false" ht="15" hidden="false" customHeight="false" outlineLevel="0" collapsed="false">
      <c r="A393" s="27"/>
      <c r="B393" s="27"/>
      <c r="C393" s="27"/>
    </row>
    <row r="394" customFormat="false" ht="15" hidden="false" customHeight="false" outlineLevel="0" collapsed="false">
      <c r="A394" s="27"/>
      <c r="B394" s="27"/>
      <c r="C394" s="27"/>
    </row>
    <row r="395" customFormat="false" ht="15" hidden="false" customHeight="false" outlineLevel="0" collapsed="false">
      <c r="A395" s="27"/>
      <c r="B395" s="27"/>
      <c r="C395" s="27"/>
    </row>
    <row r="396" customFormat="false" ht="15" hidden="false" customHeight="false" outlineLevel="0" collapsed="false">
      <c r="A396" s="27"/>
      <c r="B396" s="27"/>
      <c r="C396" s="27"/>
    </row>
    <row r="397" customFormat="false" ht="15" hidden="false" customHeight="false" outlineLevel="0" collapsed="false">
      <c r="A397" s="27"/>
      <c r="B397" s="27"/>
      <c r="C397" s="27"/>
    </row>
    <row r="398" customFormat="false" ht="15" hidden="false" customHeight="false" outlineLevel="0" collapsed="false">
      <c r="A398" s="27"/>
      <c r="B398" s="27"/>
      <c r="C398" s="27"/>
    </row>
    <row r="399" customFormat="false" ht="15" hidden="false" customHeight="false" outlineLevel="0" collapsed="false">
      <c r="A399" s="27"/>
      <c r="B399" s="27"/>
      <c r="C399" s="27"/>
    </row>
    <row r="400" customFormat="false" ht="15" hidden="false" customHeight="false" outlineLevel="0" collapsed="false">
      <c r="A400" s="27"/>
      <c r="B400" s="27"/>
      <c r="C400" s="27"/>
    </row>
    <row r="401" customFormat="false" ht="15" hidden="false" customHeight="false" outlineLevel="0" collapsed="false">
      <c r="A401" s="27"/>
      <c r="B401" s="27"/>
      <c r="C401" s="27"/>
    </row>
    <row r="402" customFormat="false" ht="15" hidden="false" customHeight="false" outlineLevel="0" collapsed="false">
      <c r="A402" s="27"/>
      <c r="B402" s="27"/>
      <c r="C402" s="27"/>
    </row>
    <row r="403" customFormat="false" ht="15" hidden="false" customHeight="false" outlineLevel="0" collapsed="false">
      <c r="A403" s="27"/>
      <c r="B403" s="27"/>
      <c r="C403" s="27"/>
    </row>
    <row r="404" customFormat="false" ht="15" hidden="false" customHeight="false" outlineLevel="0" collapsed="false">
      <c r="A404" s="27"/>
      <c r="B404" s="27"/>
      <c r="C404" s="27"/>
    </row>
    <row r="405" customFormat="false" ht="15" hidden="false" customHeight="false" outlineLevel="0" collapsed="false">
      <c r="A405" s="27"/>
      <c r="B405" s="27"/>
      <c r="C405" s="27"/>
    </row>
    <row r="406" customFormat="false" ht="15" hidden="false" customHeight="false" outlineLevel="0" collapsed="false">
      <c r="A406" s="27"/>
      <c r="B406" s="27"/>
      <c r="C406" s="27"/>
    </row>
    <row r="407" customFormat="false" ht="15" hidden="false" customHeight="false" outlineLevel="0" collapsed="false">
      <c r="A407" s="27"/>
      <c r="B407" s="27"/>
      <c r="C407" s="27"/>
    </row>
    <row r="408" customFormat="false" ht="15" hidden="false" customHeight="false" outlineLevel="0" collapsed="false">
      <c r="A408" s="27"/>
      <c r="B408" s="27"/>
      <c r="C408" s="27"/>
    </row>
    <row r="409" customFormat="false" ht="15" hidden="false" customHeight="false" outlineLevel="0" collapsed="false">
      <c r="A409" s="27"/>
      <c r="B409" s="27"/>
      <c r="C409" s="27"/>
    </row>
    <row r="410" customFormat="false" ht="15" hidden="false" customHeight="false" outlineLevel="0" collapsed="false">
      <c r="A410" s="27"/>
      <c r="B410" s="27"/>
      <c r="C410" s="27"/>
    </row>
    <row r="411" customFormat="false" ht="15" hidden="false" customHeight="false" outlineLevel="0" collapsed="false">
      <c r="A411" s="27"/>
      <c r="B411" s="27"/>
      <c r="C411" s="27"/>
    </row>
    <row r="412" customFormat="false" ht="15" hidden="false" customHeight="false" outlineLevel="0" collapsed="false">
      <c r="A412" s="27"/>
      <c r="B412" s="27"/>
      <c r="C412" s="27"/>
    </row>
    <row r="413" customFormat="false" ht="15" hidden="false" customHeight="false" outlineLevel="0" collapsed="false">
      <c r="A413" s="27"/>
      <c r="B413" s="27"/>
      <c r="C413" s="27"/>
    </row>
    <row r="414" customFormat="false" ht="15" hidden="false" customHeight="false" outlineLevel="0" collapsed="false">
      <c r="A414" s="27"/>
      <c r="B414" s="27"/>
      <c r="C414" s="27"/>
    </row>
    <row r="415" customFormat="false" ht="15" hidden="false" customHeight="false" outlineLevel="0" collapsed="false">
      <c r="A415" s="27"/>
      <c r="B415" s="27"/>
      <c r="C415" s="27"/>
    </row>
    <row r="416" customFormat="false" ht="15" hidden="false" customHeight="false" outlineLevel="0" collapsed="false">
      <c r="A416" s="27"/>
      <c r="B416" s="27"/>
      <c r="C416" s="27"/>
    </row>
    <row r="417" customFormat="false" ht="15" hidden="false" customHeight="false" outlineLevel="0" collapsed="false">
      <c r="A417" s="27"/>
      <c r="B417" s="27"/>
      <c r="C417" s="27"/>
    </row>
    <row r="418" customFormat="false" ht="15" hidden="false" customHeight="false" outlineLevel="0" collapsed="false">
      <c r="A418" s="27"/>
      <c r="B418" s="27"/>
      <c r="C418" s="27"/>
    </row>
    <row r="419" customFormat="false" ht="15" hidden="false" customHeight="false" outlineLevel="0" collapsed="false">
      <c r="A419" s="27"/>
      <c r="B419" s="27"/>
      <c r="C419" s="27"/>
    </row>
    <row r="420" customFormat="false" ht="15" hidden="false" customHeight="false" outlineLevel="0" collapsed="false">
      <c r="A420" s="27"/>
      <c r="B420" s="27"/>
      <c r="C420" s="27"/>
    </row>
    <row r="421" customFormat="false" ht="15" hidden="false" customHeight="false" outlineLevel="0" collapsed="false">
      <c r="A421" s="27"/>
      <c r="B421" s="27"/>
      <c r="C421" s="27"/>
    </row>
    <row r="422" customFormat="false" ht="15" hidden="false" customHeight="false" outlineLevel="0" collapsed="false">
      <c r="A422" s="27"/>
      <c r="B422" s="27"/>
      <c r="C422" s="27"/>
    </row>
    <row r="423" customFormat="false" ht="15" hidden="false" customHeight="false" outlineLevel="0" collapsed="false">
      <c r="A423" s="27"/>
      <c r="B423" s="27"/>
      <c r="C423" s="27"/>
    </row>
    <row r="424" customFormat="false" ht="15" hidden="false" customHeight="false" outlineLevel="0" collapsed="false">
      <c r="A424" s="27"/>
      <c r="B424" s="27"/>
      <c r="C424" s="27"/>
    </row>
    <row r="425" customFormat="false" ht="15" hidden="false" customHeight="false" outlineLevel="0" collapsed="false">
      <c r="A425" s="27"/>
      <c r="B425" s="27"/>
      <c r="C425" s="27"/>
    </row>
    <row r="426" customFormat="false" ht="15" hidden="false" customHeight="false" outlineLevel="0" collapsed="false">
      <c r="A426" s="27"/>
      <c r="B426" s="27"/>
      <c r="C426" s="27"/>
    </row>
    <row r="427" customFormat="false" ht="15" hidden="false" customHeight="false" outlineLevel="0" collapsed="false">
      <c r="A427" s="27"/>
      <c r="B427" s="27"/>
      <c r="C427" s="27"/>
    </row>
    <row r="428" customFormat="false" ht="15" hidden="false" customHeight="false" outlineLevel="0" collapsed="false">
      <c r="A428" s="27"/>
      <c r="B428" s="27"/>
      <c r="C428" s="27"/>
    </row>
    <row r="429" customFormat="false" ht="15" hidden="false" customHeight="false" outlineLevel="0" collapsed="false">
      <c r="A429" s="27"/>
      <c r="B429" s="27"/>
      <c r="C429" s="27"/>
    </row>
    <row r="430" customFormat="false" ht="15" hidden="false" customHeight="false" outlineLevel="0" collapsed="false">
      <c r="A430" s="27"/>
      <c r="B430" s="27"/>
      <c r="C430" s="27"/>
    </row>
    <row r="431" customFormat="false" ht="15" hidden="false" customHeight="false" outlineLevel="0" collapsed="false">
      <c r="A431" s="27"/>
      <c r="B431" s="27"/>
      <c r="C431" s="27"/>
    </row>
    <row r="432" customFormat="false" ht="15" hidden="false" customHeight="false" outlineLevel="0" collapsed="false">
      <c r="A432" s="27"/>
      <c r="B432" s="27"/>
      <c r="C432" s="27"/>
    </row>
    <row r="433" customFormat="false" ht="15" hidden="false" customHeight="false" outlineLevel="0" collapsed="false">
      <c r="A433" s="27"/>
      <c r="B433" s="27"/>
      <c r="C433" s="27"/>
    </row>
    <row r="434" customFormat="false" ht="15" hidden="false" customHeight="false" outlineLevel="0" collapsed="false">
      <c r="A434" s="27"/>
      <c r="B434" s="27"/>
      <c r="C434" s="27"/>
    </row>
    <row r="435" customFormat="false" ht="15" hidden="false" customHeight="false" outlineLevel="0" collapsed="false">
      <c r="A435" s="27"/>
      <c r="B435" s="27"/>
      <c r="C435" s="27"/>
    </row>
    <row r="436" customFormat="false" ht="15" hidden="false" customHeight="false" outlineLevel="0" collapsed="false">
      <c r="A436" s="27"/>
      <c r="B436" s="27"/>
      <c r="C436" s="27"/>
    </row>
    <row r="437" customFormat="false" ht="15" hidden="false" customHeight="false" outlineLevel="0" collapsed="false">
      <c r="A437" s="27"/>
      <c r="B437" s="27"/>
      <c r="C437" s="27"/>
    </row>
    <row r="438" customFormat="false" ht="15" hidden="false" customHeight="false" outlineLevel="0" collapsed="false">
      <c r="A438" s="27"/>
      <c r="B438" s="27"/>
      <c r="C438" s="27"/>
    </row>
    <row r="439" customFormat="false" ht="15" hidden="false" customHeight="false" outlineLevel="0" collapsed="false">
      <c r="A439" s="27"/>
      <c r="B439" s="27"/>
      <c r="C439" s="27"/>
    </row>
    <row r="440" customFormat="false" ht="15" hidden="false" customHeight="false" outlineLevel="0" collapsed="false">
      <c r="A440" s="27"/>
      <c r="B440" s="27"/>
      <c r="C440" s="27"/>
    </row>
    <row r="441" customFormat="false" ht="15" hidden="false" customHeight="false" outlineLevel="0" collapsed="false">
      <c r="A441" s="27"/>
      <c r="B441" s="27"/>
      <c r="C441" s="27"/>
    </row>
    <row r="442" customFormat="false" ht="15" hidden="false" customHeight="false" outlineLevel="0" collapsed="false">
      <c r="A442" s="27"/>
      <c r="B442" s="27"/>
      <c r="C442" s="27"/>
    </row>
    <row r="443" customFormat="false" ht="15" hidden="false" customHeight="false" outlineLevel="0" collapsed="false">
      <c r="A443" s="27"/>
      <c r="B443" s="27"/>
      <c r="C443" s="27"/>
    </row>
    <row r="444" customFormat="false" ht="15" hidden="false" customHeight="false" outlineLevel="0" collapsed="false">
      <c r="A444" s="27"/>
      <c r="B444" s="27"/>
      <c r="C444" s="27"/>
    </row>
    <row r="445" customFormat="false" ht="15" hidden="false" customHeight="false" outlineLevel="0" collapsed="false">
      <c r="A445" s="27"/>
      <c r="B445" s="27"/>
      <c r="C445" s="27"/>
    </row>
    <row r="446" customFormat="false" ht="15" hidden="false" customHeight="false" outlineLevel="0" collapsed="false">
      <c r="A446" s="27"/>
      <c r="B446" s="27"/>
      <c r="C446" s="27"/>
    </row>
    <row r="447" customFormat="false" ht="15" hidden="false" customHeight="false" outlineLevel="0" collapsed="false">
      <c r="A447" s="27"/>
      <c r="B447" s="27"/>
      <c r="C447" s="27"/>
    </row>
    <row r="448" customFormat="false" ht="15" hidden="false" customHeight="false" outlineLevel="0" collapsed="false">
      <c r="A448" s="27"/>
      <c r="B448" s="27"/>
      <c r="C448" s="27"/>
    </row>
    <row r="449" customFormat="false" ht="15" hidden="false" customHeight="false" outlineLevel="0" collapsed="false">
      <c r="A449" s="27"/>
      <c r="B449" s="27"/>
      <c r="C449" s="27"/>
    </row>
    <row r="450" customFormat="false" ht="15" hidden="false" customHeight="false" outlineLevel="0" collapsed="false">
      <c r="A450" s="27"/>
      <c r="B450" s="27"/>
      <c r="C450" s="27"/>
    </row>
    <row r="451" customFormat="false" ht="15" hidden="false" customHeight="false" outlineLevel="0" collapsed="false">
      <c r="A451" s="27"/>
      <c r="B451" s="27"/>
      <c r="C451" s="27"/>
    </row>
    <row r="452" customFormat="false" ht="15" hidden="false" customHeight="false" outlineLevel="0" collapsed="false">
      <c r="A452" s="27"/>
      <c r="B452" s="27"/>
      <c r="C452" s="27"/>
    </row>
    <row r="453" customFormat="false" ht="15" hidden="false" customHeight="false" outlineLevel="0" collapsed="false">
      <c r="A453" s="27"/>
      <c r="B453" s="27"/>
      <c r="C453" s="27"/>
    </row>
    <row r="454" customFormat="false" ht="15" hidden="false" customHeight="false" outlineLevel="0" collapsed="false">
      <c r="A454" s="27"/>
      <c r="B454" s="27"/>
      <c r="C454" s="27"/>
    </row>
    <row r="455" customFormat="false" ht="15" hidden="false" customHeight="false" outlineLevel="0" collapsed="false">
      <c r="A455" s="27"/>
      <c r="B455" s="27"/>
      <c r="C455" s="27"/>
    </row>
    <row r="456" customFormat="false" ht="15" hidden="false" customHeight="false" outlineLevel="0" collapsed="false">
      <c r="A456" s="27"/>
      <c r="B456" s="27"/>
      <c r="C456" s="27"/>
    </row>
    <row r="457" customFormat="false" ht="15" hidden="false" customHeight="false" outlineLevel="0" collapsed="false">
      <c r="A457" s="27"/>
      <c r="B457" s="27"/>
      <c r="C457" s="27"/>
    </row>
    <row r="458" customFormat="false" ht="15" hidden="false" customHeight="false" outlineLevel="0" collapsed="false">
      <c r="A458" s="27"/>
      <c r="B458" s="27"/>
      <c r="C458" s="27"/>
    </row>
    <row r="459" customFormat="false" ht="15" hidden="false" customHeight="false" outlineLevel="0" collapsed="false">
      <c r="A459" s="27"/>
      <c r="B459" s="27"/>
      <c r="C459" s="27"/>
    </row>
    <row r="460" customFormat="false" ht="15" hidden="false" customHeight="false" outlineLevel="0" collapsed="false">
      <c r="A460" s="27"/>
      <c r="B460" s="27"/>
      <c r="C460" s="27"/>
    </row>
    <row r="461" customFormat="false" ht="15" hidden="false" customHeight="false" outlineLevel="0" collapsed="false">
      <c r="A461" s="27"/>
      <c r="B461" s="27"/>
      <c r="C461" s="27"/>
    </row>
    <row r="462" customFormat="false" ht="15" hidden="false" customHeight="false" outlineLevel="0" collapsed="false">
      <c r="A462" s="27"/>
      <c r="B462" s="27"/>
      <c r="C462" s="27"/>
    </row>
    <row r="463" customFormat="false" ht="15" hidden="false" customHeight="false" outlineLevel="0" collapsed="false">
      <c r="A463" s="27"/>
      <c r="B463" s="27"/>
      <c r="C463" s="27"/>
    </row>
    <row r="464" customFormat="false" ht="15" hidden="false" customHeight="false" outlineLevel="0" collapsed="false">
      <c r="A464" s="27"/>
      <c r="B464" s="27"/>
      <c r="C464" s="27"/>
    </row>
    <row r="465" customFormat="false" ht="15" hidden="false" customHeight="false" outlineLevel="0" collapsed="false">
      <c r="A465" s="27"/>
      <c r="B465" s="27"/>
      <c r="C465" s="27"/>
    </row>
    <row r="466" customFormat="false" ht="15" hidden="false" customHeight="false" outlineLevel="0" collapsed="false">
      <c r="A466" s="27"/>
      <c r="B466" s="27"/>
      <c r="C466" s="27"/>
    </row>
    <row r="467" customFormat="false" ht="15" hidden="false" customHeight="false" outlineLevel="0" collapsed="false">
      <c r="A467" s="27"/>
      <c r="B467" s="27"/>
      <c r="C467" s="27"/>
    </row>
    <row r="468" customFormat="false" ht="15" hidden="false" customHeight="false" outlineLevel="0" collapsed="false">
      <c r="A468" s="27"/>
      <c r="B468" s="27"/>
      <c r="C468" s="27"/>
    </row>
    <row r="469" customFormat="false" ht="15" hidden="false" customHeight="false" outlineLevel="0" collapsed="false">
      <c r="A469" s="27"/>
      <c r="B469" s="27"/>
      <c r="C469" s="27"/>
    </row>
    <row r="470" customFormat="false" ht="15" hidden="false" customHeight="false" outlineLevel="0" collapsed="false">
      <c r="A470" s="27"/>
      <c r="B470" s="27"/>
      <c r="C470" s="27"/>
    </row>
    <row r="471" customFormat="false" ht="15" hidden="false" customHeight="false" outlineLevel="0" collapsed="false">
      <c r="A471" s="27"/>
      <c r="B471" s="27"/>
      <c r="C471" s="27"/>
    </row>
    <row r="472" customFormat="false" ht="15" hidden="false" customHeight="false" outlineLevel="0" collapsed="false">
      <c r="A472" s="27"/>
      <c r="B472" s="27"/>
      <c r="C472" s="27"/>
    </row>
    <row r="473" customFormat="false" ht="15" hidden="false" customHeight="false" outlineLevel="0" collapsed="false">
      <c r="A473" s="27"/>
      <c r="B473" s="27"/>
      <c r="C473" s="27"/>
    </row>
    <row r="474" customFormat="false" ht="15" hidden="false" customHeight="false" outlineLevel="0" collapsed="false">
      <c r="A474" s="27"/>
      <c r="B474" s="27"/>
      <c r="C474" s="27"/>
    </row>
    <row r="475" customFormat="false" ht="15" hidden="false" customHeight="false" outlineLevel="0" collapsed="false">
      <c r="A475" s="27"/>
      <c r="B475" s="27"/>
      <c r="C475" s="27"/>
    </row>
    <row r="476" customFormat="false" ht="15" hidden="false" customHeight="false" outlineLevel="0" collapsed="false">
      <c r="A476" s="27"/>
      <c r="B476" s="27"/>
      <c r="C476" s="27"/>
    </row>
    <row r="477" customFormat="false" ht="15" hidden="false" customHeight="false" outlineLevel="0" collapsed="false">
      <c r="A477" s="27"/>
      <c r="B477" s="27"/>
      <c r="C477" s="27"/>
    </row>
    <row r="478" customFormat="false" ht="15" hidden="false" customHeight="false" outlineLevel="0" collapsed="false">
      <c r="A478" s="27"/>
      <c r="B478" s="27"/>
      <c r="C478" s="27"/>
    </row>
    <row r="479" customFormat="false" ht="15" hidden="false" customHeight="false" outlineLevel="0" collapsed="false">
      <c r="A479" s="27"/>
      <c r="B479" s="27"/>
      <c r="C479" s="27"/>
    </row>
    <row r="480" customFormat="false" ht="15" hidden="false" customHeight="false" outlineLevel="0" collapsed="false">
      <c r="A480" s="27"/>
      <c r="B480" s="27"/>
      <c r="C480" s="27"/>
    </row>
    <row r="481" customFormat="false" ht="15" hidden="false" customHeight="false" outlineLevel="0" collapsed="false">
      <c r="A481" s="27"/>
      <c r="B481" s="27"/>
      <c r="C481" s="27"/>
    </row>
    <row r="482" customFormat="false" ht="15" hidden="false" customHeight="false" outlineLevel="0" collapsed="false">
      <c r="A482" s="27"/>
      <c r="B482" s="27"/>
      <c r="C482" s="27"/>
    </row>
    <row r="483" customFormat="false" ht="15" hidden="false" customHeight="false" outlineLevel="0" collapsed="false">
      <c r="A483" s="27"/>
      <c r="B483" s="27"/>
      <c r="C483" s="27"/>
    </row>
    <row r="484" customFormat="false" ht="15" hidden="false" customHeight="false" outlineLevel="0" collapsed="false">
      <c r="A484" s="27"/>
      <c r="B484" s="27"/>
      <c r="C484" s="27"/>
    </row>
    <row r="485" customFormat="false" ht="15" hidden="false" customHeight="false" outlineLevel="0" collapsed="false">
      <c r="A485" s="27"/>
      <c r="B485" s="27"/>
      <c r="C485" s="27"/>
    </row>
    <row r="486" customFormat="false" ht="15" hidden="false" customHeight="false" outlineLevel="0" collapsed="false">
      <c r="A486" s="27"/>
      <c r="B486" s="27"/>
      <c r="C486" s="27"/>
    </row>
    <row r="487" customFormat="false" ht="15" hidden="false" customHeight="false" outlineLevel="0" collapsed="false">
      <c r="A487" s="27"/>
      <c r="B487" s="27"/>
      <c r="C487" s="27"/>
    </row>
    <row r="488" customFormat="false" ht="15" hidden="false" customHeight="false" outlineLevel="0" collapsed="false">
      <c r="A488" s="27"/>
      <c r="B488" s="27"/>
      <c r="C488" s="27"/>
    </row>
    <row r="489" customFormat="false" ht="15" hidden="false" customHeight="false" outlineLevel="0" collapsed="false">
      <c r="A489" s="27"/>
      <c r="B489" s="27"/>
      <c r="C489" s="27"/>
    </row>
    <row r="490" customFormat="false" ht="15" hidden="false" customHeight="false" outlineLevel="0" collapsed="false">
      <c r="A490" s="27"/>
      <c r="B490" s="27"/>
      <c r="C490" s="27"/>
    </row>
    <row r="491" customFormat="false" ht="15" hidden="false" customHeight="false" outlineLevel="0" collapsed="false">
      <c r="A491" s="27"/>
      <c r="B491" s="27"/>
      <c r="C491" s="27"/>
    </row>
    <row r="492" customFormat="false" ht="15" hidden="false" customHeight="false" outlineLevel="0" collapsed="false">
      <c r="A492" s="27"/>
      <c r="B492" s="27"/>
      <c r="C492" s="27"/>
    </row>
    <row r="493" customFormat="false" ht="15" hidden="false" customHeight="false" outlineLevel="0" collapsed="false">
      <c r="A493" s="27"/>
      <c r="B493" s="27"/>
      <c r="C493" s="27"/>
    </row>
    <row r="494" customFormat="false" ht="15" hidden="false" customHeight="false" outlineLevel="0" collapsed="false">
      <c r="A494" s="27"/>
      <c r="B494" s="27"/>
      <c r="C494" s="27"/>
    </row>
    <row r="495" customFormat="false" ht="15" hidden="false" customHeight="false" outlineLevel="0" collapsed="false">
      <c r="A495" s="27"/>
      <c r="B495" s="27"/>
      <c r="C495" s="27"/>
    </row>
    <row r="496" customFormat="false" ht="15" hidden="false" customHeight="false" outlineLevel="0" collapsed="false">
      <c r="A496" s="27"/>
      <c r="B496" s="27"/>
      <c r="C496" s="27"/>
    </row>
    <row r="497" customFormat="false" ht="15" hidden="false" customHeight="false" outlineLevel="0" collapsed="false">
      <c r="A497" s="27"/>
      <c r="B497" s="27"/>
      <c r="C497" s="27"/>
    </row>
    <row r="498" customFormat="false" ht="15" hidden="false" customHeight="false" outlineLevel="0" collapsed="false">
      <c r="A498" s="27"/>
      <c r="B498" s="27"/>
      <c r="C498" s="27"/>
    </row>
    <row r="499" customFormat="false" ht="15" hidden="false" customHeight="false" outlineLevel="0" collapsed="false">
      <c r="A499" s="27"/>
      <c r="B499" s="27"/>
      <c r="C499" s="27"/>
    </row>
    <row r="500" customFormat="false" ht="15" hidden="false" customHeight="false" outlineLevel="0" collapsed="false">
      <c r="A500" s="27"/>
      <c r="B500" s="27"/>
      <c r="C500" s="27"/>
    </row>
    <row r="501" customFormat="false" ht="15" hidden="false" customHeight="false" outlineLevel="0" collapsed="false">
      <c r="A501" s="27"/>
      <c r="B501" s="27"/>
      <c r="C501" s="27"/>
    </row>
    <row r="502" customFormat="false" ht="15" hidden="false" customHeight="false" outlineLevel="0" collapsed="false">
      <c r="A502" s="27"/>
      <c r="B502" s="27"/>
      <c r="C502" s="27"/>
    </row>
  </sheetData>
  <mergeCells count="1">
    <mergeCell ref="A1:C1"/>
  </mergeCells>
  <dataValidations count="1">
    <dataValidation allowBlank="true" error="Choose a value from the list." errorStyle="stop" errorTitle="Not in the list" operator="between" showDropDown="false" showErrorMessage="false" showInputMessage="false" sqref="C3:C502" type="list">
      <formula1>L_YesNo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G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30" hidden="false" customHeight="true" outlineLevel="0" collapsed="false">
      <c r="A1" s="25" t="s">
        <v>150</v>
      </c>
      <c r="B1" s="25"/>
      <c r="C1" s="25"/>
      <c r="D1" s="25"/>
      <c r="E1" s="25"/>
      <c r="F1" s="25"/>
      <c r="G1" s="25"/>
    </row>
    <row r="2" customFormat="false" ht="31.5" hidden="false" customHeight="true" outlineLevel="0" collapsed="false">
      <c r="A2" s="26" t="s">
        <v>151</v>
      </c>
      <c r="B2" s="26" t="s">
        <v>152</v>
      </c>
      <c r="C2" s="26" t="s">
        <v>145</v>
      </c>
      <c r="D2" s="26" t="s">
        <v>153</v>
      </c>
      <c r="E2" s="26" t="s">
        <v>154</v>
      </c>
      <c r="F2" s="26" t="s">
        <v>155</v>
      </c>
      <c r="G2" s="26" t="s">
        <v>156</v>
      </c>
    </row>
    <row r="3" customFormat="false" ht="15" hidden="false" customHeight="false" outlineLevel="0" collapsed="false">
      <c r="A3" s="27" t="s">
        <v>157</v>
      </c>
      <c r="B3" s="28" t="n">
        <f aca="true">TODAY()-40</f>
        <v>46267</v>
      </c>
      <c r="C3" s="27" t="s">
        <v>147</v>
      </c>
      <c r="D3" s="30" t="n">
        <v>180</v>
      </c>
      <c r="E3" s="27" t="s">
        <v>158</v>
      </c>
      <c r="F3" s="27" t="s">
        <v>159</v>
      </c>
      <c r="G3" s="28" t="n">
        <f aca="true">TODAY()-35</f>
        <v>46272</v>
      </c>
    </row>
    <row r="4" customFormat="false" ht="15" hidden="false" customHeight="false" outlineLevel="0" collapsed="false">
      <c r="A4" s="27"/>
      <c r="B4" s="28"/>
      <c r="C4" s="27"/>
      <c r="D4" s="30"/>
      <c r="E4" s="27"/>
      <c r="F4" s="27"/>
      <c r="G4" s="28"/>
    </row>
    <row r="5" customFormat="false" ht="15" hidden="false" customHeight="false" outlineLevel="0" collapsed="false">
      <c r="A5" s="27"/>
      <c r="B5" s="28"/>
      <c r="C5" s="27"/>
      <c r="D5" s="30"/>
      <c r="E5" s="27"/>
      <c r="F5" s="27"/>
      <c r="G5" s="28"/>
    </row>
    <row r="6" customFormat="false" ht="15" hidden="false" customHeight="false" outlineLevel="0" collapsed="false">
      <c r="A6" s="27"/>
      <c r="B6" s="28"/>
      <c r="C6" s="27"/>
      <c r="D6" s="30"/>
      <c r="E6" s="27"/>
      <c r="F6" s="27"/>
      <c r="G6" s="28"/>
    </row>
    <row r="7" customFormat="false" ht="15" hidden="false" customHeight="false" outlineLevel="0" collapsed="false">
      <c r="A7" s="27"/>
      <c r="B7" s="28"/>
      <c r="C7" s="27"/>
      <c r="D7" s="30"/>
      <c r="E7" s="27"/>
      <c r="F7" s="27"/>
      <c r="G7" s="28"/>
    </row>
    <row r="8" customFormat="false" ht="15" hidden="false" customHeight="false" outlineLevel="0" collapsed="false">
      <c r="A8" s="27"/>
      <c r="B8" s="28"/>
      <c r="C8" s="27"/>
      <c r="D8" s="30"/>
      <c r="E8" s="27"/>
      <c r="F8" s="27"/>
      <c r="G8" s="28"/>
    </row>
    <row r="9" customFormat="false" ht="15" hidden="false" customHeight="false" outlineLevel="0" collapsed="false">
      <c r="A9" s="27"/>
      <c r="B9" s="28"/>
      <c r="C9" s="27"/>
      <c r="D9" s="30"/>
      <c r="E9" s="27"/>
      <c r="F9" s="27"/>
      <c r="G9" s="28"/>
    </row>
    <row r="10" customFormat="false" ht="15" hidden="false" customHeight="false" outlineLevel="0" collapsed="false">
      <c r="A10" s="27"/>
      <c r="B10" s="28"/>
      <c r="C10" s="27"/>
      <c r="D10" s="30"/>
      <c r="E10" s="27"/>
      <c r="F10" s="27"/>
      <c r="G10" s="28"/>
    </row>
    <row r="11" customFormat="false" ht="15" hidden="false" customHeight="false" outlineLevel="0" collapsed="false">
      <c r="A11" s="27"/>
      <c r="B11" s="28"/>
      <c r="C11" s="27"/>
      <c r="D11" s="30"/>
      <c r="E11" s="27"/>
      <c r="F11" s="27"/>
      <c r="G11" s="28"/>
    </row>
    <row r="12" customFormat="false" ht="15" hidden="false" customHeight="false" outlineLevel="0" collapsed="false">
      <c r="A12" s="27"/>
      <c r="B12" s="28"/>
      <c r="C12" s="27"/>
      <c r="D12" s="30"/>
      <c r="E12" s="27"/>
      <c r="F12" s="27"/>
      <c r="G12" s="28"/>
    </row>
    <row r="13" customFormat="false" ht="15" hidden="false" customHeight="false" outlineLevel="0" collapsed="false">
      <c r="A13" s="27"/>
      <c r="B13" s="28"/>
      <c r="C13" s="27"/>
      <c r="D13" s="30"/>
      <c r="E13" s="27"/>
      <c r="F13" s="27"/>
      <c r="G13" s="28"/>
    </row>
    <row r="14" customFormat="false" ht="15" hidden="false" customHeight="false" outlineLevel="0" collapsed="false">
      <c r="A14" s="27"/>
      <c r="B14" s="28"/>
      <c r="C14" s="27"/>
      <c r="D14" s="30"/>
      <c r="E14" s="27"/>
      <c r="F14" s="27"/>
      <c r="G14" s="28"/>
    </row>
    <row r="15" customFormat="false" ht="15" hidden="false" customHeight="false" outlineLevel="0" collapsed="false">
      <c r="A15" s="27"/>
      <c r="B15" s="28"/>
      <c r="C15" s="27"/>
      <c r="D15" s="30"/>
      <c r="E15" s="27"/>
      <c r="F15" s="27"/>
      <c r="G15" s="28"/>
    </row>
    <row r="16" customFormat="false" ht="15" hidden="false" customHeight="false" outlineLevel="0" collapsed="false">
      <c r="A16" s="27"/>
      <c r="B16" s="28"/>
      <c r="C16" s="27"/>
      <c r="D16" s="30"/>
      <c r="E16" s="27"/>
      <c r="F16" s="27"/>
      <c r="G16" s="28"/>
    </row>
    <row r="17" customFormat="false" ht="15" hidden="false" customHeight="false" outlineLevel="0" collapsed="false">
      <c r="A17" s="27"/>
      <c r="B17" s="28"/>
      <c r="C17" s="27"/>
      <c r="D17" s="30"/>
      <c r="E17" s="27"/>
      <c r="F17" s="27"/>
      <c r="G17" s="28"/>
    </row>
    <row r="18" customFormat="false" ht="15" hidden="false" customHeight="false" outlineLevel="0" collapsed="false">
      <c r="A18" s="27"/>
      <c r="B18" s="28"/>
      <c r="C18" s="27"/>
      <c r="D18" s="30"/>
      <c r="E18" s="27"/>
      <c r="F18" s="27"/>
      <c r="G18" s="28"/>
    </row>
    <row r="19" customFormat="false" ht="15" hidden="false" customHeight="false" outlineLevel="0" collapsed="false">
      <c r="A19" s="27"/>
      <c r="B19" s="28"/>
      <c r="C19" s="27"/>
      <c r="D19" s="30"/>
      <c r="E19" s="27"/>
      <c r="F19" s="27"/>
      <c r="G19" s="28"/>
    </row>
    <row r="20" customFormat="false" ht="15" hidden="false" customHeight="false" outlineLevel="0" collapsed="false">
      <c r="A20" s="27"/>
      <c r="B20" s="28"/>
      <c r="C20" s="27"/>
      <c r="D20" s="30"/>
      <c r="E20" s="27"/>
      <c r="F20" s="27"/>
      <c r="G20" s="28"/>
    </row>
    <row r="21" customFormat="false" ht="15" hidden="false" customHeight="false" outlineLevel="0" collapsed="false">
      <c r="A21" s="27"/>
      <c r="B21" s="28"/>
      <c r="C21" s="27"/>
      <c r="D21" s="30"/>
      <c r="E21" s="27"/>
      <c r="F21" s="27"/>
      <c r="G21" s="28"/>
    </row>
    <row r="22" customFormat="false" ht="15" hidden="false" customHeight="false" outlineLevel="0" collapsed="false">
      <c r="A22" s="27"/>
      <c r="B22" s="28"/>
      <c r="C22" s="27"/>
      <c r="D22" s="30"/>
      <c r="E22" s="27"/>
      <c r="F22" s="27"/>
      <c r="G22" s="28"/>
    </row>
    <row r="23" customFormat="false" ht="15" hidden="false" customHeight="false" outlineLevel="0" collapsed="false">
      <c r="A23" s="27"/>
      <c r="B23" s="28"/>
      <c r="C23" s="27"/>
      <c r="D23" s="30"/>
      <c r="E23" s="27"/>
      <c r="F23" s="27"/>
      <c r="G23" s="28"/>
    </row>
    <row r="24" customFormat="false" ht="15" hidden="false" customHeight="false" outlineLevel="0" collapsed="false">
      <c r="A24" s="27"/>
      <c r="B24" s="28"/>
      <c r="C24" s="27"/>
      <c r="D24" s="30"/>
      <c r="E24" s="27"/>
      <c r="F24" s="27"/>
      <c r="G24" s="28"/>
    </row>
    <row r="25" customFormat="false" ht="15" hidden="false" customHeight="false" outlineLevel="0" collapsed="false">
      <c r="A25" s="27"/>
      <c r="B25" s="28"/>
      <c r="C25" s="27"/>
      <c r="D25" s="30"/>
      <c r="E25" s="27"/>
      <c r="F25" s="27"/>
      <c r="G25" s="28"/>
    </row>
    <row r="26" customFormat="false" ht="15" hidden="false" customHeight="false" outlineLevel="0" collapsed="false">
      <c r="A26" s="27"/>
      <c r="B26" s="28"/>
      <c r="C26" s="27"/>
      <c r="D26" s="30"/>
      <c r="E26" s="27"/>
      <c r="F26" s="27"/>
      <c r="G26" s="28"/>
    </row>
    <row r="27" customFormat="false" ht="15" hidden="false" customHeight="false" outlineLevel="0" collapsed="false">
      <c r="A27" s="27"/>
      <c r="B27" s="28"/>
      <c r="C27" s="27"/>
      <c r="D27" s="30"/>
      <c r="E27" s="27"/>
      <c r="F27" s="27"/>
      <c r="G27" s="28"/>
    </row>
    <row r="28" customFormat="false" ht="15" hidden="false" customHeight="false" outlineLevel="0" collapsed="false">
      <c r="A28" s="27"/>
      <c r="B28" s="28"/>
      <c r="C28" s="27"/>
      <c r="D28" s="30"/>
      <c r="E28" s="27"/>
      <c r="F28" s="27"/>
      <c r="G28" s="28"/>
    </row>
    <row r="29" customFormat="false" ht="15" hidden="false" customHeight="false" outlineLevel="0" collapsed="false">
      <c r="A29" s="27"/>
      <c r="B29" s="28"/>
      <c r="C29" s="27"/>
      <c r="D29" s="30"/>
      <c r="E29" s="27"/>
      <c r="F29" s="27"/>
      <c r="G29" s="28"/>
    </row>
    <row r="30" customFormat="false" ht="15" hidden="false" customHeight="false" outlineLevel="0" collapsed="false">
      <c r="A30" s="27"/>
      <c r="B30" s="28"/>
      <c r="C30" s="27"/>
      <c r="D30" s="30"/>
      <c r="E30" s="27"/>
      <c r="F30" s="27"/>
      <c r="G30" s="28"/>
    </row>
    <row r="31" customFormat="false" ht="15" hidden="false" customHeight="false" outlineLevel="0" collapsed="false">
      <c r="A31" s="27"/>
      <c r="B31" s="28"/>
      <c r="C31" s="27"/>
      <c r="D31" s="30"/>
      <c r="E31" s="27"/>
      <c r="F31" s="27"/>
      <c r="G31" s="28"/>
    </row>
    <row r="32" customFormat="false" ht="15" hidden="false" customHeight="false" outlineLevel="0" collapsed="false">
      <c r="A32" s="27"/>
      <c r="B32" s="28"/>
      <c r="C32" s="27"/>
      <c r="D32" s="30"/>
      <c r="E32" s="27"/>
      <c r="F32" s="27"/>
      <c r="G32" s="28"/>
    </row>
    <row r="33" customFormat="false" ht="15" hidden="false" customHeight="false" outlineLevel="0" collapsed="false">
      <c r="A33" s="27"/>
      <c r="B33" s="28"/>
      <c r="C33" s="27"/>
      <c r="D33" s="30"/>
      <c r="E33" s="27"/>
      <c r="F33" s="27"/>
      <c r="G33" s="28"/>
    </row>
    <row r="34" customFormat="false" ht="15" hidden="false" customHeight="false" outlineLevel="0" collapsed="false">
      <c r="A34" s="27"/>
      <c r="B34" s="28"/>
      <c r="C34" s="27"/>
      <c r="D34" s="30"/>
      <c r="E34" s="27"/>
      <c r="F34" s="27"/>
      <c r="G34" s="28"/>
    </row>
    <row r="35" customFormat="false" ht="15" hidden="false" customHeight="false" outlineLevel="0" collapsed="false">
      <c r="A35" s="27"/>
      <c r="B35" s="28"/>
      <c r="C35" s="27"/>
      <c r="D35" s="30"/>
      <c r="E35" s="27"/>
      <c r="F35" s="27"/>
      <c r="G35" s="28"/>
    </row>
    <row r="36" customFormat="false" ht="15" hidden="false" customHeight="false" outlineLevel="0" collapsed="false">
      <c r="A36" s="27"/>
      <c r="B36" s="28"/>
      <c r="C36" s="27"/>
      <c r="D36" s="30"/>
      <c r="E36" s="27"/>
      <c r="F36" s="27"/>
      <c r="G36" s="28"/>
    </row>
    <row r="37" customFormat="false" ht="15" hidden="false" customHeight="false" outlineLevel="0" collapsed="false">
      <c r="A37" s="27"/>
      <c r="B37" s="28"/>
      <c r="C37" s="27"/>
      <c r="D37" s="30"/>
      <c r="E37" s="27"/>
      <c r="F37" s="27"/>
      <c r="G37" s="28"/>
    </row>
    <row r="38" customFormat="false" ht="15" hidden="false" customHeight="false" outlineLevel="0" collapsed="false">
      <c r="A38" s="27"/>
      <c r="B38" s="28"/>
      <c r="C38" s="27"/>
      <c r="D38" s="30"/>
      <c r="E38" s="27"/>
      <c r="F38" s="27"/>
      <c r="G38" s="28"/>
    </row>
    <row r="39" customFormat="false" ht="15" hidden="false" customHeight="false" outlineLevel="0" collapsed="false">
      <c r="A39" s="27"/>
      <c r="B39" s="28"/>
      <c r="C39" s="27"/>
      <c r="D39" s="30"/>
      <c r="E39" s="27"/>
      <c r="F39" s="27"/>
      <c r="G39" s="28"/>
    </row>
    <row r="40" customFormat="false" ht="15" hidden="false" customHeight="false" outlineLevel="0" collapsed="false">
      <c r="A40" s="27"/>
      <c r="B40" s="28"/>
      <c r="C40" s="27"/>
      <c r="D40" s="30"/>
      <c r="E40" s="27"/>
      <c r="F40" s="27"/>
      <c r="G40" s="28"/>
    </row>
    <row r="41" customFormat="false" ht="15" hidden="false" customHeight="false" outlineLevel="0" collapsed="false">
      <c r="A41" s="27"/>
      <c r="B41" s="28"/>
      <c r="C41" s="27"/>
      <c r="D41" s="30"/>
      <c r="E41" s="27"/>
      <c r="F41" s="27"/>
      <c r="G41" s="28"/>
    </row>
    <row r="42" customFormat="false" ht="15" hidden="false" customHeight="false" outlineLevel="0" collapsed="false">
      <c r="A42" s="27"/>
      <c r="B42" s="28"/>
      <c r="C42" s="27"/>
      <c r="D42" s="30"/>
      <c r="E42" s="27"/>
      <c r="F42" s="27"/>
      <c r="G42" s="28"/>
    </row>
    <row r="43" customFormat="false" ht="15" hidden="false" customHeight="false" outlineLevel="0" collapsed="false">
      <c r="A43" s="27"/>
      <c r="B43" s="28"/>
      <c r="C43" s="27"/>
      <c r="D43" s="30"/>
      <c r="E43" s="27"/>
      <c r="F43" s="27"/>
      <c r="G43" s="28"/>
    </row>
    <row r="44" customFormat="false" ht="15" hidden="false" customHeight="false" outlineLevel="0" collapsed="false">
      <c r="A44" s="27"/>
      <c r="B44" s="28"/>
      <c r="C44" s="27"/>
      <c r="D44" s="30"/>
      <c r="E44" s="27"/>
      <c r="F44" s="27"/>
      <c r="G44" s="28"/>
    </row>
    <row r="45" customFormat="false" ht="15" hidden="false" customHeight="false" outlineLevel="0" collapsed="false">
      <c r="A45" s="27"/>
      <c r="B45" s="28"/>
      <c r="C45" s="27"/>
      <c r="D45" s="30"/>
      <c r="E45" s="27"/>
      <c r="F45" s="27"/>
      <c r="G45" s="28"/>
    </row>
    <row r="46" customFormat="false" ht="15" hidden="false" customHeight="false" outlineLevel="0" collapsed="false">
      <c r="A46" s="27"/>
      <c r="B46" s="28"/>
      <c r="C46" s="27"/>
      <c r="D46" s="30"/>
      <c r="E46" s="27"/>
      <c r="F46" s="27"/>
      <c r="G46" s="28"/>
    </row>
    <row r="47" customFormat="false" ht="15" hidden="false" customHeight="false" outlineLevel="0" collapsed="false">
      <c r="A47" s="27"/>
      <c r="B47" s="28"/>
      <c r="C47" s="27"/>
      <c r="D47" s="30"/>
      <c r="E47" s="27"/>
      <c r="F47" s="27"/>
      <c r="G47" s="28"/>
    </row>
    <row r="48" customFormat="false" ht="15" hidden="false" customHeight="false" outlineLevel="0" collapsed="false">
      <c r="A48" s="27"/>
      <c r="B48" s="28"/>
      <c r="C48" s="27"/>
      <c r="D48" s="30"/>
      <c r="E48" s="27"/>
      <c r="F48" s="27"/>
      <c r="G48" s="28"/>
    </row>
    <row r="49" customFormat="false" ht="15" hidden="false" customHeight="false" outlineLevel="0" collapsed="false">
      <c r="A49" s="27"/>
      <c r="B49" s="28"/>
      <c r="C49" s="27"/>
      <c r="D49" s="30"/>
      <c r="E49" s="27"/>
      <c r="F49" s="27"/>
      <c r="G49" s="28"/>
    </row>
    <row r="50" customFormat="false" ht="15" hidden="false" customHeight="false" outlineLevel="0" collapsed="false">
      <c r="A50" s="27"/>
      <c r="B50" s="28"/>
      <c r="C50" s="27"/>
      <c r="D50" s="30"/>
      <c r="E50" s="27"/>
      <c r="F50" s="27"/>
      <c r="G50" s="28"/>
    </row>
    <row r="51" customFormat="false" ht="15" hidden="false" customHeight="false" outlineLevel="0" collapsed="false">
      <c r="A51" s="27"/>
      <c r="B51" s="28"/>
      <c r="C51" s="27"/>
      <c r="D51" s="30"/>
      <c r="E51" s="27"/>
      <c r="F51" s="27"/>
      <c r="G51" s="28"/>
    </row>
    <row r="52" customFormat="false" ht="15" hidden="false" customHeight="false" outlineLevel="0" collapsed="false">
      <c r="A52" s="27"/>
      <c r="B52" s="28"/>
      <c r="C52" s="27"/>
      <c r="D52" s="30"/>
      <c r="E52" s="27"/>
      <c r="F52" s="27"/>
      <c r="G52" s="28"/>
    </row>
    <row r="53" customFormat="false" ht="15" hidden="false" customHeight="false" outlineLevel="0" collapsed="false">
      <c r="A53" s="27"/>
      <c r="B53" s="28"/>
      <c r="C53" s="27"/>
      <c r="D53" s="30"/>
      <c r="E53" s="27"/>
      <c r="F53" s="27"/>
      <c r="G53" s="28"/>
    </row>
    <row r="54" customFormat="false" ht="15" hidden="false" customHeight="false" outlineLevel="0" collapsed="false">
      <c r="A54" s="27"/>
      <c r="B54" s="28"/>
      <c r="C54" s="27"/>
      <c r="D54" s="30"/>
      <c r="E54" s="27"/>
      <c r="F54" s="27"/>
      <c r="G54" s="28"/>
    </row>
    <row r="55" customFormat="false" ht="15" hidden="false" customHeight="false" outlineLevel="0" collapsed="false">
      <c r="A55" s="27"/>
      <c r="B55" s="28"/>
      <c r="C55" s="27"/>
      <c r="D55" s="30"/>
      <c r="E55" s="27"/>
      <c r="F55" s="27"/>
      <c r="G55" s="28"/>
    </row>
    <row r="56" customFormat="false" ht="15" hidden="false" customHeight="false" outlineLevel="0" collapsed="false">
      <c r="A56" s="27"/>
      <c r="B56" s="28"/>
      <c r="C56" s="27"/>
      <c r="D56" s="30"/>
      <c r="E56" s="27"/>
      <c r="F56" s="27"/>
      <c r="G56" s="28"/>
    </row>
    <row r="57" customFormat="false" ht="15" hidden="false" customHeight="false" outlineLevel="0" collapsed="false">
      <c r="A57" s="27"/>
      <c r="B57" s="28"/>
      <c r="C57" s="27"/>
      <c r="D57" s="30"/>
      <c r="E57" s="27"/>
      <c r="F57" s="27"/>
      <c r="G57" s="28"/>
    </row>
    <row r="58" customFormat="false" ht="15" hidden="false" customHeight="false" outlineLevel="0" collapsed="false">
      <c r="A58" s="27"/>
      <c r="B58" s="28"/>
      <c r="C58" s="27"/>
      <c r="D58" s="30"/>
      <c r="E58" s="27"/>
      <c r="F58" s="27"/>
      <c r="G58" s="28"/>
    </row>
    <row r="59" customFormat="false" ht="15" hidden="false" customHeight="false" outlineLevel="0" collapsed="false">
      <c r="A59" s="27"/>
      <c r="B59" s="28"/>
      <c r="C59" s="27"/>
      <c r="D59" s="30"/>
      <c r="E59" s="27"/>
      <c r="F59" s="27"/>
      <c r="G59" s="28"/>
    </row>
    <row r="60" customFormat="false" ht="15" hidden="false" customHeight="false" outlineLevel="0" collapsed="false">
      <c r="A60" s="27"/>
      <c r="B60" s="28"/>
      <c r="C60" s="27"/>
      <c r="D60" s="30"/>
      <c r="E60" s="27"/>
      <c r="F60" s="27"/>
      <c r="G60" s="28"/>
    </row>
    <row r="61" customFormat="false" ht="15" hidden="false" customHeight="false" outlineLevel="0" collapsed="false">
      <c r="A61" s="27"/>
      <c r="B61" s="28"/>
      <c r="C61" s="27"/>
      <c r="D61" s="30"/>
      <c r="E61" s="27"/>
      <c r="F61" s="27"/>
      <c r="G61" s="28"/>
    </row>
    <row r="62" customFormat="false" ht="15" hidden="false" customHeight="false" outlineLevel="0" collapsed="false">
      <c r="A62" s="27"/>
      <c r="B62" s="28"/>
      <c r="C62" s="27"/>
      <c r="D62" s="30"/>
      <c r="E62" s="27"/>
      <c r="F62" s="27"/>
      <c r="G62" s="28"/>
    </row>
    <row r="63" customFormat="false" ht="15" hidden="false" customHeight="false" outlineLevel="0" collapsed="false">
      <c r="A63" s="27"/>
      <c r="B63" s="28"/>
      <c r="C63" s="27"/>
      <c r="D63" s="30"/>
      <c r="E63" s="27"/>
      <c r="F63" s="27"/>
      <c r="G63" s="28"/>
    </row>
    <row r="64" customFormat="false" ht="15" hidden="false" customHeight="false" outlineLevel="0" collapsed="false">
      <c r="A64" s="27"/>
      <c r="B64" s="28"/>
      <c r="C64" s="27"/>
      <c r="D64" s="30"/>
      <c r="E64" s="27"/>
      <c r="F64" s="27"/>
      <c r="G64" s="28"/>
    </row>
    <row r="65" customFormat="false" ht="15" hidden="false" customHeight="false" outlineLevel="0" collapsed="false">
      <c r="A65" s="27"/>
      <c r="B65" s="28"/>
      <c r="C65" s="27"/>
      <c r="D65" s="30"/>
      <c r="E65" s="27"/>
      <c r="F65" s="27"/>
      <c r="G65" s="28"/>
    </row>
    <row r="66" customFormat="false" ht="15" hidden="false" customHeight="false" outlineLevel="0" collapsed="false">
      <c r="A66" s="27"/>
      <c r="B66" s="28"/>
      <c r="C66" s="27"/>
      <c r="D66" s="30"/>
      <c r="E66" s="27"/>
      <c r="F66" s="27"/>
      <c r="G66" s="28"/>
    </row>
    <row r="67" customFormat="false" ht="15" hidden="false" customHeight="false" outlineLevel="0" collapsed="false">
      <c r="A67" s="27"/>
      <c r="B67" s="28"/>
      <c r="C67" s="27"/>
      <c r="D67" s="30"/>
      <c r="E67" s="27"/>
      <c r="F67" s="27"/>
      <c r="G67" s="28"/>
    </row>
    <row r="68" customFormat="false" ht="15" hidden="false" customHeight="false" outlineLevel="0" collapsed="false">
      <c r="A68" s="27"/>
      <c r="B68" s="28"/>
      <c r="C68" s="27"/>
      <c r="D68" s="30"/>
      <c r="E68" s="27"/>
      <c r="F68" s="27"/>
      <c r="G68" s="28"/>
    </row>
    <row r="69" customFormat="false" ht="15" hidden="false" customHeight="false" outlineLevel="0" collapsed="false">
      <c r="A69" s="27"/>
      <c r="B69" s="28"/>
      <c r="C69" s="27"/>
      <c r="D69" s="30"/>
      <c r="E69" s="27"/>
      <c r="F69" s="27"/>
      <c r="G69" s="28"/>
    </row>
    <row r="70" customFormat="false" ht="15" hidden="false" customHeight="false" outlineLevel="0" collapsed="false">
      <c r="A70" s="27"/>
      <c r="B70" s="28"/>
      <c r="C70" s="27"/>
      <c r="D70" s="30"/>
      <c r="E70" s="27"/>
      <c r="F70" s="27"/>
      <c r="G70" s="28"/>
    </row>
    <row r="71" customFormat="false" ht="15" hidden="false" customHeight="false" outlineLevel="0" collapsed="false">
      <c r="A71" s="27"/>
      <c r="B71" s="28"/>
      <c r="C71" s="27"/>
      <c r="D71" s="30"/>
      <c r="E71" s="27"/>
      <c r="F71" s="27"/>
      <c r="G71" s="28"/>
    </row>
    <row r="72" customFormat="false" ht="15" hidden="false" customHeight="false" outlineLevel="0" collapsed="false">
      <c r="A72" s="27"/>
      <c r="B72" s="28"/>
      <c r="C72" s="27"/>
      <c r="D72" s="30"/>
      <c r="E72" s="27"/>
      <c r="F72" s="27"/>
      <c r="G72" s="28"/>
    </row>
    <row r="73" customFormat="false" ht="15" hidden="false" customHeight="false" outlineLevel="0" collapsed="false">
      <c r="A73" s="27"/>
      <c r="B73" s="28"/>
      <c r="C73" s="27"/>
      <c r="D73" s="30"/>
      <c r="E73" s="27"/>
      <c r="F73" s="27"/>
      <c r="G73" s="28"/>
    </row>
    <row r="74" customFormat="false" ht="15" hidden="false" customHeight="false" outlineLevel="0" collapsed="false">
      <c r="A74" s="27"/>
      <c r="B74" s="28"/>
      <c r="C74" s="27"/>
      <c r="D74" s="30"/>
      <c r="E74" s="27"/>
      <c r="F74" s="27"/>
      <c r="G74" s="28"/>
    </row>
    <row r="75" customFormat="false" ht="15" hidden="false" customHeight="false" outlineLevel="0" collapsed="false">
      <c r="A75" s="27"/>
      <c r="B75" s="28"/>
      <c r="C75" s="27"/>
      <c r="D75" s="30"/>
      <c r="E75" s="27"/>
      <c r="F75" s="27"/>
      <c r="G75" s="28"/>
    </row>
    <row r="76" customFormat="false" ht="15" hidden="false" customHeight="false" outlineLevel="0" collapsed="false">
      <c r="A76" s="27"/>
      <c r="B76" s="28"/>
      <c r="C76" s="27"/>
      <c r="D76" s="30"/>
      <c r="E76" s="27"/>
      <c r="F76" s="27"/>
      <c r="G76" s="28"/>
    </row>
    <row r="77" customFormat="false" ht="15" hidden="false" customHeight="false" outlineLevel="0" collapsed="false">
      <c r="A77" s="27"/>
      <c r="B77" s="28"/>
      <c r="C77" s="27"/>
      <c r="D77" s="30"/>
      <c r="E77" s="27"/>
      <c r="F77" s="27"/>
      <c r="G77" s="28"/>
    </row>
    <row r="78" customFormat="false" ht="15" hidden="false" customHeight="false" outlineLevel="0" collapsed="false">
      <c r="A78" s="27"/>
      <c r="B78" s="28"/>
      <c r="C78" s="27"/>
      <c r="D78" s="30"/>
      <c r="E78" s="27"/>
      <c r="F78" s="27"/>
      <c r="G78" s="28"/>
    </row>
    <row r="79" customFormat="false" ht="15" hidden="false" customHeight="false" outlineLevel="0" collapsed="false">
      <c r="A79" s="27"/>
      <c r="B79" s="28"/>
      <c r="C79" s="27"/>
      <c r="D79" s="30"/>
      <c r="E79" s="27"/>
      <c r="F79" s="27"/>
      <c r="G79" s="28"/>
    </row>
    <row r="80" customFormat="false" ht="15" hidden="false" customHeight="false" outlineLevel="0" collapsed="false">
      <c r="A80" s="27"/>
      <c r="B80" s="28"/>
      <c r="C80" s="27"/>
      <c r="D80" s="30"/>
      <c r="E80" s="27"/>
      <c r="F80" s="27"/>
      <c r="G80" s="28"/>
    </row>
    <row r="81" customFormat="false" ht="15" hidden="false" customHeight="false" outlineLevel="0" collapsed="false">
      <c r="A81" s="27"/>
      <c r="B81" s="28"/>
      <c r="C81" s="27"/>
      <c r="D81" s="30"/>
      <c r="E81" s="27"/>
      <c r="F81" s="27"/>
      <c r="G81" s="28"/>
    </row>
    <row r="82" customFormat="false" ht="15" hidden="false" customHeight="false" outlineLevel="0" collapsed="false">
      <c r="A82" s="27"/>
      <c r="B82" s="28"/>
      <c r="C82" s="27"/>
      <c r="D82" s="30"/>
      <c r="E82" s="27"/>
      <c r="F82" s="27"/>
      <c r="G82" s="28"/>
    </row>
    <row r="83" customFormat="false" ht="15" hidden="false" customHeight="false" outlineLevel="0" collapsed="false">
      <c r="A83" s="27"/>
      <c r="B83" s="28"/>
      <c r="C83" s="27"/>
      <c r="D83" s="30"/>
      <c r="E83" s="27"/>
      <c r="F83" s="27"/>
      <c r="G83" s="28"/>
    </row>
    <row r="84" customFormat="false" ht="15" hidden="false" customHeight="false" outlineLevel="0" collapsed="false">
      <c r="A84" s="27"/>
      <c r="B84" s="28"/>
      <c r="C84" s="27"/>
      <c r="D84" s="30"/>
      <c r="E84" s="27"/>
      <c r="F84" s="27"/>
      <c r="G84" s="28"/>
    </row>
    <row r="85" customFormat="false" ht="15" hidden="false" customHeight="false" outlineLevel="0" collapsed="false">
      <c r="A85" s="27"/>
      <c r="B85" s="28"/>
      <c r="C85" s="27"/>
      <c r="D85" s="30"/>
      <c r="E85" s="27"/>
      <c r="F85" s="27"/>
      <c r="G85" s="28"/>
    </row>
    <row r="86" customFormat="false" ht="15" hidden="false" customHeight="false" outlineLevel="0" collapsed="false">
      <c r="A86" s="27"/>
      <c r="B86" s="28"/>
      <c r="C86" s="27"/>
      <c r="D86" s="30"/>
      <c r="E86" s="27"/>
      <c r="F86" s="27"/>
      <c r="G86" s="28"/>
    </row>
    <row r="87" customFormat="false" ht="15" hidden="false" customHeight="false" outlineLevel="0" collapsed="false">
      <c r="A87" s="27"/>
      <c r="B87" s="28"/>
      <c r="C87" s="27"/>
      <c r="D87" s="30"/>
      <c r="E87" s="27"/>
      <c r="F87" s="27"/>
      <c r="G87" s="28"/>
    </row>
    <row r="88" customFormat="false" ht="15" hidden="false" customHeight="false" outlineLevel="0" collapsed="false">
      <c r="A88" s="27"/>
      <c r="B88" s="28"/>
      <c r="C88" s="27"/>
      <c r="D88" s="30"/>
      <c r="E88" s="27"/>
      <c r="F88" s="27"/>
      <c r="G88" s="28"/>
    </row>
    <row r="89" customFormat="false" ht="15" hidden="false" customHeight="false" outlineLevel="0" collapsed="false">
      <c r="A89" s="27"/>
      <c r="B89" s="28"/>
      <c r="C89" s="27"/>
      <c r="D89" s="30"/>
      <c r="E89" s="27"/>
      <c r="F89" s="27"/>
      <c r="G89" s="28"/>
    </row>
    <row r="90" customFormat="false" ht="15" hidden="false" customHeight="false" outlineLevel="0" collapsed="false">
      <c r="A90" s="27"/>
      <c r="B90" s="28"/>
      <c r="C90" s="27"/>
      <c r="D90" s="30"/>
      <c r="E90" s="27"/>
      <c r="F90" s="27"/>
      <c r="G90" s="28"/>
    </row>
    <row r="91" customFormat="false" ht="15" hidden="false" customHeight="false" outlineLevel="0" collapsed="false">
      <c r="A91" s="27"/>
      <c r="B91" s="28"/>
      <c r="C91" s="27"/>
      <c r="D91" s="30"/>
      <c r="E91" s="27"/>
      <c r="F91" s="27"/>
      <c r="G91" s="28"/>
    </row>
    <row r="92" customFormat="false" ht="15" hidden="false" customHeight="false" outlineLevel="0" collapsed="false">
      <c r="A92" s="27"/>
      <c r="B92" s="28"/>
      <c r="C92" s="27"/>
      <c r="D92" s="30"/>
      <c r="E92" s="27"/>
      <c r="F92" s="27"/>
      <c r="G92" s="28"/>
    </row>
    <row r="93" customFormat="false" ht="15" hidden="false" customHeight="false" outlineLevel="0" collapsed="false">
      <c r="A93" s="27"/>
      <c r="B93" s="28"/>
      <c r="C93" s="27"/>
      <c r="D93" s="30"/>
      <c r="E93" s="27"/>
      <c r="F93" s="27"/>
      <c r="G93" s="28"/>
    </row>
    <row r="94" customFormat="false" ht="15" hidden="false" customHeight="false" outlineLevel="0" collapsed="false">
      <c r="A94" s="27"/>
      <c r="B94" s="28"/>
      <c r="C94" s="27"/>
      <c r="D94" s="30"/>
      <c r="E94" s="27"/>
      <c r="F94" s="27"/>
      <c r="G94" s="28"/>
    </row>
    <row r="95" customFormat="false" ht="15" hidden="false" customHeight="false" outlineLevel="0" collapsed="false">
      <c r="A95" s="27"/>
      <c r="B95" s="28"/>
      <c r="C95" s="27"/>
      <c r="D95" s="30"/>
      <c r="E95" s="27"/>
      <c r="F95" s="27"/>
      <c r="G95" s="28"/>
    </row>
    <row r="96" customFormat="false" ht="15" hidden="false" customHeight="false" outlineLevel="0" collapsed="false">
      <c r="A96" s="27"/>
      <c r="B96" s="28"/>
      <c r="C96" s="27"/>
      <c r="D96" s="30"/>
      <c r="E96" s="27"/>
      <c r="F96" s="27"/>
      <c r="G96" s="28"/>
    </row>
    <row r="97" customFormat="false" ht="15" hidden="false" customHeight="false" outlineLevel="0" collapsed="false">
      <c r="A97" s="27"/>
      <c r="B97" s="28"/>
      <c r="C97" s="27"/>
      <c r="D97" s="30"/>
      <c r="E97" s="27"/>
      <c r="F97" s="27"/>
      <c r="G97" s="28"/>
    </row>
    <row r="98" customFormat="false" ht="15" hidden="false" customHeight="false" outlineLevel="0" collapsed="false">
      <c r="A98" s="27"/>
      <c r="B98" s="28"/>
      <c r="C98" s="27"/>
      <c r="D98" s="30"/>
      <c r="E98" s="27"/>
      <c r="F98" s="27"/>
      <c r="G98" s="28"/>
    </row>
    <row r="99" customFormat="false" ht="15" hidden="false" customHeight="false" outlineLevel="0" collapsed="false">
      <c r="A99" s="27"/>
      <c r="B99" s="28"/>
      <c r="C99" s="27"/>
      <c r="D99" s="30"/>
      <c r="E99" s="27"/>
      <c r="F99" s="27"/>
      <c r="G99" s="28"/>
    </row>
    <row r="100" customFormat="false" ht="15" hidden="false" customHeight="false" outlineLevel="0" collapsed="false">
      <c r="A100" s="27"/>
      <c r="B100" s="28"/>
      <c r="C100" s="27"/>
      <c r="D100" s="30"/>
      <c r="E100" s="27"/>
      <c r="F100" s="27"/>
      <c r="G100" s="28"/>
    </row>
    <row r="101" customFormat="false" ht="15" hidden="false" customHeight="false" outlineLevel="0" collapsed="false">
      <c r="A101" s="27"/>
      <c r="B101" s="28"/>
      <c r="C101" s="27"/>
      <c r="D101" s="30"/>
      <c r="E101" s="27"/>
      <c r="F101" s="27"/>
      <c r="G101" s="28"/>
    </row>
    <row r="102" customFormat="false" ht="15" hidden="false" customHeight="false" outlineLevel="0" collapsed="false">
      <c r="A102" s="27"/>
      <c r="B102" s="28"/>
      <c r="C102" s="27"/>
      <c r="D102" s="30"/>
      <c r="E102" s="27"/>
      <c r="F102" s="27"/>
      <c r="G102" s="28"/>
    </row>
    <row r="103" customFormat="false" ht="15" hidden="false" customHeight="false" outlineLevel="0" collapsed="false">
      <c r="A103" s="27"/>
      <c r="B103" s="28"/>
      <c r="C103" s="27"/>
      <c r="D103" s="30"/>
      <c r="E103" s="27"/>
      <c r="F103" s="27"/>
      <c r="G103" s="28"/>
    </row>
    <row r="104" customFormat="false" ht="15" hidden="false" customHeight="false" outlineLevel="0" collapsed="false">
      <c r="A104" s="27"/>
      <c r="B104" s="28"/>
      <c r="C104" s="27"/>
      <c r="D104" s="30"/>
      <c r="E104" s="27"/>
      <c r="F104" s="27"/>
      <c r="G104" s="28"/>
    </row>
    <row r="105" customFormat="false" ht="15" hidden="false" customHeight="false" outlineLevel="0" collapsed="false">
      <c r="A105" s="27"/>
      <c r="B105" s="28"/>
      <c r="C105" s="27"/>
      <c r="D105" s="30"/>
      <c r="E105" s="27"/>
      <c r="F105" s="27"/>
      <c r="G105" s="28"/>
    </row>
    <row r="106" customFormat="false" ht="15" hidden="false" customHeight="false" outlineLevel="0" collapsed="false">
      <c r="A106" s="27"/>
      <c r="B106" s="28"/>
      <c r="C106" s="27"/>
      <c r="D106" s="30"/>
      <c r="E106" s="27"/>
      <c r="F106" s="27"/>
      <c r="G106" s="28"/>
    </row>
    <row r="107" customFormat="false" ht="15" hidden="false" customHeight="false" outlineLevel="0" collapsed="false">
      <c r="A107" s="27"/>
      <c r="B107" s="28"/>
      <c r="C107" s="27"/>
      <c r="D107" s="30"/>
      <c r="E107" s="27"/>
      <c r="F107" s="27"/>
      <c r="G107" s="28"/>
    </row>
    <row r="108" customFormat="false" ht="15" hidden="false" customHeight="false" outlineLevel="0" collapsed="false">
      <c r="A108" s="27"/>
      <c r="B108" s="28"/>
      <c r="C108" s="27"/>
      <c r="D108" s="30"/>
      <c r="E108" s="27"/>
      <c r="F108" s="27"/>
      <c r="G108" s="28"/>
    </row>
    <row r="109" customFormat="false" ht="15" hidden="false" customHeight="false" outlineLevel="0" collapsed="false">
      <c r="A109" s="27"/>
      <c r="B109" s="28"/>
      <c r="C109" s="27"/>
      <c r="D109" s="30"/>
      <c r="E109" s="27"/>
      <c r="F109" s="27"/>
      <c r="G109" s="28"/>
    </row>
    <row r="110" customFormat="false" ht="15" hidden="false" customHeight="false" outlineLevel="0" collapsed="false">
      <c r="A110" s="27"/>
      <c r="B110" s="28"/>
      <c r="C110" s="27"/>
      <c r="D110" s="30"/>
      <c r="E110" s="27"/>
      <c r="F110" s="27"/>
      <c r="G110" s="28"/>
    </row>
    <row r="111" customFormat="false" ht="15" hidden="false" customHeight="false" outlineLevel="0" collapsed="false">
      <c r="A111" s="27"/>
      <c r="B111" s="28"/>
      <c r="C111" s="27"/>
      <c r="D111" s="30"/>
      <c r="E111" s="27"/>
      <c r="F111" s="27"/>
      <c r="G111" s="28"/>
    </row>
    <row r="112" customFormat="false" ht="15" hidden="false" customHeight="false" outlineLevel="0" collapsed="false">
      <c r="A112" s="27"/>
      <c r="B112" s="28"/>
      <c r="C112" s="27"/>
      <c r="D112" s="30"/>
      <c r="E112" s="27"/>
      <c r="F112" s="27"/>
      <c r="G112" s="28"/>
    </row>
    <row r="113" customFormat="false" ht="15" hidden="false" customHeight="false" outlineLevel="0" collapsed="false">
      <c r="A113" s="27"/>
      <c r="B113" s="28"/>
      <c r="C113" s="27"/>
      <c r="D113" s="30"/>
      <c r="E113" s="27"/>
      <c r="F113" s="27"/>
      <c r="G113" s="28"/>
    </row>
    <row r="114" customFormat="false" ht="15" hidden="false" customHeight="false" outlineLevel="0" collapsed="false">
      <c r="A114" s="27"/>
      <c r="B114" s="28"/>
      <c r="C114" s="27"/>
      <c r="D114" s="30"/>
      <c r="E114" s="27"/>
      <c r="F114" s="27"/>
      <c r="G114" s="28"/>
    </row>
    <row r="115" customFormat="false" ht="15" hidden="false" customHeight="false" outlineLevel="0" collapsed="false">
      <c r="A115" s="27"/>
      <c r="B115" s="28"/>
      <c r="C115" s="27"/>
      <c r="D115" s="30"/>
      <c r="E115" s="27"/>
      <c r="F115" s="27"/>
      <c r="G115" s="28"/>
    </row>
    <row r="116" customFormat="false" ht="15" hidden="false" customHeight="false" outlineLevel="0" collapsed="false">
      <c r="A116" s="27"/>
      <c r="B116" s="28"/>
      <c r="C116" s="27"/>
      <c r="D116" s="30"/>
      <c r="E116" s="27"/>
      <c r="F116" s="27"/>
      <c r="G116" s="28"/>
    </row>
    <row r="117" customFormat="false" ht="15" hidden="false" customHeight="false" outlineLevel="0" collapsed="false">
      <c r="A117" s="27"/>
      <c r="B117" s="28"/>
      <c r="C117" s="27"/>
      <c r="D117" s="30"/>
      <c r="E117" s="27"/>
      <c r="F117" s="27"/>
      <c r="G117" s="28"/>
    </row>
    <row r="118" customFormat="false" ht="15" hidden="false" customHeight="false" outlineLevel="0" collapsed="false">
      <c r="A118" s="27"/>
      <c r="B118" s="28"/>
      <c r="C118" s="27"/>
      <c r="D118" s="30"/>
      <c r="E118" s="27"/>
      <c r="F118" s="27"/>
      <c r="G118" s="28"/>
    </row>
    <row r="119" customFormat="false" ht="15" hidden="false" customHeight="false" outlineLevel="0" collapsed="false">
      <c r="A119" s="27"/>
      <c r="B119" s="28"/>
      <c r="C119" s="27"/>
      <c r="D119" s="30"/>
      <c r="E119" s="27"/>
      <c r="F119" s="27"/>
      <c r="G119" s="28"/>
    </row>
    <row r="120" customFormat="false" ht="15" hidden="false" customHeight="false" outlineLevel="0" collapsed="false">
      <c r="A120" s="27"/>
      <c r="B120" s="28"/>
      <c r="C120" s="27"/>
      <c r="D120" s="30"/>
      <c r="E120" s="27"/>
      <c r="F120" s="27"/>
      <c r="G120" s="28"/>
    </row>
    <row r="121" customFormat="false" ht="15" hidden="false" customHeight="false" outlineLevel="0" collapsed="false">
      <c r="A121" s="27"/>
      <c r="B121" s="28"/>
      <c r="C121" s="27"/>
      <c r="D121" s="30"/>
      <c r="E121" s="27"/>
      <c r="F121" s="27"/>
      <c r="G121" s="28"/>
    </row>
    <row r="122" customFormat="false" ht="15" hidden="false" customHeight="false" outlineLevel="0" collapsed="false">
      <c r="A122" s="27"/>
      <c r="B122" s="28"/>
      <c r="C122" s="27"/>
      <c r="D122" s="30"/>
      <c r="E122" s="27"/>
      <c r="F122" s="27"/>
      <c r="G122" s="28"/>
    </row>
    <row r="123" customFormat="false" ht="15" hidden="false" customHeight="false" outlineLevel="0" collapsed="false">
      <c r="A123" s="27"/>
      <c r="B123" s="28"/>
      <c r="C123" s="27"/>
      <c r="D123" s="30"/>
      <c r="E123" s="27"/>
      <c r="F123" s="27"/>
      <c r="G123" s="28"/>
    </row>
    <row r="124" customFormat="false" ht="15" hidden="false" customHeight="false" outlineLevel="0" collapsed="false">
      <c r="A124" s="27"/>
      <c r="B124" s="28"/>
      <c r="C124" s="27"/>
      <c r="D124" s="30"/>
      <c r="E124" s="27"/>
      <c r="F124" s="27"/>
      <c r="G124" s="28"/>
    </row>
    <row r="125" customFormat="false" ht="15" hidden="false" customHeight="false" outlineLevel="0" collapsed="false">
      <c r="A125" s="27"/>
      <c r="B125" s="28"/>
      <c r="C125" s="27"/>
      <c r="D125" s="30"/>
      <c r="E125" s="27"/>
      <c r="F125" s="27"/>
      <c r="G125" s="28"/>
    </row>
    <row r="126" customFormat="false" ht="15" hidden="false" customHeight="false" outlineLevel="0" collapsed="false">
      <c r="A126" s="27"/>
      <c r="B126" s="28"/>
      <c r="C126" s="27"/>
      <c r="D126" s="30"/>
      <c r="E126" s="27"/>
      <c r="F126" s="27"/>
      <c r="G126" s="28"/>
    </row>
    <row r="127" customFormat="false" ht="15" hidden="false" customHeight="false" outlineLevel="0" collapsed="false">
      <c r="A127" s="27"/>
      <c r="B127" s="28"/>
      <c r="C127" s="27"/>
      <c r="D127" s="30"/>
      <c r="E127" s="27"/>
      <c r="F127" s="27"/>
      <c r="G127" s="28"/>
    </row>
    <row r="128" customFormat="false" ht="15" hidden="false" customHeight="false" outlineLevel="0" collapsed="false">
      <c r="A128" s="27"/>
      <c r="B128" s="28"/>
      <c r="C128" s="27"/>
      <c r="D128" s="30"/>
      <c r="E128" s="27"/>
      <c r="F128" s="27"/>
      <c r="G128" s="28"/>
    </row>
    <row r="129" customFormat="false" ht="15" hidden="false" customHeight="false" outlineLevel="0" collapsed="false">
      <c r="A129" s="27"/>
      <c r="B129" s="28"/>
      <c r="C129" s="27"/>
      <c r="D129" s="30"/>
      <c r="E129" s="27"/>
      <c r="F129" s="27"/>
      <c r="G129" s="28"/>
    </row>
    <row r="130" customFormat="false" ht="15" hidden="false" customHeight="false" outlineLevel="0" collapsed="false">
      <c r="A130" s="27"/>
      <c r="B130" s="28"/>
      <c r="C130" s="27"/>
      <c r="D130" s="30"/>
      <c r="E130" s="27"/>
      <c r="F130" s="27"/>
      <c r="G130" s="28"/>
    </row>
    <row r="131" customFormat="false" ht="15" hidden="false" customHeight="false" outlineLevel="0" collapsed="false">
      <c r="A131" s="27"/>
      <c r="B131" s="28"/>
      <c r="C131" s="27"/>
      <c r="D131" s="30"/>
      <c r="E131" s="27"/>
      <c r="F131" s="27"/>
      <c r="G131" s="28"/>
    </row>
    <row r="132" customFormat="false" ht="15" hidden="false" customHeight="false" outlineLevel="0" collapsed="false">
      <c r="A132" s="27"/>
      <c r="B132" s="28"/>
      <c r="C132" s="27"/>
      <c r="D132" s="30"/>
      <c r="E132" s="27"/>
      <c r="F132" s="27"/>
      <c r="G132" s="28"/>
    </row>
    <row r="133" customFormat="false" ht="15" hidden="false" customHeight="false" outlineLevel="0" collapsed="false">
      <c r="A133" s="27"/>
      <c r="B133" s="28"/>
      <c r="C133" s="27"/>
      <c r="D133" s="30"/>
      <c r="E133" s="27"/>
      <c r="F133" s="27"/>
      <c r="G133" s="28"/>
    </row>
    <row r="134" customFormat="false" ht="15" hidden="false" customHeight="false" outlineLevel="0" collapsed="false">
      <c r="A134" s="27"/>
      <c r="B134" s="28"/>
      <c r="C134" s="27"/>
      <c r="D134" s="30"/>
      <c r="E134" s="27"/>
      <c r="F134" s="27"/>
      <c r="G134" s="28"/>
    </row>
    <row r="135" customFormat="false" ht="15" hidden="false" customHeight="false" outlineLevel="0" collapsed="false">
      <c r="A135" s="27"/>
      <c r="B135" s="28"/>
      <c r="C135" s="27"/>
      <c r="D135" s="30"/>
      <c r="E135" s="27"/>
      <c r="F135" s="27"/>
      <c r="G135" s="28"/>
    </row>
    <row r="136" customFormat="false" ht="15" hidden="false" customHeight="false" outlineLevel="0" collapsed="false">
      <c r="A136" s="27"/>
      <c r="B136" s="28"/>
      <c r="C136" s="27"/>
      <c r="D136" s="30"/>
      <c r="E136" s="27"/>
      <c r="F136" s="27"/>
      <c r="G136" s="28"/>
    </row>
    <row r="137" customFormat="false" ht="15" hidden="false" customHeight="false" outlineLevel="0" collapsed="false">
      <c r="A137" s="27"/>
      <c r="B137" s="28"/>
      <c r="C137" s="27"/>
      <c r="D137" s="30"/>
      <c r="E137" s="27"/>
      <c r="F137" s="27"/>
      <c r="G137" s="28"/>
    </row>
    <row r="138" customFormat="false" ht="15" hidden="false" customHeight="false" outlineLevel="0" collapsed="false">
      <c r="A138" s="27"/>
      <c r="B138" s="28"/>
      <c r="C138" s="27"/>
      <c r="D138" s="30"/>
      <c r="E138" s="27"/>
      <c r="F138" s="27"/>
      <c r="G138" s="28"/>
    </row>
    <row r="139" customFormat="false" ht="15" hidden="false" customHeight="false" outlineLevel="0" collapsed="false">
      <c r="A139" s="27"/>
      <c r="B139" s="28"/>
      <c r="C139" s="27"/>
      <c r="D139" s="30"/>
      <c r="E139" s="27"/>
      <c r="F139" s="27"/>
      <c r="G139" s="28"/>
    </row>
    <row r="140" customFormat="false" ht="15" hidden="false" customHeight="false" outlineLevel="0" collapsed="false">
      <c r="A140" s="27"/>
      <c r="B140" s="28"/>
      <c r="C140" s="27"/>
      <c r="D140" s="30"/>
      <c r="E140" s="27"/>
      <c r="F140" s="27"/>
      <c r="G140" s="28"/>
    </row>
    <row r="141" customFormat="false" ht="15" hidden="false" customHeight="false" outlineLevel="0" collapsed="false">
      <c r="A141" s="27"/>
      <c r="B141" s="28"/>
      <c r="C141" s="27"/>
      <c r="D141" s="30"/>
      <c r="E141" s="27"/>
      <c r="F141" s="27"/>
      <c r="G141" s="28"/>
    </row>
    <row r="142" customFormat="false" ht="15" hidden="false" customHeight="false" outlineLevel="0" collapsed="false">
      <c r="A142" s="27"/>
      <c r="B142" s="28"/>
      <c r="C142" s="27"/>
      <c r="D142" s="30"/>
      <c r="E142" s="27"/>
      <c r="F142" s="27"/>
      <c r="G142" s="28"/>
    </row>
    <row r="143" customFormat="false" ht="15" hidden="false" customHeight="false" outlineLevel="0" collapsed="false">
      <c r="A143" s="27"/>
      <c r="B143" s="28"/>
      <c r="C143" s="27"/>
      <c r="D143" s="30"/>
      <c r="E143" s="27"/>
      <c r="F143" s="27"/>
      <c r="G143" s="28"/>
    </row>
    <row r="144" customFormat="false" ht="15" hidden="false" customHeight="false" outlineLevel="0" collapsed="false">
      <c r="A144" s="27"/>
      <c r="B144" s="28"/>
      <c r="C144" s="27"/>
      <c r="D144" s="30"/>
      <c r="E144" s="27"/>
      <c r="F144" s="27"/>
      <c r="G144" s="28"/>
    </row>
    <row r="145" customFormat="false" ht="15" hidden="false" customHeight="false" outlineLevel="0" collapsed="false">
      <c r="A145" s="27"/>
      <c r="B145" s="28"/>
      <c r="C145" s="27"/>
      <c r="D145" s="30"/>
      <c r="E145" s="27"/>
      <c r="F145" s="27"/>
      <c r="G145" s="28"/>
    </row>
    <row r="146" customFormat="false" ht="15" hidden="false" customHeight="false" outlineLevel="0" collapsed="false">
      <c r="A146" s="27"/>
      <c r="B146" s="28"/>
      <c r="C146" s="27"/>
      <c r="D146" s="30"/>
      <c r="E146" s="27"/>
      <c r="F146" s="27"/>
      <c r="G146" s="28"/>
    </row>
    <row r="147" customFormat="false" ht="15" hidden="false" customHeight="false" outlineLevel="0" collapsed="false">
      <c r="A147" s="27"/>
      <c r="B147" s="28"/>
      <c r="C147" s="27"/>
      <c r="D147" s="30"/>
      <c r="E147" s="27"/>
      <c r="F147" s="27"/>
      <c r="G147" s="28"/>
    </row>
    <row r="148" customFormat="false" ht="15" hidden="false" customHeight="false" outlineLevel="0" collapsed="false">
      <c r="A148" s="27"/>
      <c r="B148" s="28"/>
      <c r="C148" s="27"/>
      <c r="D148" s="30"/>
      <c r="E148" s="27"/>
      <c r="F148" s="27"/>
      <c r="G148" s="28"/>
    </row>
    <row r="149" customFormat="false" ht="15" hidden="false" customHeight="false" outlineLevel="0" collapsed="false">
      <c r="A149" s="27"/>
      <c r="B149" s="28"/>
      <c r="C149" s="27"/>
      <c r="D149" s="30"/>
      <c r="E149" s="27"/>
      <c r="F149" s="27"/>
      <c r="G149" s="28"/>
    </row>
    <row r="150" customFormat="false" ht="15" hidden="false" customHeight="false" outlineLevel="0" collapsed="false">
      <c r="A150" s="27"/>
      <c r="B150" s="28"/>
      <c r="C150" s="27"/>
      <c r="D150" s="30"/>
      <c r="E150" s="27"/>
      <c r="F150" s="27"/>
      <c r="G150" s="28"/>
    </row>
    <row r="151" customFormat="false" ht="15" hidden="false" customHeight="false" outlineLevel="0" collapsed="false">
      <c r="A151" s="27"/>
      <c r="B151" s="28"/>
      <c r="C151" s="27"/>
      <c r="D151" s="30"/>
      <c r="E151" s="27"/>
      <c r="F151" s="27"/>
      <c r="G151" s="28"/>
    </row>
    <row r="152" customFormat="false" ht="15" hidden="false" customHeight="false" outlineLevel="0" collapsed="false">
      <c r="A152" s="27"/>
      <c r="B152" s="28"/>
      <c r="C152" s="27"/>
      <c r="D152" s="30"/>
      <c r="E152" s="27"/>
      <c r="F152" s="27"/>
      <c r="G152" s="28"/>
    </row>
    <row r="153" customFormat="false" ht="15" hidden="false" customHeight="false" outlineLevel="0" collapsed="false">
      <c r="A153" s="27"/>
      <c r="B153" s="28"/>
      <c r="C153" s="27"/>
      <c r="D153" s="30"/>
      <c r="E153" s="27"/>
      <c r="F153" s="27"/>
      <c r="G153" s="28"/>
    </row>
    <row r="154" customFormat="false" ht="15" hidden="false" customHeight="false" outlineLevel="0" collapsed="false">
      <c r="A154" s="27"/>
      <c r="B154" s="28"/>
      <c r="C154" s="27"/>
      <c r="D154" s="30"/>
      <c r="E154" s="27"/>
      <c r="F154" s="27"/>
      <c r="G154" s="28"/>
    </row>
    <row r="155" customFormat="false" ht="15" hidden="false" customHeight="false" outlineLevel="0" collapsed="false">
      <c r="A155" s="27"/>
      <c r="B155" s="28"/>
      <c r="C155" s="27"/>
      <c r="D155" s="30"/>
      <c r="E155" s="27"/>
      <c r="F155" s="27"/>
      <c r="G155" s="28"/>
    </row>
    <row r="156" customFormat="false" ht="15" hidden="false" customHeight="false" outlineLevel="0" collapsed="false">
      <c r="A156" s="27"/>
      <c r="B156" s="28"/>
      <c r="C156" s="27"/>
      <c r="D156" s="30"/>
      <c r="E156" s="27"/>
      <c r="F156" s="27"/>
      <c r="G156" s="28"/>
    </row>
    <row r="157" customFormat="false" ht="15" hidden="false" customHeight="false" outlineLevel="0" collapsed="false">
      <c r="A157" s="27"/>
      <c r="B157" s="28"/>
      <c r="C157" s="27"/>
      <c r="D157" s="30"/>
      <c r="E157" s="27"/>
      <c r="F157" s="27"/>
      <c r="G157" s="28"/>
    </row>
    <row r="158" customFormat="false" ht="15" hidden="false" customHeight="false" outlineLevel="0" collapsed="false">
      <c r="A158" s="27"/>
      <c r="B158" s="28"/>
      <c r="C158" s="27"/>
      <c r="D158" s="30"/>
      <c r="E158" s="27"/>
      <c r="F158" s="27"/>
      <c r="G158" s="28"/>
    </row>
    <row r="159" customFormat="false" ht="15" hidden="false" customHeight="false" outlineLevel="0" collapsed="false">
      <c r="A159" s="27"/>
      <c r="B159" s="28"/>
      <c r="C159" s="27"/>
      <c r="D159" s="30"/>
      <c r="E159" s="27"/>
      <c r="F159" s="27"/>
      <c r="G159" s="28"/>
    </row>
    <row r="160" customFormat="false" ht="15" hidden="false" customHeight="false" outlineLevel="0" collapsed="false">
      <c r="A160" s="27"/>
      <c r="B160" s="28"/>
      <c r="C160" s="27"/>
      <c r="D160" s="30"/>
      <c r="E160" s="27"/>
      <c r="F160" s="27"/>
      <c r="G160" s="28"/>
    </row>
    <row r="161" customFormat="false" ht="15" hidden="false" customHeight="false" outlineLevel="0" collapsed="false">
      <c r="A161" s="27"/>
      <c r="B161" s="28"/>
      <c r="C161" s="27"/>
      <c r="D161" s="30"/>
      <c r="E161" s="27"/>
      <c r="F161" s="27"/>
      <c r="G161" s="28"/>
    </row>
    <row r="162" customFormat="false" ht="15" hidden="false" customHeight="false" outlineLevel="0" collapsed="false">
      <c r="A162" s="27"/>
      <c r="B162" s="28"/>
      <c r="C162" s="27"/>
      <c r="D162" s="30"/>
      <c r="E162" s="27"/>
      <c r="F162" s="27"/>
      <c r="G162" s="28"/>
    </row>
    <row r="163" customFormat="false" ht="15" hidden="false" customHeight="false" outlineLevel="0" collapsed="false">
      <c r="A163" s="27"/>
      <c r="B163" s="28"/>
      <c r="C163" s="27"/>
      <c r="D163" s="30"/>
      <c r="E163" s="27"/>
      <c r="F163" s="27"/>
      <c r="G163" s="28"/>
    </row>
    <row r="164" customFormat="false" ht="15" hidden="false" customHeight="false" outlineLevel="0" collapsed="false">
      <c r="A164" s="27"/>
      <c r="B164" s="28"/>
      <c r="C164" s="27"/>
      <c r="D164" s="30"/>
      <c r="E164" s="27"/>
      <c r="F164" s="27"/>
      <c r="G164" s="28"/>
    </row>
    <row r="165" customFormat="false" ht="15" hidden="false" customHeight="false" outlineLevel="0" collapsed="false">
      <c r="A165" s="27"/>
      <c r="B165" s="28"/>
      <c r="C165" s="27"/>
      <c r="D165" s="30"/>
      <c r="E165" s="27"/>
      <c r="F165" s="27"/>
      <c r="G165" s="28"/>
    </row>
    <row r="166" customFormat="false" ht="15" hidden="false" customHeight="false" outlineLevel="0" collapsed="false">
      <c r="A166" s="27"/>
      <c r="B166" s="28"/>
      <c r="C166" s="27"/>
      <c r="D166" s="30"/>
      <c r="E166" s="27"/>
      <c r="F166" s="27"/>
      <c r="G166" s="28"/>
    </row>
    <row r="167" customFormat="false" ht="15" hidden="false" customHeight="false" outlineLevel="0" collapsed="false">
      <c r="A167" s="27"/>
      <c r="B167" s="28"/>
      <c r="C167" s="27"/>
      <c r="D167" s="30"/>
      <c r="E167" s="27"/>
      <c r="F167" s="27"/>
      <c r="G167" s="28"/>
    </row>
    <row r="168" customFormat="false" ht="15" hidden="false" customHeight="false" outlineLevel="0" collapsed="false">
      <c r="A168" s="27"/>
      <c r="B168" s="28"/>
      <c r="C168" s="27"/>
      <c r="D168" s="30"/>
      <c r="E168" s="27"/>
      <c r="F168" s="27"/>
      <c r="G168" s="28"/>
    </row>
    <row r="169" customFormat="false" ht="15" hidden="false" customHeight="false" outlineLevel="0" collapsed="false">
      <c r="A169" s="27"/>
      <c r="B169" s="28"/>
      <c r="C169" s="27"/>
      <c r="D169" s="30"/>
      <c r="E169" s="27"/>
      <c r="F169" s="27"/>
      <c r="G169" s="28"/>
    </row>
    <row r="170" customFormat="false" ht="15" hidden="false" customHeight="false" outlineLevel="0" collapsed="false">
      <c r="A170" s="27"/>
      <c r="B170" s="28"/>
      <c r="C170" s="27"/>
      <c r="D170" s="30"/>
      <c r="E170" s="27"/>
      <c r="F170" s="27"/>
      <c r="G170" s="28"/>
    </row>
    <row r="171" customFormat="false" ht="15" hidden="false" customHeight="false" outlineLevel="0" collapsed="false">
      <c r="A171" s="27"/>
      <c r="B171" s="28"/>
      <c r="C171" s="27"/>
      <c r="D171" s="30"/>
      <c r="E171" s="27"/>
      <c r="F171" s="27"/>
      <c r="G171" s="28"/>
    </row>
    <row r="172" customFormat="false" ht="15" hidden="false" customHeight="false" outlineLevel="0" collapsed="false">
      <c r="A172" s="27"/>
      <c r="B172" s="28"/>
      <c r="C172" s="27"/>
      <c r="D172" s="30"/>
      <c r="E172" s="27"/>
      <c r="F172" s="27"/>
      <c r="G172" s="28"/>
    </row>
    <row r="173" customFormat="false" ht="15" hidden="false" customHeight="false" outlineLevel="0" collapsed="false">
      <c r="A173" s="27"/>
      <c r="B173" s="28"/>
      <c r="C173" s="27"/>
      <c r="D173" s="30"/>
      <c r="E173" s="27"/>
      <c r="F173" s="27"/>
      <c r="G173" s="28"/>
    </row>
    <row r="174" customFormat="false" ht="15" hidden="false" customHeight="false" outlineLevel="0" collapsed="false">
      <c r="A174" s="27"/>
      <c r="B174" s="28"/>
      <c r="C174" s="27"/>
      <c r="D174" s="30"/>
      <c r="E174" s="27"/>
      <c r="F174" s="27"/>
      <c r="G174" s="28"/>
    </row>
    <row r="175" customFormat="false" ht="15" hidden="false" customHeight="false" outlineLevel="0" collapsed="false">
      <c r="A175" s="27"/>
      <c r="B175" s="28"/>
      <c r="C175" s="27"/>
      <c r="D175" s="30"/>
      <c r="E175" s="27"/>
      <c r="F175" s="27"/>
      <c r="G175" s="28"/>
    </row>
    <row r="176" customFormat="false" ht="15" hidden="false" customHeight="false" outlineLevel="0" collapsed="false">
      <c r="A176" s="27"/>
      <c r="B176" s="28"/>
      <c r="C176" s="27"/>
      <c r="D176" s="30"/>
      <c r="E176" s="27"/>
      <c r="F176" s="27"/>
      <c r="G176" s="28"/>
    </row>
    <row r="177" customFormat="false" ht="15" hidden="false" customHeight="false" outlineLevel="0" collapsed="false">
      <c r="A177" s="27"/>
      <c r="B177" s="28"/>
      <c r="C177" s="27"/>
      <c r="D177" s="30"/>
      <c r="E177" s="27"/>
      <c r="F177" s="27"/>
      <c r="G177" s="28"/>
    </row>
    <row r="178" customFormat="false" ht="15" hidden="false" customHeight="false" outlineLevel="0" collapsed="false">
      <c r="A178" s="27"/>
      <c r="B178" s="28"/>
      <c r="C178" s="27"/>
      <c r="D178" s="30"/>
      <c r="E178" s="27"/>
      <c r="F178" s="27"/>
      <c r="G178" s="28"/>
    </row>
    <row r="179" customFormat="false" ht="15" hidden="false" customHeight="false" outlineLevel="0" collapsed="false">
      <c r="A179" s="27"/>
      <c r="B179" s="28"/>
      <c r="C179" s="27"/>
      <c r="D179" s="30"/>
      <c r="E179" s="27"/>
      <c r="F179" s="27"/>
      <c r="G179" s="28"/>
    </row>
    <row r="180" customFormat="false" ht="15" hidden="false" customHeight="false" outlineLevel="0" collapsed="false">
      <c r="A180" s="27"/>
      <c r="B180" s="28"/>
      <c r="C180" s="27"/>
      <c r="D180" s="30"/>
      <c r="E180" s="27"/>
      <c r="F180" s="27"/>
      <c r="G180" s="28"/>
    </row>
    <row r="181" customFormat="false" ht="15" hidden="false" customHeight="false" outlineLevel="0" collapsed="false">
      <c r="A181" s="27"/>
      <c r="B181" s="28"/>
      <c r="C181" s="27"/>
      <c r="D181" s="30"/>
      <c r="E181" s="27"/>
      <c r="F181" s="27"/>
      <c r="G181" s="28"/>
    </row>
    <row r="182" customFormat="false" ht="15" hidden="false" customHeight="false" outlineLevel="0" collapsed="false">
      <c r="A182" s="27"/>
      <c r="B182" s="28"/>
      <c r="C182" s="27"/>
      <c r="D182" s="30"/>
      <c r="E182" s="27"/>
      <c r="F182" s="27"/>
      <c r="G182" s="28"/>
    </row>
    <row r="183" customFormat="false" ht="15" hidden="false" customHeight="false" outlineLevel="0" collapsed="false">
      <c r="A183" s="27"/>
      <c r="B183" s="28"/>
      <c r="C183" s="27"/>
      <c r="D183" s="30"/>
      <c r="E183" s="27"/>
      <c r="F183" s="27"/>
      <c r="G183" s="28"/>
    </row>
    <row r="184" customFormat="false" ht="15" hidden="false" customHeight="false" outlineLevel="0" collapsed="false">
      <c r="A184" s="27"/>
      <c r="B184" s="28"/>
      <c r="C184" s="27"/>
      <c r="D184" s="30"/>
      <c r="E184" s="27"/>
      <c r="F184" s="27"/>
      <c r="G184" s="28"/>
    </row>
    <row r="185" customFormat="false" ht="15" hidden="false" customHeight="false" outlineLevel="0" collapsed="false">
      <c r="A185" s="27"/>
      <c r="B185" s="28"/>
      <c r="C185" s="27"/>
      <c r="D185" s="30"/>
      <c r="E185" s="27"/>
      <c r="F185" s="27"/>
      <c r="G185" s="28"/>
    </row>
    <row r="186" customFormat="false" ht="15" hidden="false" customHeight="false" outlineLevel="0" collapsed="false">
      <c r="A186" s="27"/>
      <c r="B186" s="28"/>
      <c r="C186" s="27"/>
      <c r="D186" s="30"/>
      <c r="E186" s="27"/>
      <c r="F186" s="27"/>
      <c r="G186" s="28"/>
    </row>
    <row r="187" customFormat="false" ht="15" hidden="false" customHeight="false" outlineLevel="0" collapsed="false">
      <c r="A187" s="27"/>
      <c r="B187" s="28"/>
      <c r="C187" s="27"/>
      <c r="D187" s="30"/>
      <c r="E187" s="27"/>
      <c r="F187" s="27"/>
      <c r="G187" s="28"/>
    </row>
    <row r="188" customFormat="false" ht="15" hidden="false" customHeight="false" outlineLevel="0" collapsed="false">
      <c r="A188" s="27"/>
      <c r="B188" s="28"/>
      <c r="C188" s="27"/>
      <c r="D188" s="30"/>
      <c r="E188" s="27"/>
      <c r="F188" s="27"/>
      <c r="G188" s="28"/>
    </row>
    <row r="189" customFormat="false" ht="15" hidden="false" customHeight="false" outlineLevel="0" collapsed="false">
      <c r="A189" s="27"/>
      <c r="B189" s="28"/>
      <c r="C189" s="27"/>
      <c r="D189" s="30"/>
      <c r="E189" s="27"/>
      <c r="F189" s="27"/>
      <c r="G189" s="28"/>
    </row>
    <row r="190" customFormat="false" ht="15" hidden="false" customHeight="false" outlineLevel="0" collapsed="false">
      <c r="A190" s="27"/>
      <c r="B190" s="28"/>
      <c r="C190" s="27"/>
      <c r="D190" s="30"/>
      <c r="E190" s="27"/>
      <c r="F190" s="27"/>
      <c r="G190" s="28"/>
    </row>
    <row r="191" customFormat="false" ht="15" hidden="false" customHeight="false" outlineLevel="0" collapsed="false">
      <c r="A191" s="27"/>
      <c r="B191" s="28"/>
      <c r="C191" s="27"/>
      <c r="D191" s="30"/>
      <c r="E191" s="27"/>
      <c r="F191" s="27"/>
      <c r="G191" s="28"/>
    </row>
    <row r="192" customFormat="false" ht="15" hidden="false" customHeight="false" outlineLevel="0" collapsed="false">
      <c r="A192" s="27"/>
      <c r="B192" s="28"/>
      <c r="C192" s="27"/>
      <c r="D192" s="30"/>
      <c r="E192" s="27"/>
      <c r="F192" s="27"/>
      <c r="G192" s="28"/>
    </row>
    <row r="193" customFormat="false" ht="15" hidden="false" customHeight="false" outlineLevel="0" collapsed="false">
      <c r="A193" s="27"/>
      <c r="B193" s="28"/>
      <c r="C193" s="27"/>
      <c r="D193" s="30"/>
      <c r="E193" s="27"/>
      <c r="F193" s="27"/>
      <c r="G193" s="28"/>
    </row>
    <row r="194" customFormat="false" ht="15" hidden="false" customHeight="false" outlineLevel="0" collapsed="false">
      <c r="A194" s="27"/>
      <c r="B194" s="28"/>
      <c r="C194" s="27"/>
      <c r="D194" s="30"/>
      <c r="E194" s="27"/>
      <c r="F194" s="27"/>
      <c r="G194" s="28"/>
    </row>
    <row r="195" customFormat="false" ht="15" hidden="false" customHeight="false" outlineLevel="0" collapsed="false">
      <c r="A195" s="27"/>
      <c r="B195" s="28"/>
      <c r="C195" s="27"/>
      <c r="D195" s="30"/>
      <c r="E195" s="27"/>
      <c r="F195" s="27"/>
      <c r="G195" s="28"/>
    </row>
    <row r="196" customFormat="false" ht="15" hidden="false" customHeight="false" outlineLevel="0" collapsed="false">
      <c r="A196" s="27"/>
      <c r="B196" s="28"/>
      <c r="C196" s="27"/>
      <c r="D196" s="30"/>
      <c r="E196" s="27"/>
      <c r="F196" s="27"/>
      <c r="G196" s="28"/>
    </row>
    <row r="197" customFormat="false" ht="15" hidden="false" customHeight="false" outlineLevel="0" collapsed="false">
      <c r="A197" s="27"/>
      <c r="B197" s="28"/>
      <c r="C197" s="27"/>
      <c r="D197" s="30"/>
      <c r="E197" s="27"/>
      <c r="F197" s="27"/>
      <c r="G197" s="28"/>
    </row>
    <row r="198" customFormat="false" ht="15" hidden="false" customHeight="false" outlineLevel="0" collapsed="false">
      <c r="A198" s="27"/>
      <c r="B198" s="28"/>
      <c r="C198" s="27"/>
      <c r="D198" s="30"/>
      <c r="E198" s="27"/>
      <c r="F198" s="27"/>
      <c r="G198" s="28"/>
    </row>
    <row r="199" customFormat="false" ht="15" hidden="false" customHeight="false" outlineLevel="0" collapsed="false">
      <c r="A199" s="27"/>
      <c r="B199" s="28"/>
      <c r="C199" s="27"/>
      <c r="D199" s="30"/>
      <c r="E199" s="27"/>
      <c r="F199" s="27"/>
      <c r="G199" s="28"/>
    </row>
    <row r="200" customFormat="false" ht="15" hidden="false" customHeight="false" outlineLevel="0" collapsed="false">
      <c r="A200" s="27"/>
      <c r="B200" s="28"/>
      <c r="C200" s="27"/>
      <c r="D200" s="30"/>
      <c r="E200" s="27"/>
      <c r="F200" s="27"/>
      <c r="G200" s="28"/>
    </row>
    <row r="201" customFormat="false" ht="15" hidden="false" customHeight="false" outlineLevel="0" collapsed="false">
      <c r="A201" s="27"/>
      <c r="B201" s="28"/>
      <c r="C201" s="27"/>
      <c r="D201" s="30"/>
      <c r="E201" s="27"/>
      <c r="F201" s="27"/>
      <c r="G201" s="28"/>
    </row>
    <row r="202" customFormat="false" ht="15" hidden="false" customHeight="false" outlineLevel="0" collapsed="false">
      <c r="A202" s="27"/>
      <c r="B202" s="28"/>
      <c r="C202" s="27"/>
      <c r="D202" s="30"/>
      <c r="E202" s="27"/>
      <c r="F202" s="27"/>
      <c r="G202" s="28"/>
    </row>
    <row r="203" customFormat="false" ht="15" hidden="false" customHeight="false" outlineLevel="0" collapsed="false">
      <c r="A203" s="27"/>
      <c r="B203" s="28"/>
      <c r="C203" s="27"/>
      <c r="D203" s="30"/>
      <c r="E203" s="27"/>
      <c r="F203" s="27"/>
      <c r="G203" s="28"/>
    </row>
    <row r="204" customFormat="false" ht="15" hidden="false" customHeight="false" outlineLevel="0" collapsed="false">
      <c r="A204" s="27"/>
      <c r="B204" s="28"/>
      <c r="C204" s="27"/>
      <c r="D204" s="30"/>
      <c r="E204" s="27"/>
      <c r="F204" s="27"/>
      <c r="G204" s="28"/>
    </row>
    <row r="205" customFormat="false" ht="15" hidden="false" customHeight="false" outlineLevel="0" collapsed="false">
      <c r="A205" s="27"/>
      <c r="B205" s="28"/>
      <c r="C205" s="27"/>
      <c r="D205" s="30"/>
      <c r="E205" s="27"/>
      <c r="F205" s="27"/>
      <c r="G205" s="28"/>
    </row>
    <row r="206" customFormat="false" ht="15" hidden="false" customHeight="false" outlineLevel="0" collapsed="false">
      <c r="A206" s="27"/>
      <c r="B206" s="28"/>
      <c r="C206" s="27"/>
      <c r="D206" s="30"/>
      <c r="E206" s="27"/>
      <c r="F206" s="27"/>
      <c r="G206" s="28"/>
    </row>
    <row r="207" customFormat="false" ht="15" hidden="false" customHeight="false" outlineLevel="0" collapsed="false">
      <c r="A207" s="27"/>
      <c r="B207" s="28"/>
      <c r="C207" s="27"/>
      <c r="D207" s="30"/>
      <c r="E207" s="27"/>
      <c r="F207" s="27"/>
      <c r="G207" s="28"/>
    </row>
    <row r="208" customFormat="false" ht="15" hidden="false" customHeight="false" outlineLevel="0" collapsed="false">
      <c r="A208" s="27"/>
      <c r="B208" s="28"/>
      <c r="C208" s="27"/>
      <c r="D208" s="30"/>
      <c r="E208" s="27"/>
      <c r="F208" s="27"/>
      <c r="G208" s="28"/>
    </row>
    <row r="209" customFormat="false" ht="15" hidden="false" customHeight="false" outlineLevel="0" collapsed="false">
      <c r="A209" s="27"/>
      <c r="B209" s="28"/>
      <c r="C209" s="27"/>
      <c r="D209" s="30"/>
      <c r="E209" s="27"/>
      <c r="F209" s="27"/>
      <c r="G209" s="28"/>
    </row>
    <row r="210" customFormat="false" ht="15" hidden="false" customHeight="false" outlineLevel="0" collapsed="false">
      <c r="A210" s="27"/>
      <c r="B210" s="28"/>
      <c r="C210" s="27"/>
      <c r="D210" s="30"/>
      <c r="E210" s="27"/>
      <c r="F210" s="27"/>
      <c r="G210" s="28"/>
    </row>
    <row r="211" customFormat="false" ht="15" hidden="false" customHeight="false" outlineLevel="0" collapsed="false">
      <c r="A211" s="27"/>
      <c r="B211" s="28"/>
      <c r="C211" s="27"/>
      <c r="D211" s="30"/>
      <c r="E211" s="27"/>
      <c r="F211" s="27"/>
      <c r="G211" s="28"/>
    </row>
    <row r="212" customFormat="false" ht="15" hidden="false" customHeight="false" outlineLevel="0" collapsed="false">
      <c r="A212" s="27"/>
      <c r="B212" s="28"/>
      <c r="C212" s="27"/>
      <c r="D212" s="30"/>
      <c r="E212" s="27"/>
      <c r="F212" s="27"/>
      <c r="G212" s="28"/>
    </row>
    <row r="213" customFormat="false" ht="15" hidden="false" customHeight="false" outlineLevel="0" collapsed="false">
      <c r="A213" s="27"/>
      <c r="B213" s="28"/>
      <c r="C213" s="27"/>
      <c r="D213" s="30"/>
      <c r="E213" s="27"/>
      <c r="F213" s="27"/>
      <c r="G213" s="28"/>
    </row>
    <row r="214" customFormat="false" ht="15" hidden="false" customHeight="false" outlineLevel="0" collapsed="false">
      <c r="A214" s="27"/>
      <c r="B214" s="28"/>
      <c r="C214" s="27"/>
      <c r="D214" s="30"/>
      <c r="E214" s="27"/>
      <c r="F214" s="27"/>
      <c r="G214" s="28"/>
    </row>
    <row r="215" customFormat="false" ht="15" hidden="false" customHeight="false" outlineLevel="0" collapsed="false">
      <c r="A215" s="27"/>
      <c r="B215" s="28"/>
      <c r="C215" s="27"/>
      <c r="D215" s="30"/>
      <c r="E215" s="27"/>
      <c r="F215" s="27"/>
      <c r="G215" s="28"/>
    </row>
    <row r="216" customFormat="false" ht="15" hidden="false" customHeight="false" outlineLevel="0" collapsed="false">
      <c r="A216" s="27"/>
      <c r="B216" s="28"/>
      <c r="C216" s="27"/>
      <c r="D216" s="30"/>
      <c r="E216" s="27"/>
      <c r="F216" s="27"/>
      <c r="G216" s="28"/>
    </row>
    <row r="217" customFormat="false" ht="15" hidden="false" customHeight="false" outlineLevel="0" collapsed="false">
      <c r="A217" s="27"/>
      <c r="B217" s="28"/>
      <c r="C217" s="27"/>
      <c r="D217" s="30"/>
      <c r="E217" s="27"/>
      <c r="F217" s="27"/>
      <c r="G217" s="28"/>
    </row>
    <row r="218" customFormat="false" ht="15" hidden="false" customHeight="false" outlineLevel="0" collapsed="false">
      <c r="A218" s="27"/>
      <c r="B218" s="28"/>
      <c r="C218" s="27"/>
      <c r="D218" s="30"/>
      <c r="E218" s="27"/>
      <c r="F218" s="27"/>
      <c r="G218" s="28"/>
    </row>
    <row r="219" customFormat="false" ht="15" hidden="false" customHeight="false" outlineLevel="0" collapsed="false">
      <c r="A219" s="27"/>
      <c r="B219" s="28"/>
      <c r="C219" s="27"/>
      <c r="D219" s="30"/>
      <c r="E219" s="27"/>
      <c r="F219" s="27"/>
      <c r="G219" s="28"/>
    </row>
    <row r="220" customFormat="false" ht="15" hidden="false" customHeight="false" outlineLevel="0" collapsed="false">
      <c r="A220" s="27"/>
      <c r="B220" s="28"/>
      <c r="C220" s="27"/>
      <c r="D220" s="30"/>
      <c r="E220" s="27"/>
      <c r="F220" s="27"/>
      <c r="G220" s="28"/>
    </row>
    <row r="221" customFormat="false" ht="15" hidden="false" customHeight="false" outlineLevel="0" collapsed="false">
      <c r="A221" s="27"/>
      <c r="B221" s="28"/>
      <c r="C221" s="27"/>
      <c r="D221" s="30"/>
      <c r="E221" s="27"/>
      <c r="F221" s="27"/>
      <c r="G221" s="28"/>
    </row>
    <row r="222" customFormat="false" ht="15" hidden="false" customHeight="false" outlineLevel="0" collapsed="false">
      <c r="A222" s="27"/>
      <c r="B222" s="28"/>
      <c r="C222" s="27"/>
      <c r="D222" s="30"/>
      <c r="E222" s="27"/>
      <c r="F222" s="27"/>
      <c r="G222" s="28"/>
    </row>
    <row r="223" customFormat="false" ht="15" hidden="false" customHeight="false" outlineLevel="0" collapsed="false">
      <c r="A223" s="27"/>
      <c r="B223" s="28"/>
      <c r="C223" s="27"/>
      <c r="D223" s="30"/>
      <c r="E223" s="27"/>
      <c r="F223" s="27"/>
      <c r="G223" s="28"/>
    </row>
    <row r="224" customFormat="false" ht="15" hidden="false" customHeight="false" outlineLevel="0" collapsed="false">
      <c r="A224" s="27"/>
      <c r="B224" s="28"/>
      <c r="C224" s="27"/>
      <c r="D224" s="30"/>
      <c r="E224" s="27"/>
      <c r="F224" s="27"/>
      <c r="G224" s="28"/>
    </row>
    <row r="225" customFormat="false" ht="15" hidden="false" customHeight="false" outlineLevel="0" collapsed="false">
      <c r="A225" s="27"/>
      <c r="B225" s="28"/>
      <c r="C225" s="27"/>
      <c r="D225" s="30"/>
      <c r="E225" s="27"/>
      <c r="F225" s="27"/>
      <c r="G225" s="28"/>
    </row>
    <row r="226" customFormat="false" ht="15" hidden="false" customHeight="false" outlineLevel="0" collapsed="false">
      <c r="A226" s="27"/>
      <c r="B226" s="28"/>
      <c r="C226" s="27"/>
      <c r="D226" s="30"/>
      <c r="E226" s="27"/>
      <c r="F226" s="27"/>
      <c r="G226" s="28"/>
    </row>
    <row r="227" customFormat="false" ht="15" hidden="false" customHeight="false" outlineLevel="0" collapsed="false">
      <c r="A227" s="27"/>
      <c r="B227" s="28"/>
      <c r="C227" s="27"/>
      <c r="D227" s="30"/>
      <c r="E227" s="27"/>
      <c r="F227" s="27"/>
      <c r="G227" s="28"/>
    </row>
    <row r="228" customFormat="false" ht="15" hidden="false" customHeight="false" outlineLevel="0" collapsed="false">
      <c r="A228" s="27"/>
      <c r="B228" s="28"/>
      <c r="C228" s="27"/>
      <c r="D228" s="30"/>
      <c r="E228" s="27"/>
      <c r="F228" s="27"/>
      <c r="G228" s="28"/>
    </row>
    <row r="229" customFormat="false" ht="15" hidden="false" customHeight="false" outlineLevel="0" collapsed="false">
      <c r="A229" s="27"/>
      <c r="B229" s="28"/>
      <c r="C229" s="27"/>
      <c r="D229" s="30"/>
      <c r="E229" s="27"/>
      <c r="F229" s="27"/>
      <c r="G229" s="28"/>
    </row>
    <row r="230" customFormat="false" ht="15" hidden="false" customHeight="false" outlineLevel="0" collapsed="false">
      <c r="A230" s="27"/>
      <c r="B230" s="28"/>
      <c r="C230" s="27"/>
      <c r="D230" s="30"/>
      <c r="E230" s="27"/>
      <c r="F230" s="27"/>
      <c r="G230" s="28"/>
    </row>
    <row r="231" customFormat="false" ht="15" hidden="false" customHeight="false" outlineLevel="0" collapsed="false">
      <c r="A231" s="27"/>
      <c r="B231" s="28"/>
      <c r="C231" s="27"/>
      <c r="D231" s="30"/>
      <c r="E231" s="27"/>
      <c r="F231" s="27"/>
      <c r="G231" s="28"/>
    </row>
    <row r="232" customFormat="false" ht="15" hidden="false" customHeight="false" outlineLevel="0" collapsed="false">
      <c r="A232" s="27"/>
      <c r="B232" s="28"/>
      <c r="C232" s="27"/>
      <c r="D232" s="30"/>
      <c r="E232" s="27"/>
      <c r="F232" s="27"/>
      <c r="G232" s="28"/>
    </row>
    <row r="233" customFormat="false" ht="15" hidden="false" customHeight="false" outlineLevel="0" collapsed="false">
      <c r="A233" s="27"/>
      <c r="B233" s="28"/>
      <c r="C233" s="27"/>
      <c r="D233" s="30"/>
      <c r="E233" s="27"/>
      <c r="F233" s="27"/>
      <c r="G233" s="28"/>
    </row>
    <row r="234" customFormat="false" ht="15" hidden="false" customHeight="false" outlineLevel="0" collapsed="false">
      <c r="A234" s="27"/>
      <c r="B234" s="28"/>
      <c r="C234" s="27"/>
      <c r="D234" s="30"/>
      <c r="E234" s="27"/>
      <c r="F234" s="27"/>
      <c r="G234" s="28"/>
    </row>
    <row r="235" customFormat="false" ht="15" hidden="false" customHeight="false" outlineLevel="0" collapsed="false">
      <c r="A235" s="27"/>
      <c r="B235" s="28"/>
      <c r="C235" s="27"/>
      <c r="D235" s="30"/>
      <c r="E235" s="27"/>
      <c r="F235" s="27"/>
      <c r="G235" s="28"/>
    </row>
    <row r="236" customFormat="false" ht="15" hidden="false" customHeight="false" outlineLevel="0" collapsed="false">
      <c r="A236" s="27"/>
      <c r="B236" s="28"/>
      <c r="C236" s="27"/>
      <c r="D236" s="30"/>
      <c r="E236" s="27"/>
      <c r="F236" s="27"/>
      <c r="G236" s="28"/>
    </row>
    <row r="237" customFormat="false" ht="15" hidden="false" customHeight="false" outlineLevel="0" collapsed="false">
      <c r="A237" s="27"/>
      <c r="B237" s="28"/>
      <c r="C237" s="27"/>
      <c r="D237" s="30"/>
      <c r="E237" s="27"/>
      <c r="F237" s="27"/>
      <c r="G237" s="28"/>
    </row>
    <row r="238" customFormat="false" ht="15" hidden="false" customHeight="false" outlineLevel="0" collapsed="false">
      <c r="A238" s="27"/>
      <c r="B238" s="28"/>
      <c r="C238" s="27"/>
      <c r="D238" s="30"/>
      <c r="E238" s="27"/>
      <c r="F238" s="27"/>
      <c r="G238" s="28"/>
    </row>
    <row r="239" customFormat="false" ht="15" hidden="false" customHeight="false" outlineLevel="0" collapsed="false">
      <c r="A239" s="27"/>
      <c r="B239" s="28"/>
      <c r="C239" s="27"/>
      <c r="D239" s="30"/>
      <c r="E239" s="27"/>
      <c r="F239" s="27"/>
      <c r="G239" s="28"/>
    </row>
    <row r="240" customFormat="false" ht="15" hidden="false" customHeight="false" outlineLevel="0" collapsed="false">
      <c r="A240" s="27"/>
      <c r="B240" s="28"/>
      <c r="C240" s="27"/>
      <c r="D240" s="30"/>
      <c r="E240" s="27"/>
      <c r="F240" s="27"/>
      <c r="G240" s="28"/>
    </row>
    <row r="241" customFormat="false" ht="15" hidden="false" customHeight="false" outlineLevel="0" collapsed="false">
      <c r="A241" s="27"/>
      <c r="B241" s="28"/>
      <c r="C241" s="27"/>
      <c r="D241" s="30"/>
      <c r="E241" s="27"/>
      <c r="F241" s="27"/>
      <c r="G241" s="28"/>
    </row>
    <row r="242" customFormat="false" ht="15" hidden="false" customHeight="false" outlineLevel="0" collapsed="false">
      <c r="A242" s="27"/>
      <c r="B242" s="28"/>
      <c r="C242" s="27"/>
      <c r="D242" s="30"/>
      <c r="E242" s="27"/>
      <c r="F242" s="27"/>
      <c r="G242" s="28"/>
    </row>
    <row r="243" customFormat="false" ht="15" hidden="false" customHeight="false" outlineLevel="0" collapsed="false">
      <c r="A243" s="27"/>
      <c r="B243" s="28"/>
      <c r="C243" s="27"/>
      <c r="D243" s="30"/>
      <c r="E243" s="27"/>
      <c r="F243" s="27"/>
      <c r="G243" s="28"/>
    </row>
    <row r="244" customFormat="false" ht="15" hidden="false" customHeight="false" outlineLevel="0" collapsed="false">
      <c r="A244" s="27"/>
      <c r="B244" s="28"/>
      <c r="C244" s="27"/>
      <c r="D244" s="30"/>
      <c r="E244" s="27"/>
      <c r="F244" s="27"/>
      <c r="G244" s="28"/>
    </row>
    <row r="245" customFormat="false" ht="15" hidden="false" customHeight="false" outlineLevel="0" collapsed="false">
      <c r="A245" s="27"/>
      <c r="B245" s="28"/>
      <c r="C245" s="27"/>
      <c r="D245" s="30"/>
      <c r="E245" s="27"/>
      <c r="F245" s="27"/>
      <c r="G245" s="28"/>
    </row>
    <row r="246" customFormat="false" ht="15" hidden="false" customHeight="false" outlineLevel="0" collapsed="false">
      <c r="A246" s="27"/>
      <c r="B246" s="28"/>
      <c r="C246" s="27"/>
      <c r="D246" s="30"/>
      <c r="E246" s="27"/>
      <c r="F246" s="27"/>
      <c r="G246" s="28"/>
    </row>
    <row r="247" customFormat="false" ht="15" hidden="false" customHeight="false" outlineLevel="0" collapsed="false">
      <c r="A247" s="27"/>
      <c r="B247" s="28"/>
      <c r="C247" s="27"/>
      <c r="D247" s="30"/>
      <c r="E247" s="27"/>
      <c r="F247" s="27"/>
      <c r="G247" s="28"/>
    </row>
    <row r="248" customFormat="false" ht="15" hidden="false" customHeight="false" outlineLevel="0" collapsed="false">
      <c r="A248" s="27"/>
      <c r="B248" s="28"/>
      <c r="C248" s="27"/>
      <c r="D248" s="30"/>
      <c r="E248" s="27"/>
      <c r="F248" s="27"/>
      <c r="G248" s="28"/>
    </row>
    <row r="249" customFormat="false" ht="15" hidden="false" customHeight="false" outlineLevel="0" collapsed="false">
      <c r="A249" s="27"/>
      <c r="B249" s="28"/>
      <c r="C249" s="27"/>
      <c r="D249" s="30"/>
      <c r="E249" s="27"/>
      <c r="F249" s="27"/>
      <c r="G249" s="28"/>
    </row>
    <row r="250" customFormat="false" ht="15" hidden="false" customHeight="false" outlineLevel="0" collapsed="false">
      <c r="A250" s="27"/>
      <c r="B250" s="28"/>
      <c r="C250" s="27"/>
      <c r="D250" s="30"/>
      <c r="E250" s="27"/>
      <c r="F250" s="27"/>
      <c r="G250" s="28"/>
    </row>
    <row r="251" customFormat="false" ht="15" hidden="false" customHeight="false" outlineLevel="0" collapsed="false">
      <c r="A251" s="27"/>
      <c r="B251" s="28"/>
      <c r="C251" s="27"/>
      <c r="D251" s="30"/>
      <c r="E251" s="27"/>
      <c r="F251" s="27"/>
      <c r="G251" s="28"/>
    </row>
    <row r="252" customFormat="false" ht="15" hidden="false" customHeight="false" outlineLevel="0" collapsed="false">
      <c r="A252" s="27"/>
      <c r="B252" s="28"/>
      <c r="C252" s="27"/>
      <c r="D252" s="30"/>
      <c r="E252" s="27"/>
      <c r="F252" s="27"/>
      <c r="G252" s="28"/>
    </row>
    <row r="253" customFormat="false" ht="15" hidden="false" customHeight="false" outlineLevel="0" collapsed="false">
      <c r="A253" s="27"/>
      <c r="B253" s="28"/>
      <c r="C253" s="27"/>
      <c r="D253" s="30"/>
      <c r="E253" s="27"/>
      <c r="F253" s="27"/>
      <c r="G253" s="28"/>
    </row>
    <row r="254" customFormat="false" ht="15" hidden="false" customHeight="false" outlineLevel="0" collapsed="false">
      <c r="A254" s="27"/>
      <c r="B254" s="28"/>
      <c r="C254" s="27"/>
      <c r="D254" s="30"/>
      <c r="E254" s="27"/>
      <c r="F254" s="27"/>
      <c r="G254" s="28"/>
    </row>
    <row r="255" customFormat="false" ht="15" hidden="false" customHeight="false" outlineLevel="0" collapsed="false">
      <c r="A255" s="27"/>
      <c r="B255" s="28"/>
      <c r="C255" s="27"/>
      <c r="D255" s="30"/>
      <c r="E255" s="27"/>
      <c r="F255" s="27"/>
      <c r="G255" s="28"/>
    </row>
    <row r="256" customFormat="false" ht="15" hidden="false" customHeight="false" outlineLevel="0" collapsed="false">
      <c r="A256" s="27"/>
      <c r="B256" s="28"/>
      <c r="C256" s="27"/>
      <c r="D256" s="30"/>
      <c r="E256" s="27"/>
      <c r="F256" s="27"/>
      <c r="G256" s="28"/>
    </row>
    <row r="257" customFormat="false" ht="15" hidden="false" customHeight="false" outlineLevel="0" collapsed="false">
      <c r="A257" s="27"/>
      <c r="B257" s="28"/>
      <c r="C257" s="27"/>
      <c r="D257" s="30"/>
      <c r="E257" s="27"/>
      <c r="F257" s="27"/>
      <c r="G257" s="28"/>
    </row>
    <row r="258" customFormat="false" ht="15" hidden="false" customHeight="false" outlineLevel="0" collapsed="false">
      <c r="A258" s="27"/>
      <c r="B258" s="28"/>
      <c r="C258" s="27"/>
      <c r="D258" s="30"/>
      <c r="E258" s="27"/>
      <c r="F258" s="27"/>
      <c r="G258" s="28"/>
    </row>
    <row r="259" customFormat="false" ht="15" hidden="false" customHeight="false" outlineLevel="0" collapsed="false">
      <c r="A259" s="27"/>
      <c r="B259" s="28"/>
      <c r="C259" s="27"/>
      <c r="D259" s="30"/>
      <c r="E259" s="27"/>
      <c r="F259" s="27"/>
      <c r="G259" s="28"/>
    </row>
    <row r="260" customFormat="false" ht="15" hidden="false" customHeight="false" outlineLevel="0" collapsed="false">
      <c r="A260" s="27"/>
      <c r="B260" s="28"/>
      <c r="C260" s="27"/>
      <c r="D260" s="30"/>
      <c r="E260" s="27"/>
      <c r="F260" s="27"/>
      <c r="G260" s="28"/>
    </row>
    <row r="261" customFormat="false" ht="15" hidden="false" customHeight="false" outlineLevel="0" collapsed="false">
      <c r="A261" s="27"/>
      <c r="B261" s="28"/>
      <c r="C261" s="27"/>
      <c r="D261" s="30"/>
      <c r="E261" s="27"/>
      <c r="F261" s="27"/>
      <c r="G261" s="28"/>
    </row>
    <row r="262" customFormat="false" ht="15" hidden="false" customHeight="false" outlineLevel="0" collapsed="false">
      <c r="A262" s="27"/>
      <c r="B262" s="28"/>
      <c r="C262" s="27"/>
      <c r="D262" s="30"/>
      <c r="E262" s="27"/>
      <c r="F262" s="27"/>
      <c r="G262" s="28"/>
    </row>
    <row r="263" customFormat="false" ht="15" hidden="false" customHeight="false" outlineLevel="0" collapsed="false">
      <c r="A263" s="27"/>
      <c r="B263" s="28"/>
      <c r="C263" s="27"/>
      <c r="D263" s="30"/>
      <c r="E263" s="27"/>
      <c r="F263" s="27"/>
      <c r="G263" s="28"/>
    </row>
    <row r="264" customFormat="false" ht="15" hidden="false" customHeight="false" outlineLevel="0" collapsed="false">
      <c r="A264" s="27"/>
      <c r="B264" s="28"/>
      <c r="C264" s="27"/>
      <c r="D264" s="30"/>
      <c r="E264" s="27"/>
      <c r="F264" s="27"/>
      <c r="G264" s="28"/>
    </row>
    <row r="265" customFormat="false" ht="15" hidden="false" customHeight="false" outlineLevel="0" collapsed="false">
      <c r="A265" s="27"/>
      <c r="B265" s="28"/>
      <c r="C265" s="27"/>
      <c r="D265" s="30"/>
      <c r="E265" s="27"/>
      <c r="F265" s="27"/>
      <c r="G265" s="28"/>
    </row>
    <row r="266" customFormat="false" ht="15" hidden="false" customHeight="false" outlineLevel="0" collapsed="false">
      <c r="A266" s="27"/>
      <c r="B266" s="28"/>
      <c r="C266" s="27"/>
      <c r="D266" s="30"/>
      <c r="E266" s="27"/>
      <c r="F266" s="27"/>
      <c r="G266" s="28"/>
    </row>
    <row r="267" customFormat="false" ht="15" hidden="false" customHeight="false" outlineLevel="0" collapsed="false">
      <c r="A267" s="27"/>
      <c r="B267" s="28"/>
      <c r="C267" s="27"/>
      <c r="D267" s="30"/>
      <c r="E267" s="27"/>
      <c r="F267" s="27"/>
      <c r="G267" s="28"/>
    </row>
    <row r="268" customFormat="false" ht="15" hidden="false" customHeight="false" outlineLevel="0" collapsed="false">
      <c r="A268" s="27"/>
      <c r="B268" s="28"/>
      <c r="C268" s="27"/>
      <c r="D268" s="30"/>
      <c r="E268" s="27"/>
      <c r="F268" s="27"/>
      <c r="G268" s="28"/>
    </row>
    <row r="269" customFormat="false" ht="15" hidden="false" customHeight="false" outlineLevel="0" collapsed="false">
      <c r="A269" s="27"/>
      <c r="B269" s="28"/>
      <c r="C269" s="27"/>
      <c r="D269" s="30"/>
      <c r="E269" s="27"/>
      <c r="F269" s="27"/>
      <c r="G269" s="28"/>
    </row>
    <row r="270" customFormat="false" ht="15" hidden="false" customHeight="false" outlineLevel="0" collapsed="false">
      <c r="A270" s="27"/>
      <c r="B270" s="28"/>
      <c r="C270" s="27"/>
      <c r="D270" s="30"/>
      <c r="E270" s="27"/>
      <c r="F270" s="27"/>
      <c r="G270" s="28"/>
    </row>
    <row r="271" customFormat="false" ht="15" hidden="false" customHeight="false" outlineLevel="0" collapsed="false">
      <c r="A271" s="27"/>
      <c r="B271" s="28"/>
      <c r="C271" s="27"/>
      <c r="D271" s="30"/>
      <c r="E271" s="27"/>
      <c r="F271" s="27"/>
      <c r="G271" s="28"/>
    </row>
    <row r="272" customFormat="false" ht="15" hidden="false" customHeight="false" outlineLevel="0" collapsed="false">
      <c r="A272" s="27"/>
      <c r="B272" s="28"/>
      <c r="C272" s="27"/>
      <c r="D272" s="30"/>
      <c r="E272" s="27"/>
      <c r="F272" s="27"/>
      <c r="G272" s="28"/>
    </row>
    <row r="273" customFormat="false" ht="15" hidden="false" customHeight="false" outlineLevel="0" collapsed="false">
      <c r="A273" s="27"/>
      <c r="B273" s="28"/>
      <c r="C273" s="27"/>
      <c r="D273" s="30"/>
      <c r="E273" s="27"/>
      <c r="F273" s="27"/>
      <c r="G273" s="28"/>
    </row>
    <row r="274" customFormat="false" ht="15" hidden="false" customHeight="false" outlineLevel="0" collapsed="false">
      <c r="A274" s="27"/>
      <c r="B274" s="28"/>
      <c r="C274" s="27"/>
      <c r="D274" s="30"/>
      <c r="E274" s="27"/>
      <c r="F274" s="27"/>
      <c r="G274" s="28"/>
    </row>
    <row r="275" customFormat="false" ht="15" hidden="false" customHeight="false" outlineLevel="0" collapsed="false">
      <c r="A275" s="27"/>
      <c r="B275" s="28"/>
      <c r="C275" s="27"/>
      <c r="D275" s="30"/>
      <c r="E275" s="27"/>
      <c r="F275" s="27"/>
      <c r="G275" s="28"/>
    </row>
    <row r="276" customFormat="false" ht="15" hidden="false" customHeight="false" outlineLevel="0" collapsed="false">
      <c r="A276" s="27"/>
      <c r="B276" s="28"/>
      <c r="C276" s="27"/>
      <c r="D276" s="30"/>
      <c r="E276" s="27"/>
      <c r="F276" s="27"/>
      <c r="G276" s="28"/>
    </row>
    <row r="277" customFormat="false" ht="15" hidden="false" customHeight="false" outlineLevel="0" collapsed="false">
      <c r="A277" s="27"/>
      <c r="B277" s="28"/>
      <c r="C277" s="27"/>
      <c r="D277" s="30"/>
      <c r="E277" s="27"/>
      <c r="F277" s="27"/>
      <c r="G277" s="28"/>
    </row>
    <row r="278" customFormat="false" ht="15" hidden="false" customHeight="false" outlineLevel="0" collapsed="false">
      <c r="A278" s="27"/>
      <c r="B278" s="28"/>
      <c r="C278" s="27"/>
      <c r="D278" s="30"/>
      <c r="E278" s="27"/>
      <c r="F278" s="27"/>
      <c r="G278" s="28"/>
    </row>
    <row r="279" customFormat="false" ht="15" hidden="false" customHeight="false" outlineLevel="0" collapsed="false">
      <c r="A279" s="27"/>
      <c r="B279" s="28"/>
      <c r="C279" s="27"/>
      <c r="D279" s="30"/>
      <c r="E279" s="27"/>
      <c r="F279" s="27"/>
      <c r="G279" s="28"/>
    </row>
    <row r="280" customFormat="false" ht="15" hidden="false" customHeight="false" outlineLevel="0" collapsed="false">
      <c r="A280" s="27"/>
      <c r="B280" s="28"/>
      <c r="C280" s="27"/>
      <c r="D280" s="30"/>
      <c r="E280" s="27"/>
      <c r="F280" s="27"/>
      <c r="G280" s="28"/>
    </row>
    <row r="281" customFormat="false" ht="15" hidden="false" customHeight="false" outlineLevel="0" collapsed="false">
      <c r="A281" s="27"/>
      <c r="B281" s="28"/>
      <c r="C281" s="27"/>
      <c r="D281" s="30"/>
      <c r="E281" s="27"/>
      <c r="F281" s="27"/>
      <c r="G281" s="28"/>
    </row>
    <row r="282" customFormat="false" ht="15" hidden="false" customHeight="false" outlineLevel="0" collapsed="false">
      <c r="A282" s="27"/>
      <c r="B282" s="28"/>
      <c r="C282" s="27"/>
      <c r="D282" s="30"/>
      <c r="E282" s="27"/>
      <c r="F282" s="27"/>
      <c r="G282" s="28"/>
    </row>
    <row r="283" customFormat="false" ht="15" hidden="false" customHeight="false" outlineLevel="0" collapsed="false">
      <c r="A283" s="27"/>
      <c r="B283" s="28"/>
      <c r="C283" s="27"/>
      <c r="D283" s="30"/>
      <c r="E283" s="27"/>
      <c r="F283" s="27"/>
      <c r="G283" s="28"/>
    </row>
    <row r="284" customFormat="false" ht="15" hidden="false" customHeight="false" outlineLevel="0" collapsed="false">
      <c r="A284" s="27"/>
      <c r="B284" s="28"/>
      <c r="C284" s="27"/>
      <c r="D284" s="30"/>
      <c r="E284" s="27"/>
      <c r="F284" s="27"/>
      <c r="G284" s="28"/>
    </row>
    <row r="285" customFormat="false" ht="15" hidden="false" customHeight="false" outlineLevel="0" collapsed="false">
      <c r="A285" s="27"/>
      <c r="B285" s="28"/>
      <c r="C285" s="27"/>
      <c r="D285" s="30"/>
      <c r="E285" s="27"/>
      <c r="F285" s="27"/>
      <c r="G285" s="28"/>
    </row>
    <row r="286" customFormat="false" ht="15" hidden="false" customHeight="false" outlineLevel="0" collapsed="false">
      <c r="A286" s="27"/>
      <c r="B286" s="28"/>
      <c r="C286" s="27"/>
      <c r="D286" s="30"/>
      <c r="E286" s="27"/>
      <c r="F286" s="27"/>
      <c r="G286" s="28"/>
    </row>
    <row r="287" customFormat="false" ht="15" hidden="false" customHeight="false" outlineLevel="0" collapsed="false">
      <c r="A287" s="27"/>
      <c r="B287" s="28"/>
      <c r="C287" s="27"/>
      <c r="D287" s="30"/>
      <c r="E287" s="27"/>
      <c r="F287" s="27"/>
      <c r="G287" s="28"/>
    </row>
    <row r="288" customFormat="false" ht="15" hidden="false" customHeight="false" outlineLevel="0" collapsed="false">
      <c r="A288" s="27"/>
      <c r="B288" s="28"/>
      <c r="C288" s="27"/>
      <c r="D288" s="30"/>
      <c r="E288" s="27"/>
      <c r="F288" s="27"/>
      <c r="G288" s="28"/>
    </row>
    <row r="289" customFormat="false" ht="15" hidden="false" customHeight="false" outlineLevel="0" collapsed="false">
      <c r="A289" s="27"/>
      <c r="B289" s="28"/>
      <c r="C289" s="27"/>
      <c r="D289" s="30"/>
      <c r="E289" s="27"/>
      <c r="F289" s="27"/>
      <c r="G289" s="28"/>
    </row>
    <row r="290" customFormat="false" ht="15" hidden="false" customHeight="false" outlineLevel="0" collapsed="false">
      <c r="A290" s="27"/>
      <c r="B290" s="28"/>
      <c r="C290" s="27"/>
      <c r="D290" s="30"/>
      <c r="E290" s="27"/>
      <c r="F290" s="27"/>
      <c r="G290" s="28"/>
    </row>
    <row r="291" customFormat="false" ht="15" hidden="false" customHeight="false" outlineLevel="0" collapsed="false">
      <c r="A291" s="27"/>
      <c r="B291" s="28"/>
      <c r="C291" s="27"/>
      <c r="D291" s="30"/>
      <c r="E291" s="27"/>
      <c r="F291" s="27"/>
      <c r="G291" s="28"/>
    </row>
    <row r="292" customFormat="false" ht="15" hidden="false" customHeight="false" outlineLevel="0" collapsed="false">
      <c r="A292" s="27"/>
      <c r="B292" s="28"/>
      <c r="C292" s="27"/>
      <c r="D292" s="30"/>
      <c r="E292" s="27"/>
      <c r="F292" s="27"/>
      <c r="G292" s="28"/>
    </row>
    <row r="293" customFormat="false" ht="15" hidden="false" customHeight="false" outlineLevel="0" collapsed="false">
      <c r="A293" s="27"/>
      <c r="B293" s="28"/>
      <c r="C293" s="27"/>
      <c r="D293" s="30"/>
      <c r="E293" s="27"/>
      <c r="F293" s="27"/>
      <c r="G293" s="28"/>
    </row>
    <row r="294" customFormat="false" ht="15" hidden="false" customHeight="false" outlineLevel="0" collapsed="false">
      <c r="A294" s="27"/>
      <c r="B294" s="28"/>
      <c r="C294" s="27"/>
      <c r="D294" s="30"/>
      <c r="E294" s="27"/>
      <c r="F294" s="27"/>
      <c r="G294" s="28"/>
    </row>
    <row r="295" customFormat="false" ht="15" hidden="false" customHeight="false" outlineLevel="0" collapsed="false">
      <c r="A295" s="27"/>
      <c r="B295" s="28"/>
      <c r="C295" s="27"/>
      <c r="D295" s="30"/>
      <c r="E295" s="27"/>
      <c r="F295" s="27"/>
      <c r="G295" s="28"/>
    </row>
    <row r="296" customFormat="false" ht="15" hidden="false" customHeight="false" outlineLevel="0" collapsed="false">
      <c r="A296" s="27"/>
      <c r="B296" s="28"/>
      <c r="C296" s="27"/>
      <c r="D296" s="30"/>
      <c r="E296" s="27"/>
      <c r="F296" s="27"/>
      <c r="G296" s="28"/>
    </row>
    <row r="297" customFormat="false" ht="15" hidden="false" customHeight="false" outlineLevel="0" collapsed="false">
      <c r="A297" s="27"/>
      <c r="B297" s="28"/>
      <c r="C297" s="27"/>
      <c r="D297" s="30"/>
      <c r="E297" s="27"/>
      <c r="F297" s="27"/>
      <c r="G297" s="28"/>
    </row>
    <row r="298" customFormat="false" ht="15" hidden="false" customHeight="false" outlineLevel="0" collapsed="false">
      <c r="A298" s="27"/>
      <c r="B298" s="28"/>
      <c r="C298" s="27"/>
      <c r="D298" s="30"/>
      <c r="E298" s="27"/>
      <c r="F298" s="27"/>
      <c r="G298" s="28"/>
    </row>
    <row r="299" customFormat="false" ht="15" hidden="false" customHeight="false" outlineLevel="0" collapsed="false">
      <c r="A299" s="27"/>
      <c r="B299" s="28"/>
      <c r="C299" s="27"/>
      <c r="D299" s="30"/>
      <c r="E299" s="27"/>
      <c r="F299" s="27"/>
      <c r="G299" s="28"/>
    </row>
    <row r="300" customFormat="false" ht="15" hidden="false" customHeight="false" outlineLevel="0" collapsed="false">
      <c r="A300" s="27"/>
      <c r="B300" s="28"/>
      <c r="C300" s="27"/>
      <c r="D300" s="30"/>
      <c r="E300" s="27"/>
      <c r="F300" s="27"/>
      <c r="G300" s="28"/>
    </row>
    <row r="301" customFormat="false" ht="15" hidden="false" customHeight="false" outlineLevel="0" collapsed="false">
      <c r="A301" s="27"/>
      <c r="B301" s="28"/>
      <c r="C301" s="27"/>
      <c r="D301" s="30"/>
      <c r="E301" s="27"/>
      <c r="F301" s="27"/>
      <c r="G301" s="28"/>
    </row>
    <row r="302" customFormat="false" ht="15" hidden="false" customHeight="false" outlineLevel="0" collapsed="false">
      <c r="A302" s="27"/>
      <c r="B302" s="28"/>
      <c r="C302" s="27"/>
      <c r="D302" s="30"/>
      <c r="E302" s="27"/>
      <c r="F302" s="27"/>
      <c r="G302" s="28"/>
    </row>
    <row r="303" customFormat="false" ht="15" hidden="false" customHeight="false" outlineLevel="0" collapsed="false">
      <c r="A303" s="27"/>
      <c r="B303" s="28"/>
      <c r="C303" s="27"/>
      <c r="D303" s="30"/>
      <c r="E303" s="27"/>
      <c r="F303" s="27"/>
      <c r="G303" s="28"/>
    </row>
    <row r="304" customFormat="false" ht="15" hidden="false" customHeight="false" outlineLevel="0" collapsed="false">
      <c r="A304" s="27"/>
      <c r="B304" s="28"/>
      <c r="C304" s="27"/>
      <c r="D304" s="30"/>
      <c r="E304" s="27"/>
      <c r="F304" s="27"/>
      <c r="G304" s="28"/>
    </row>
    <row r="305" customFormat="false" ht="15" hidden="false" customHeight="false" outlineLevel="0" collapsed="false">
      <c r="A305" s="27"/>
      <c r="B305" s="28"/>
      <c r="C305" s="27"/>
      <c r="D305" s="30"/>
      <c r="E305" s="27"/>
      <c r="F305" s="27"/>
      <c r="G305" s="28"/>
    </row>
    <row r="306" customFormat="false" ht="15" hidden="false" customHeight="false" outlineLevel="0" collapsed="false">
      <c r="A306" s="27"/>
      <c r="B306" s="28"/>
      <c r="C306" s="27"/>
      <c r="D306" s="30"/>
      <c r="E306" s="27"/>
      <c r="F306" s="27"/>
      <c r="G306" s="28"/>
    </row>
    <row r="307" customFormat="false" ht="15" hidden="false" customHeight="false" outlineLevel="0" collapsed="false">
      <c r="A307" s="27"/>
      <c r="B307" s="28"/>
      <c r="C307" s="27"/>
      <c r="D307" s="30"/>
      <c r="E307" s="27"/>
      <c r="F307" s="27"/>
      <c r="G307" s="28"/>
    </row>
    <row r="308" customFormat="false" ht="15" hidden="false" customHeight="false" outlineLevel="0" collapsed="false">
      <c r="A308" s="27"/>
      <c r="B308" s="28"/>
      <c r="C308" s="27"/>
      <c r="D308" s="30"/>
      <c r="E308" s="27"/>
      <c r="F308" s="27"/>
      <c r="G308" s="28"/>
    </row>
    <row r="309" customFormat="false" ht="15" hidden="false" customHeight="false" outlineLevel="0" collapsed="false">
      <c r="A309" s="27"/>
      <c r="B309" s="28"/>
      <c r="C309" s="27"/>
      <c r="D309" s="30"/>
      <c r="E309" s="27"/>
      <c r="F309" s="27"/>
      <c r="G309" s="28"/>
    </row>
    <row r="310" customFormat="false" ht="15" hidden="false" customHeight="false" outlineLevel="0" collapsed="false">
      <c r="A310" s="27"/>
      <c r="B310" s="28"/>
      <c r="C310" s="27"/>
      <c r="D310" s="30"/>
      <c r="E310" s="27"/>
      <c r="F310" s="27"/>
      <c r="G310" s="28"/>
    </row>
    <row r="311" customFormat="false" ht="15" hidden="false" customHeight="false" outlineLevel="0" collapsed="false">
      <c r="A311" s="27"/>
      <c r="B311" s="28"/>
      <c r="C311" s="27"/>
      <c r="D311" s="30"/>
      <c r="E311" s="27"/>
      <c r="F311" s="27"/>
      <c r="G311" s="28"/>
    </row>
    <row r="312" customFormat="false" ht="15" hidden="false" customHeight="false" outlineLevel="0" collapsed="false">
      <c r="A312" s="27"/>
      <c r="B312" s="28"/>
      <c r="C312" s="27"/>
      <c r="D312" s="30"/>
      <c r="E312" s="27"/>
      <c r="F312" s="27"/>
      <c r="G312" s="28"/>
    </row>
    <row r="313" customFormat="false" ht="15" hidden="false" customHeight="false" outlineLevel="0" collapsed="false">
      <c r="A313" s="27"/>
      <c r="B313" s="28"/>
      <c r="C313" s="27"/>
      <c r="D313" s="30"/>
      <c r="E313" s="27"/>
      <c r="F313" s="27"/>
      <c r="G313" s="28"/>
    </row>
    <row r="314" customFormat="false" ht="15" hidden="false" customHeight="false" outlineLevel="0" collapsed="false">
      <c r="A314" s="27"/>
      <c r="B314" s="28"/>
      <c r="C314" s="27"/>
      <c r="D314" s="30"/>
      <c r="E314" s="27"/>
      <c r="F314" s="27"/>
      <c r="G314" s="28"/>
    </row>
    <row r="315" customFormat="false" ht="15" hidden="false" customHeight="false" outlineLevel="0" collapsed="false">
      <c r="A315" s="27"/>
      <c r="B315" s="28"/>
      <c r="C315" s="27"/>
      <c r="D315" s="30"/>
      <c r="E315" s="27"/>
      <c r="F315" s="27"/>
      <c r="G315" s="28"/>
    </row>
    <row r="316" customFormat="false" ht="15" hidden="false" customHeight="false" outlineLevel="0" collapsed="false">
      <c r="A316" s="27"/>
      <c r="B316" s="28"/>
      <c r="C316" s="27"/>
      <c r="D316" s="30"/>
      <c r="E316" s="27"/>
      <c r="F316" s="27"/>
      <c r="G316" s="28"/>
    </row>
    <row r="317" customFormat="false" ht="15" hidden="false" customHeight="false" outlineLevel="0" collapsed="false">
      <c r="A317" s="27"/>
      <c r="B317" s="28"/>
      <c r="C317" s="27"/>
      <c r="D317" s="30"/>
      <c r="E317" s="27"/>
      <c r="F317" s="27"/>
      <c r="G317" s="28"/>
    </row>
    <row r="318" customFormat="false" ht="15" hidden="false" customHeight="false" outlineLevel="0" collapsed="false">
      <c r="A318" s="27"/>
      <c r="B318" s="28"/>
      <c r="C318" s="27"/>
      <c r="D318" s="30"/>
      <c r="E318" s="27"/>
      <c r="F318" s="27"/>
      <c r="G318" s="28"/>
    </row>
    <row r="319" customFormat="false" ht="15" hidden="false" customHeight="false" outlineLevel="0" collapsed="false">
      <c r="A319" s="27"/>
      <c r="B319" s="28"/>
      <c r="C319" s="27"/>
      <c r="D319" s="30"/>
      <c r="E319" s="27"/>
      <c r="F319" s="27"/>
      <c r="G319" s="28"/>
    </row>
    <row r="320" customFormat="false" ht="15" hidden="false" customHeight="false" outlineLevel="0" collapsed="false">
      <c r="A320" s="27"/>
      <c r="B320" s="28"/>
      <c r="C320" s="27"/>
      <c r="D320" s="30"/>
      <c r="E320" s="27"/>
      <c r="F320" s="27"/>
      <c r="G320" s="28"/>
    </row>
    <row r="321" customFormat="false" ht="15" hidden="false" customHeight="false" outlineLevel="0" collapsed="false">
      <c r="A321" s="27"/>
      <c r="B321" s="28"/>
      <c r="C321" s="27"/>
      <c r="D321" s="30"/>
      <c r="E321" s="27"/>
      <c r="F321" s="27"/>
      <c r="G321" s="28"/>
    </row>
    <row r="322" customFormat="false" ht="15" hidden="false" customHeight="false" outlineLevel="0" collapsed="false">
      <c r="A322" s="27"/>
      <c r="B322" s="28"/>
      <c r="C322" s="27"/>
      <c r="D322" s="30"/>
      <c r="E322" s="27"/>
      <c r="F322" s="27"/>
      <c r="G322" s="28"/>
    </row>
    <row r="323" customFormat="false" ht="15" hidden="false" customHeight="false" outlineLevel="0" collapsed="false">
      <c r="A323" s="27"/>
      <c r="B323" s="28"/>
      <c r="C323" s="27"/>
      <c r="D323" s="30"/>
      <c r="E323" s="27"/>
      <c r="F323" s="27"/>
      <c r="G323" s="28"/>
    </row>
    <row r="324" customFormat="false" ht="15" hidden="false" customHeight="false" outlineLevel="0" collapsed="false">
      <c r="A324" s="27"/>
      <c r="B324" s="28"/>
      <c r="C324" s="27"/>
      <c r="D324" s="30"/>
      <c r="E324" s="27"/>
      <c r="F324" s="27"/>
      <c r="G324" s="28"/>
    </row>
    <row r="325" customFormat="false" ht="15" hidden="false" customHeight="false" outlineLevel="0" collapsed="false">
      <c r="A325" s="27"/>
      <c r="B325" s="28"/>
      <c r="C325" s="27"/>
      <c r="D325" s="30"/>
      <c r="E325" s="27"/>
      <c r="F325" s="27"/>
      <c r="G325" s="28"/>
    </row>
    <row r="326" customFormat="false" ht="15" hidden="false" customHeight="false" outlineLevel="0" collapsed="false">
      <c r="A326" s="27"/>
      <c r="B326" s="28"/>
      <c r="C326" s="27"/>
      <c r="D326" s="30"/>
      <c r="E326" s="27"/>
      <c r="F326" s="27"/>
      <c r="G326" s="28"/>
    </row>
    <row r="327" customFormat="false" ht="15" hidden="false" customHeight="false" outlineLevel="0" collapsed="false">
      <c r="A327" s="27"/>
      <c r="B327" s="28"/>
      <c r="C327" s="27"/>
      <c r="D327" s="30"/>
      <c r="E327" s="27"/>
      <c r="F327" s="27"/>
      <c r="G327" s="28"/>
    </row>
    <row r="328" customFormat="false" ht="15" hidden="false" customHeight="false" outlineLevel="0" collapsed="false">
      <c r="A328" s="27"/>
      <c r="B328" s="28"/>
      <c r="C328" s="27"/>
      <c r="D328" s="30"/>
      <c r="E328" s="27"/>
      <c r="F328" s="27"/>
      <c r="G328" s="28"/>
    </row>
    <row r="329" customFormat="false" ht="15" hidden="false" customHeight="false" outlineLevel="0" collapsed="false">
      <c r="A329" s="27"/>
      <c r="B329" s="28"/>
      <c r="C329" s="27"/>
      <c r="D329" s="30"/>
      <c r="E329" s="27"/>
      <c r="F329" s="27"/>
      <c r="G329" s="28"/>
    </row>
    <row r="330" customFormat="false" ht="15" hidden="false" customHeight="false" outlineLevel="0" collapsed="false">
      <c r="A330" s="27"/>
      <c r="B330" s="28"/>
      <c r="C330" s="27"/>
      <c r="D330" s="30"/>
      <c r="E330" s="27"/>
      <c r="F330" s="27"/>
      <c r="G330" s="28"/>
    </row>
    <row r="331" customFormat="false" ht="15" hidden="false" customHeight="false" outlineLevel="0" collapsed="false">
      <c r="A331" s="27"/>
      <c r="B331" s="28"/>
      <c r="C331" s="27"/>
      <c r="D331" s="30"/>
      <c r="E331" s="27"/>
      <c r="F331" s="27"/>
      <c r="G331" s="28"/>
    </row>
    <row r="332" customFormat="false" ht="15" hidden="false" customHeight="false" outlineLevel="0" collapsed="false">
      <c r="A332" s="27"/>
      <c r="B332" s="28"/>
      <c r="C332" s="27"/>
      <c r="D332" s="30"/>
      <c r="E332" s="27"/>
      <c r="F332" s="27"/>
      <c r="G332" s="28"/>
    </row>
    <row r="333" customFormat="false" ht="15" hidden="false" customHeight="false" outlineLevel="0" collapsed="false">
      <c r="A333" s="27"/>
      <c r="B333" s="28"/>
      <c r="C333" s="27"/>
      <c r="D333" s="30"/>
      <c r="E333" s="27"/>
      <c r="F333" s="27"/>
      <c r="G333" s="28"/>
    </row>
    <row r="334" customFormat="false" ht="15" hidden="false" customHeight="false" outlineLevel="0" collapsed="false">
      <c r="A334" s="27"/>
      <c r="B334" s="28"/>
      <c r="C334" s="27"/>
      <c r="D334" s="30"/>
      <c r="E334" s="27"/>
      <c r="F334" s="27"/>
      <c r="G334" s="28"/>
    </row>
    <row r="335" customFormat="false" ht="15" hidden="false" customHeight="false" outlineLevel="0" collapsed="false">
      <c r="A335" s="27"/>
      <c r="B335" s="28"/>
      <c r="C335" s="27"/>
      <c r="D335" s="30"/>
      <c r="E335" s="27"/>
      <c r="F335" s="27"/>
      <c r="G335" s="28"/>
    </row>
    <row r="336" customFormat="false" ht="15" hidden="false" customHeight="false" outlineLevel="0" collapsed="false">
      <c r="A336" s="27"/>
      <c r="B336" s="28"/>
      <c r="C336" s="27"/>
      <c r="D336" s="30"/>
      <c r="E336" s="27"/>
      <c r="F336" s="27"/>
      <c r="G336" s="28"/>
    </row>
    <row r="337" customFormat="false" ht="15" hidden="false" customHeight="false" outlineLevel="0" collapsed="false">
      <c r="A337" s="27"/>
      <c r="B337" s="28"/>
      <c r="C337" s="27"/>
      <c r="D337" s="30"/>
      <c r="E337" s="27"/>
      <c r="F337" s="27"/>
      <c r="G337" s="28"/>
    </row>
    <row r="338" customFormat="false" ht="15" hidden="false" customHeight="false" outlineLevel="0" collapsed="false">
      <c r="A338" s="27"/>
      <c r="B338" s="28"/>
      <c r="C338" s="27"/>
      <c r="D338" s="30"/>
      <c r="E338" s="27"/>
      <c r="F338" s="27"/>
      <c r="G338" s="28"/>
    </row>
    <row r="339" customFormat="false" ht="15" hidden="false" customHeight="false" outlineLevel="0" collapsed="false">
      <c r="A339" s="27"/>
      <c r="B339" s="28"/>
      <c r="C339" s="27"/>
      <c r="D339" s="30"/>
      <c r="E339" s="27"/>
      <c r="F339" s="27"/>
      <c r="G339" s="28"/>
    </row>
    <row r="340" customFormat="false" ht="15" hidden="false" customHeight="false" outlineLevel="0" collapsed="false">
      <c r="A340" s="27"/>
      <c r="B340" s="28"/>
      <c r="C340" s="27"/>
      <c r="D340" s="30"/>
      <c r="E340" s="27"/>
      <c r="F340" s="27"/>
      <c r="G340" s="28"/>
    </row>
    <row r="341" customFormat="false" ht="15" hidden="false" customHeight="false" outlineLevel="0" collapsed="false">
      <c r="A341" s="27"/>
      <c r="B341" s="28"/>
      <c r="C341" s="27"/>
      <c r="D341" s="30"/>
      <c r="E341" s="27"/>
      <c r="F341" s="27"/>
      <c r="G341" s="28"/>
    </row>
    <row r="342" customFormat="false" ht="15" hidden="false" customHeight="false" outlineLevel="0" collapsed="false">
      <c r="A342" s="27"/>
      <c r="B342" s="28"/>
      <c r="C342" s="27"/>
      <c r="D342" s="30"/>
      <c r="E342" s="27"/>
      <c r="F342" s="27"/>
      <c r="G342" s="28"/>
    </row>
    <row r="343" customFormat="false" ht="15" hidden="false" customHeight="false" outlineLevel="0" collapsed="false">
      <c r="A343" s="27"/>
      <c r="B343" s="28"/>
      <c r="C343" s="27"/>
      <c r="D343" s="30"/>
      <c r="E343" s="27"/>
      <c r="F343" s="27"/>
      <c r="G343" s="28"/>
    </row>
    <row r="344" customFormat="false" ht="15" hidden="false" customHeight="false" outlineLevel="0" collapsed="false">
      <c r="A344" s="27"/>
      <c r="B344" s="28"/>
      <c r="C344" s="27"/>
      <c r="D344" s="30"/>
      <c r="E344" s="27"/>
      <c r="F344" s="27"/>
      <c r="G344" s="28"/>
    </row>
    <row r="345" customFormat="false" ht="15" hidden="false" customHeight="false" outlineLevel="0" collapsed="false">
      <c r="A345" s="27"/>
      <c r="B345" s="28"/>
      <c r="C345" s="27"/>
      <c r="D345" s="30"/>
      <c r="E345" s="27"/>
      <c r="F345" s="27"/>
      <c r="G345" s="28"/>
    </row>
    <row r="346" customFormat="false" ht="15" hidden="false" customHeight="false" outlineLevel="0" collapsed="false">
      <c r="A346" s="27"/>
      <c r="B346" s="28"/>
      <c r="C346" s="27"/>
      <c r="D346" s="30"/>
      <c r="E346" s="27"/>
      <c r="F346" s="27"/>
      <c r="G346" s="28"/>
    </row>
    <row r="347" customFormat="false" ht="15" hidden="false" customHeight="false" outlineLevel="0" collapsed="false">
      <c r="A347" s="27"/>
      <c r="B347" s="28"/>
      <c r="C347" s="27"/>
      <c r="D347" s="30"/>
      <c r="E347" s="27"/>
      <c r="F347" s="27"/>
      <c r="G347" s="28"/>
    </row>
    <row r="348" customFormat="false" ht="15" hidden="false" customHeight="false" outlineLevel="0" collapsed="false">
      <c r="A348" s="27"/>
      <c r="B348" s="28"/>
      <c r="C348" s="27"/>
      <c r="D348" s="30"/>
      <c r="E348" s="27"/>
      <c r="F348" s="27"/>
      <c r="G348" s="28"/>
    </row>
    <row r="349" customFormat="false" ht="15" hidden="false" customHeight="false" outlineLevel="0" collapsed="false">
      <c r="A349" s="27"/>
      <c r="B349" s="28"/>
      <c r="C349" s="27"/>
      <c r="D349" s="30"/>
      <c r="E349" s="27"/>
      <c r="F349" s="27"/>
      <c r="G349" s="28"/>
    </row>
    <row r="350" customFormat="false" ht="15" hidden="false" customHeight="false" outlineLevel="0" collapsed="false">
      <c r="A350" s="27"/>
      <c r="B350" s="28"/>
      <c r="C350" s="27"/>
      <c r="D350" s="30"/>
      <c r="E350" s="27"/>
      <c r="F350" s="27"/>
      <c r="G350" s="28"/>
    </row>
    <row r="351" customFormat="false" ht="15" hidden="false" customHeight="false" outlineLevel="0" collapsed="false">
      <c r="A351" s="27"/>
      <c r="B351" s="28"/>
      <c r="C351" s="27"/>
      <c r="D351" s="30"/>
      <c r="E351" s="27"/>
      <c r="F351" s="27"/>
      <c r="G351" s="28"/>
    </row>
    <row r="352" customFormat="false" ht="15" hidden="false" customHeight="false" outlineLevel="0" collapsed="false">
      <c r="A352" s="27"/>
      <c r="B352" s="28"/>
      <c r="C352" s="27"/>
      <c r="D352" s="30"/>
      <c r="E352" s="27"/>
      <c r="F352" s="27"/>
      <c r="G352" s="28"/>
    </row>
    <row r="353" customFormat="false" ht="15" hidden="false" customHeight="false" outlineLevel="0" collapsed="false">
      <c r="A353" s="27"/>
      <c r="B353" s="28"/>
      <c r="C353" s="27"/>
      <c r="D353" s="30"/>
      <c r="E353" s="27"/>
      <c r="F353" s="27"/>
      <c r="G353" s="28"/>
    </row>
    <row r="354" customFormat="false" ht="15" hidden="false" customHeight="false" outlineLevel="0" collapsed="false">
      <c r="A354" s="27"/>
      <c r="B354" s="28"/>
      <c r="C354" s="27"/>
      <c r="D354" s="30"/>
      <c r="E354" s="27"/>
      <c r="F354" s="27"/>
      <c r="G354" s="28"/>
    </row>
    <row r="355" customFormat="false" ht="15" hidden="false" customHeight="false" outlineLevel="0" collapsed="false">
      <c r="A355" s="27"/>
      <c r="B355" s="28"/>
      <c r="C355" s="27"/>
      <c r="D355" s="30"/>
      <c r="E355" s="27"/>
      <c r="F355" s="27"/>
      <c r="G355" s="28"/>
    </row>
    <row r="356" customFormat="false" ht="15" hidden="false" customHeight="false" outlineLevel="0" collapsed="false">
      <c r="A356" s="27"/>
      <c r="B356" s="28"/>
      <c r="C356" s="27"/>
      <c r="D356" s="30"/>
      <c r="E356" s="27"/>
      <c r="F356" s="27"/>
      <c r="G356" s="28"/>
    </row>
    <row r="357" customFormat="false" ht="15" hidden="false" customHeight="false" outlineLevel="0" collapsed="false">
      <c r="A357" s="27"/>
      <c r="B357" s="28"/>
      <c r="C357" s="27"/>
      <c r="D357" s="30"/>
      <c r="E357" s="27"/>
      <c r="F357" s="27"/>
      <c r="G357" s="28"/>
    </row>
    <row r="358" customFormat="false" ht="15" hidden="false" customHeight="false" outlineLevel="0" collapsed="false">
      <c r="A358" s="27"/>
      <c r="B358" s="28"/>
      <c r="C358" s="27"/>
      <c r="D358" s="30"/>
      <c r="E358" s="27"/>
      <c r="F358" s="27"/>
      <c r="G358" s="28"/>
    </row>
    <row r="359" customFormat="false" ht="15" hidden="false" customHeight="false" outlineLevel="0" collapsed="false">
      <c r="A359" s="27"/>
      <c r="B359" s="28"/>
      <c r="C359" s="27"/>
      <c r="D359" s="30"/>
      <c r="E359" s="27"/>
      <c r="F359" s="27"/>
      <c r="G359" s="28"/>
    </row>
    <row r="360" customFormat="false" ht="15" hidden="false" customHeight="false" outlineLevel="0" collapsed="false">
      <c r="A360" s="27"/>
      <c r="B360" s="28"/>
      <c r="C360" s="27"/>
      <c r="D360" s="30"/>
      <c r="E360" s="27"/>
      <c r="F360" s="27"/>
      <c r="G360" s="28"/>
    </row>
    <row r="361" customFormat="false" ht="15" hidden="false" customHeight="false" outlineLevel="0" collapsed="false">
      <c r="A361" s="27"/>
      <c r="B361" s="28"/>
      <c r="C361" s="27"/>
      <c r="D361" s="30"/>
      <c r="E361" s="27"/>
      <c r="F361" s="27"/>
      <c r="G361" s="28"/>
    </row>
    <row r="362" customFormat="false" ht="15" hidden="false" customHeight="false" outlineLevel="0" collapsed="false">
      <c r="A362" s="27"/>
      <c r="B362" s="28"/>
      <c r="C362" s="27"/>
      <c r="D362" s="30"/>
      <c r="E362" s="27"/>
      <c r="F362" s="27"/>
      <c r="G362" s="28"/>
    </row>
    <row r="363" customFormat="false" ht="15" hidden="false" customHeight="false" outlineLevel="0" collapsed="false">
      <c r="A363" s="27"/>
      <c r="B363" s="28"/>
      <c r="C363" s="27"/>
      <c r="D363" s="30"/>
      <c r="E363" s="27"/>
      <c r="F363" s="27"/>
      <c r="G363" s="28"/>
    </row>
    <row r="364" customFormat="false" ht="15" hidden="false" customHeight="false" outlineLevel="0" collapsed="false">
      <c r="A364" s="27"/>
      <c r="B364" s="28"/>
      <c r="C364" s="27"/>
      <c r="D364" s="30"/>
      <c r="E364" s="27"/>
      <c r="F364" s="27"/>
      <c r="G364" s="28"/>
    </row>
    <row r="365" customFormat="false" ht="15" hidden="false" customHeight="false" outlineLevel="0" collapsed="false">
      <c r="A365" s="27"/>
      <c r="B365" s="28"/>
      <c r="C365" s="27"/>
      <c r="D365" s="30"/>
      <c r="E365" s="27"/>
      <c r="F365" s="27"/>
      <c r="G365" s="28"/>
    </row>
    <row r="366" customFormat="false" ht="15" hidden="false" customHeight="false" outlineLevel="0" collapsed="false">
      <c r="A366" s="27"/>
      <c r="B366" s="28"/>
      <c r="C366" s="27"/>
      <c r="D366" s="30"/>
      <c r="E366" s="27"/>
      <c r="F366" s="27"/>
      <c r="G366" s="28"/>
    </row>
    <row r="367" customFormat="false" ht="15" hidden="false" customHeight="false" outlineLevel="0" collapsed="false">
      <c r="A367" s="27"/>
      <c r="B367" s="28"/>
      <c r="C367" s="27"/>
      <c r="D367" s="30"/>
      <c r="E367" s="27"/>
      <c r="F367" s="27"/>
      <c r="G367" s="28"/>
    </row>
    <row r="368" customFormat="false" ht="15" hidden="false" customHeight="false" outlineLevel="0" collapsed="false">
      <c r="A368" s="27"/>
      <c r="B368" s="28"/>
      <c r="C368" s="27"/>
      <c r="D368" s="30"/>
      <c r="E368" s="27"/>
      <c r="F368" s="27"/>
      <c r="G368" s="28"/>
    </row>
    <row r="369" customFormat="false" ht="15" hidden="false" customHeight="false" outlineLevel="0" collapsed="false">
      <c r="A369" s="27"/>
      <c r="B369" s="28"/>
      <c r="C369" s="27"/>
      <c r="D369" s="30"/>
      <c r="E369" s="27"/>
      <c r="F369" s="27"/>
      <c r="G369" s="28"/>
    </row>
    <row r="370" customFormat="false" ht="15" hidden="false" customHeight="false" outlineLevel="0" collapsed="false">
      <c r="A370" s="27"/>
      <c r="B370" s="28"/>
      <c r="C370" s="27"/>
      <c r="D370" s="30"/>
      <c r="E370" s="27"/>
      <c r="F370" s="27"/>
      <c r="G370" s="28"/>
    </row>
    <row r="371" customFormat="false" ht="15" hidden="false" customHeight="false" outlineLevel="0" collapsed="false">
      <c r="A371" s="27"/>
      <c r="B371" s="28"/>
      <c r="C371" s="27"/>
      <c r="D371" s="30"/>
      <c r="E371" s="27"/>
      <c r="F371" s="27"/>
      <c r="G371" s="28"/>
    </row>
    <row r="372" customFormat="false" ht="15" hidden="false" customHeight="false" outlineLevel="0" collapsed="false">
      <c r="A372" s="27"/>
      <c r="B372" s="28"/>
      <c r="C372" s="27"/>
      <c r="D372" s="30"/>
      <c r="E372" s="27"/>
      <c r="F372" s="27"/>
      <c r="G372" s="28"/>
    </row>
    <row r="373" customFormat="false" ht="15" hidden="false" customHeight="false" outlineLevel="0" collapsed="false">
      <c r="A373" s="27"/>
      <c r="B373" s="28"/>
      <c r="C373" s="27"/>
      <c r="D373" s="30"/>
      <c r="E373" s="27"/>
      <c r="F373" s="27"/>
      <c r="G373" s="28"/>
    </row>
    <row r="374" customFormat="false" ht="15" hidden="false" customHeight="false" outlineLevel="0" collapsed="false">
      <c r="A374" s="27"/>
      <c r="B374" s="28"/>
      <c r="C374" s="27"/>
      <c r="D374" s="30"/>
      <c r="E374" s="27"/>
      <c r="F374" s="27"/>
      <c r="G374" s="28"/>
    </row>
    <row r="375" customFormat="false" ht="15" hidden="false" customHeight="false" outlineLevel="0" collapsed="false">
      <c r="A375" s="27"/>
      <c r="B375" s="28"/>
      <c r="C375" s="27"/>
      <c r="D375" s="30"/>
      <c r="E375" s="27"/>
      <c r="F375" s="27"/>
      <c r="G375" s="28"/>
    </row>
    <row r="376" customFormat="false" ht="15" hidden="false" customHeight="false" outlineLevel="0" collapsed="false">
      <c r="A376" s="27"/>
      <c r="B376" s="28"/>
      <c r="C376" s="27"/>
      <c r="D376" s="30"/>
      <c r="E376" s="27"/>
      <c r="F376" s="27"/>
      <c r="G376" s="28"/>
    </row>
    <row r="377" customFormat="false" ht="15" hidden="false" customHeight="false" outlineLevel="0" collapsed="false">
      <c r="A377" s="27"/>
      <c r="B377" s="28"/>
      <c r="C377" s="27"/>
      <c r="D377" s="30"/>
      <c r="E377" s="27"/>
      <c r="F377" s="27"/>
      <c r="G377" s="28"/>
    </row>
    <row r="378" customFormat="false" ht="15" hidden="false" customHeight="false" outlineLevel="0" collapsed="false">
      <c r="A378" s="27"/>
      <c r="B378" s="28"/>
      <c r="C378" s="27"/>
      <c r="D378" s="30"/>
      <c r="E378" s="27"/>
      <c r="F378" s="27"/>
      <c r="G378" s="28"/>
    </row>
    <row r="379" customFormat="false" ht="15" hidden="false" customHeight="false" outlineLevel="0" collapsed="false">
      <c r="A379" s="27"/>
      <c r="B379" s="28"/>
      <c r="C379" s="27"/>
      <c r="D379" s="30"/>
      <c r="E379" s="27"/>
      <c r="F379" s="27"/>
      <c r="G379" s="28"/>
    </row>
    <row r="380" customFormat="false" ht="15" hidden="false" customHeight="false" outlineLevel="0" collapsed="false">
      <c r="A380" s="27"/>
      <c r="B380" s="28"/>
      <c r="C380" s="27"/>
      <c r="D380" s="30"/>
      <c r="E380" s="27"/>
      <c r="F380" s="27"/>
      <c r="G380" s="28"/>
    </row>
    <row r="381" customFormat="false" ht="15" hidden="false" customHeight="false" outlineLevel="0" collapsed="false">
      <c r="A381" s="27"/>
      <c r="B381" s="28"/>
      <c r="C381" s="27"/>
      <c r="D381" s="30"/>
      <c r="E381" s="27"/>
      <c r="F381" s="27"/>
      <c r="G381" s="28"/>
    </row>
    <row r="382" customFormat="false" ht="15" hidden="false" customHeight="false" outlineLevel="0" collapsed="false">
      <c r="A382" s="27"/>
      <c r="B382" s="28"/>
      <c r="C382" s="27"/>
      <c r="D382" s="30"/>
      <c r="E382" s="27"/>
      <c r="F382" s="27"/>
      <c r="G382" s="28"/>
    </row>
    <row r="383" customFormat="false" ht="15" hidden="false" customHeight="false" outlineLevel="0" collapsed="false">
      <c r="A383" s="27"/>
      <c r="B383" s="28"/>
      <c r="C383" s="27"/>
      <c r="D383" s="30"/>
      <c r="E383" s="27"/>
      <c r="F383" s="27"/>
      <c r="G383" s="28"/>
    </row>
    <row r="384" customFormat="false" ht="15" hidden="false" customHeight="false" outlineLevel="0" collapsed="false">
      <c r="A384" s="27"/>
      <c r="B384" s="28"/>
      <c r="C384" s="27"/>
      <c r="D384" s="30"/>
      <c r="E384" s="27"/>
      <c r="F384" s="27"/>
      <c r="G384" s="28"/>
    </row>
    <row r="385" customFormat="false" ht="15" hidden="false" customHeight="false" outlineLevel="0" collapsed="false">
      <c r="A385" s="27"/>
      <c r="B385" s="28"/>
      <c r="C385" s="27"/>
      <c r="D385" s="30"/>
      <c r="E385" s="27"/>
      <c r="F385" s="27"/>
      <c r="G385" s="28"/>
    </row>
    <row r="386" customFormat="false" ht="15" hidden="false" customHeight="false" outlineLevel="0" collapsed="false">
      <c r="A386" s="27"/>
      <c r="B386" s="28"/>
      <c r="C386" s="27"/>
      <c r="D386" s="30"/>
      <c r="E386" s="27"/>
      <c r="F386" s="27"/>
      <c r="G386" s="28"/>
    </row>
    <row r="387" customFormat="false" ht="15" hidden="false" customHeight="false" outlineLevel="0" collapsed="false">
      <c r="A387" s="27"/>
      <c r="B387" s="28"/>
      <c r="C387" s="27"/>
      <c r="D387" s="30"/>
      <c r="E387" s="27"/>
      <c r="F387" s="27"/>
      <c r="G387" s="28"/>
    </row>
    <row r="388" customFormat="false" ht="15" hidden="false" customHeight="false" outlineLevel="0" collapsed="false">
      <c r="A388" s="27"/>
      <c r="B388" s="28"/>
      <c r="C388" s="27"/>
      <c r="D388" s="30"/>
      <c r="E388" s="27"/>
      <c r="F388" s="27"/>
      <c r="G388" s="28"/>
    </row>
    <row r="389" customFormat="false" ht="15" hidden="false" customHeight="false" outlineLevel="0" collapsed="false">
      <c r="A389" s="27"/>
      <c r="B389" s="28"/>
      <c r="C389" s="27"/>
      <c r="D389" s="30"/>
      <c r="E389" s="27"/>
      <c r="F389" s="27"/>
      <c r="G389" s="28"/>
    </row>
    <row r="390" customFormat="false" ht="15" hidden="false" customHeight="false" outlineLevel="0" collapsed="false">
      <c r="A390" s="27"/>
      <c r="B390" s="28"/>
      <c r="C390" s="27"/>
      <c r="D390" s="30"/>
      <c r="E390" s="27"/>
      <c r="F390" s="27"/>
      <c r="G390" s="28"/>
    </row>
    <row r="391" customFormat="false" ht="15" hidden="false" customHeight="false" outlineLevel="0" collapsed="false">
      <c r="A391" s="27"/>
      <c r="B391" s="28"/>
      <c r="C391" s="27"/>
      <c r="D391" s="30"/>
      <c r="E391" s="27"/>
      <c r="F391" s="27"/>
      <c r="G391" s="28"/>
    </row>
    <row r="392" customFormat="false" ht="15" hidden="false" customHeight="false" outlineLevel="0" collapsed="false">
      <c r="A392" s="27"/>
      <c r="B392" s="28"/>
      <c r="C392" s="27"/>
      <c r="D392" s="30"/>
      <c r="E392" s="27"/>
      <c r="F392" s="27"/>
      <c r="G392" s="28"/>
    </row>
    <row r="393" customFormat="false" ht="15" hidden="false" customHeight="false" outlineLevel="0" collapsed="false">
      <c r="A393" s="27"/>
      <c r="B393" s="28"/>
      <c r="C393" s="27"/>
      <c r="D393" s="30"/>
      <c r="E393" s="27"/>
      <c r="F393" s="27"/>
      <c r="G393" s="28"/>
    </row>
    <row r="394" customFormat="false" ht="15" hidden="false" customHeight="false" outlineLevel="0" collapsed="false">
      <c r="A394" s="27"/>
      <c r="B394" s="28"/>
      <c r="C394" s="27"/>
      <c r="D394" s="30"/>
      <c r="E394" s="27"/>
      <c r="F394" s="27"/>
      <c r="G394" s="28"/>
    </row>
    <row r="395" customFormat="false" ht="15" hidden="false" customHeight="false" outlineLevel="0" collapsed="false">
      <c r="A395" s="27"/>
      <c r="B395" s="28"/>
      <c r="C395" s="27"/>
      <c r="D395" s="30"/>
      <c r="E395" s="27"/>
      <c r="F395" s="27"/>
      <c r="G395" s="28"/>
    </row>
    <row r="396" customFormat="false" ht="15" hidden="false" customHeight="false" outlineLevel="0" collapsed="false">
      <c r="A396" s="27"/>
      <c r="B396" s="28"/>
      <c r="C396" s="27"/>
      <c r="D396" s="30"/>
      <c r="E396" s="27"/>
      <c r="F396" s="27"/>
      <c r="G396" s="28"/>
    </row>
    <row r="397" customFormat="false" ht="15" hidden="false" customHeight="false" outlineLevel="0" collapsed="false">
      <c r="A397" s="27"/>
      <c r="B397" s="28"/>
      <c r="C397" s="27"/>
      <c r="D397" s="30"/>
      <c r="E397" s="27"/>
      <c r="F397" s="27"/>
      <c r="G397" s="28"/>
    </row>
    <row r="398" customFormat="false" ht="15" hidden="false" customHeight="false" outlineLevel="0" collapsed="false">
      <c r="A398" s="27"/>
      <c r="B398" s="28"/>
      <c r="C398" s="27"/>
      <c r="D398" s="30"/>
      <c r="E398" s="27"/>
      <c r="F398" s="27"/>
      <c r="G398" s="28"/>
    </row>
    <row r="399" customFormat="false" ht="15" hidden="false" customHeight="false" outlineLevel="0" collapsed="false">
      <c r="A399" s="27"/>
      <c r="B399" s="28"/>
      <c r="C399" s="27"/>
      <c r="D399" s="30"/>
      <c r="E399" s="27"/>
      <c r="F399" s="27"/>
      <c r="G399" s="28"/>
    </row>
    <row r="400" customFormat="false" ht="15" hidden="false" customHeight="false" outlineLevel="0" collapsed="false">
      <c r="A400" s="27"/>
      <c r="B400" s="28"/>
      <c r="C400" s="27"/>
      <c r="D400" s="30"/>
      <c r="E400" s="27"/>
      <c r="F400" s="27"/>
      <c r="G400" s="28"/>
    </row>
    <row r="401" customFormat="false" ht="15" hidden="false" customHeight="false" outlineLevel="0" collapsed="false">
      <c r="A401" s="27"/>
      <c r="B401" s="28"/>
      <c r="C401" s="27"/>
      <c r="D401" s="30"/>
      <c r="E401" s="27"/>
      <c r="F401" s="27"/>
      <c r="G401" s="28"/>
    </row>
    <row r="402" customFormat="false" ht="15" hidden="false" customHeight="false" outlineLevel="0" collapsed="false">
      <c r="A402" s="27"/>
      <c r="B402" s="28"/>
      <c r="C402" s="27"/>
      <c r="D402" s="30"/>
      <c r="E402" s="27"/>
      <c r="F402" s="27"/>
      <c r="G402" s="28"/>
    </row>
    <row r="403" customFormat="false" ht="15" hidden="false" customHeight="false" outlineLevel="0" collapsed="false">
      <c r="A403" s="27"/>
      <c r="B403" s="28"/>
      <c r="C403" s="27"/>
      <c r="D403" s="30"/>
      <c r="E403" s="27"/>
      <c r="F403" s="27"/>
      <c r="G403" s="28"/>
    </row>
    <row r="404" customFormat="false" ht="15" hidden="false" customHeight="false" outlineLevel="0" collapsed="false">
      <c r="A404" s="27"/>
      <c r="B404" s="28"/>
      <c r="C404" s="27"/>
      <c r="D404" s="30"/>
      <c r="E404" s="27"/>
      <c r="F404" s="27"/>
      <c r="G404" s="28"/>
    </row>
    <row r="405" customFormat="false" ht="15" hidden="false" customHeight="false" outlineLevel="0" collapsed="false">
      <c r="A405" s="27"/>
      <c r="B405" s="28"/>
      <c r="C405" s="27"/>
      <c r="D405" s="30"/>
      <c r="E405" s="27"/>
      <c r="F405" s="27"/>
      <c r="G405" s="28"/>
    </row>
    <row r="406" customFormat="false" ht="15" hidden="false" customHeight="false" outlineLevel="0" collapsed="false">
      <c r="A406" s="27"/>
      <c r="B406" s="28"/>
      <c r="C406" s="27"/>
      <c r="D406" s="30"/>
      <c r="E406" s="27"/>
      <c r="F406" s="27"/>
      <c r="G406" s="28"/>
    </row>
    <row r="407" customFormat="false" ht="15" hidden="false" customHeight="false" outlineLevel="0" collapsed="false">
      <c r="A407" s="27"/>
      <c r="B407" s="28"/>
      <c r="C407" s="27"/>
      <c r="D407" s="30"/>
      <c r="E407" s="27"/>
      <c r="F407" s="27"/>
      <c r="G407" s="28"/>
    </row>
    <row r="408" customFormat="false" ht="15" hidden="false" customHeight="false" outlineLevel="0" collapsed="false">
      <c r="A408" s="27"/>
      <c r="B408" s="28"/>
      <c r="C408" s="27"/>
      <c r="D408" s="30"/>
      <c r="E408" s="27"/>
      <c r="F408" s="27"/>
      <c r="G408" s="28"/>
    </row>
    <row r="409" customFormat="false" ht="15" hidden="false" customHeight="false" outlineLevel="0" collapsed="false">
      <c r="A409" s="27"/>
      <c r="B409" s="28"/>
      <c r="C409" s="27"/>
      <c r="D409" s="30"/>
      <c r="E409" s="27"/>
      <c r="F409" s="27"/>
      <c r="G409" s="28"/>
    </row>
    <row r="410" customFormat="false" ht="15" hidden="false" customHeight="false" outlineLevel="0" collapsed="false">
      <c r="A410" s="27"/>
      <c r="B410" s="28"/>
      <c r="C410" s="27"/>
      <c r="D410" s="30"/>
      <c r="E410" s="27"/>
      <c r="F410" s="27"/>
      <c r="G410" s="28"/>
    </row>
    <row r="411" customFormat="false" ht="15" hidden="false" customHeight="false" outlineLevel="0" collapsed="false">
      <c r="A411" s="27"/>
      <c r="B411" s="28"/>
      <c r="C411" s="27"/>
      <c r="D411" s="30"/>
      <c r="E411" s="27"/>
      <c r="F411" s="27"/>
      <c r="G411" s="28"/>
    </row>
    <row r="412" customFormat="false" ht="15" hidden="false" customHeight="false" outlineLevel="0" collapsed="false">
      <c r="A412" s="27"/>
      <c r="B412" s="28"/>
      <c r="C412" s="27"/>
      <c r="D412" s="30"/>
      <c r="E412" s="27"/>
      <c r="F412" s="27"/>
      <c r="G412" s="28"/>
    </row>
    <row r="413" customFormat="false" ht="15" hidden="false" customHeight="false" outlineLevel="0" collapsed="false">
      <c r="A413" s="27"/>
      <c r="B413" s="28"/>
      <c r="C413" s="27"/>
      <c r="D413" s="30"/>
      <c r="E413" s="27"/>
      <c r="F413" s="27"/>
      <c r="G413" s="28"/>
    </row>
    <row r="414" customFormat="false" ht="15" hidden="false" customHeight="false" outlineLevel="0" collapsed="false">
      <c r="A414" s="27"/>
      <c r="B414" s="28"/>
      <c r="C414" s="27"/>
      <c r="D414" s="30"/>
      <c r="E414" s="27"/>
      <c r="F414" s="27"/>
      <c r="G414" s="28"/>
    </row>
    <row r="415" customFormat="false" ht="15" hidden="false" customHeight="false" outlineLevel="0" collapsed="false">
      <c r="A415" s="27"/>
      <c r="B415" s="28"/>
      <c r="C415" s="27"/>
      <c r="D415" s="30"/>
      <c r="E415" s="27"/>
      <c r="F415" s="27"/>
      <c r="G415" s="28"/>
    </row>
    <row r="416" customFormat="false" ht="15" hidden="false" customHeight="false" outlineLevel="0" collapsed="false">
      <c r="A416" s="27"/>
      <c r="B416" s="28"/>
      <c r="C416" s="27"/>
      <c r="D416" s="30"/>
      <c r="E416" s="27"/>
      <c r="F416" s="27"/>
      <c r="G416" s="28"/>
    </row>
    <row r="417" customFormat="false" ht="15" hidden="false" customHeight="false" outlineLevel="0" collapsed="false">
      <c r="A417" s="27"/>
      <c r="B417" s="28"/>
      <c r="C417" s="27"/>
      <c r="D417" s="30"/>
      <c r="E417" s="27"/>
      <c r="F417" s="27"/>
      <c r="G417" s="28"/>
    </row>
    <row r="418" customFormat="false" ht="15" hidden="false" customHeight="false" outlineLevel="0" collapsed="false">
      <c r="A418" s="27"/>
      <c r="B418" s="28"/>
      <c r="C418" s="27"/>
      <c r="D418" s="30"/>
      <c r="E418" s="27"/>
      <c r="F418" s="27"/>
      <c r="G418" s="28"/>
    </row>
    <row r="419" customFormat="false" ht="15" hidden="false" customHeight="false" outlineLevel="0" collapsed="false">
      <c r="A419" s="27"/>
      <c r="B419" s="28"/>
      <c r="C419" s="27"/>
      <c r="D419" s="30"/>
      <c r="E419" s="27"/>
      <c r="F419" s="27"/>
      <c r="G419" s="28"/>
    </row>
    <row r="420" customFormat="false" ht="15" hidden="false" customHeight="false" outlineLevel="0" collapsed="false">
      <c r="A420" s="27"/>
      <c r="B420" s="28"/>
      <c r="C420" s="27"/>
      <c r="D420" s="30"/>
      <c r="E420" s="27"/>
      <c r="F420" s="27"/>
      <c r="G420" s="28"/>
    </row>
    <row r="421" customFormat="false" ht="15" hidden="false" customHeight="false" outlineLevel="0" collapsed="false">
      <c r="A421" s="27"/>
      <c r="B421" s="28"/>
      <c r="C421" s="27"/>
      <c r="D421" s="30"/>
      <c r="E421" s="27"/>
      <c r="F421" s="27"/>
      <c r="G421" s="28"/>
    </row>
    <row r="422" customFormat="false" ht="15" hidden="false" customHeight="false" outlineLevel="0" collapsed="false">
      <c r="A422" s="27"/>
      <c r="B422" s="28"/>
      <c r="C422" s="27"/>
      <c r="D422" s="30"/>
      <c r="E422" s="27"/>
      <c r="F422" s="27"/>
      <c r="G422" s="28"/>
    </row>
    <row r="423" customFormat="false" ht="15" hidden="false" customHeight="false" outlineLevel="0" collapsed="false">
      <c r="A423" s="27"/>
      <c r="B423" s="28"/>
      <c r="C423" s="27"/>
      <c r="D423" s="30"/>
      <c r="E423" s="27"/>
      <c r="F423" s="27"/>
      <c r="G423" s="28"/>
    </row>
    <row r="424" customFormat="false" ht="15" hidden="false" customHeight="false" outlineLevel="0" collapsed="false">
      <c r="A424" s="27"/>
      <c r="B424" s="28"/>
      <c r="C424" s="27"/>
      <c r="D424" s="30"/>
      <c r="E424" s="27"/>
      <c r="F424" s="27"/>
      <c r="G424" s="28"/>
    </row>
    <row r="425" customFormat="false" ht="15" hidden="false" customHeight="false" outlineLevel="0" collapsed="false">
      <c r="A425" s="27"/>
      <c r="B425" s="28"/>
      <c r="C425" s="27"/>
      <c r="D425" s="30"/>
      <c r="E425" s="27"/>
      <c r="F425" s="27"/>
      <c r="G425" s="28"/>
    </row>
    <row r="426" customFormat="false" ht="15" hidden="false" customHeight="false" outlineLevel="0" collapsed="false">
      <c r="A426" s="27"/>
      <c r="B426" s="28"/>
      <c r="C426" s="27"/>
      <c r="D426" s="30"/>
      <c r="E426" s="27"/>
      <c r="F426" s="27"/>
      <c r="G426" s="28"/>
    </row>
    <row r="427" customFormat="false" ht="15" hidden="false" customHeight="false" outlineLevel="0" collapsed="false">
      <c r="A427" s="27"/>
      <c r="B427" s="28"/>
      <c r="C427" s="27"/>
      <c r="D427" s="30"/>
      <c r="E427" s="27"/>
      <c r="F427" s="27"/>
      <c r="G427" s="28"/>
    </row>
    <row r="428" customFormat="false" ht="15" hidden="false" customHeight="false" outlineLevel="0" collapsed="false">
      <c r="A428" s="27"/>
      <c r="B428" s="28"/>
      <c r="C428" s="27"/>
      <c r="D428" s="30"/>
      <c r="E428" s="27"/>
      <c r="F428" s="27"/>
      <c r="G428" s="28"/>
    </row>
    <row r="429" customFormat="false" ht="15" hidden="false" customHeight="false" outlineLevel="0" collapsed="false">
      <c r="A429" s="27"/>
      <c r="B429" s="28"/>
      <c r="C429" s="27"/>
      <c r="D429" s="30"/>
      <c r="E429" s="27"/>
      <c r="F429" s="27"/>
      <c r="G429" s="28"/>
    </row>
    <row r="430" customFormat="false" ht="15" hidden="false" customHeight="false" outlineLevel="0" collapsed="false">
      <c r="A430" s="27"/>
      <c r="B430" s="28"/>
      <c r="C430" s="27"/>
      <c r="D430" s="30"/>
      <c r="E430" s="27"/>
      <c r="F430" s="27"/>
      <c r="G430" s="28"/>
    </row>
    <row r="431" customFormat="false" ht="15" hidden="false" customHeight="false" outlineLevel="0" collapsed="false">
      <c r="A431" s="27"/>
      <c r="B431" s="28"/>
      <c r="C431" s="27"/>
      <c r="D431" s="30"/>
      <c r="E431" s="27"/>
      <c r="F431" s="27"/>
      <c r="G431" s="28"/>
    </row>
    <row r="432" customFormat="false" ht="15" hidden="false" customHeight="false" outlineLevel="0" collapsed="false">
      <c r="A432" s="27"/>
      <c r="B432" s="28"/>
      <c r="C432" s="27"/>
      <c r="D432" s="30"/>
      <c r="E432" s="27"/>
      <c r="F432" s="27"/>
      <c r="G432" s="28"/>
    </row>
    <row r="433" customFormat="false" ht="15" hidden="false" customHeight="false" outlineLevel="0" collapsed="false">
      <c r="A433" s="27"/>
      <c r="B433" s="28"/>
      <c r="C433" s="27"/>
      <c r="D433" s="30"/>
      <c r="E433" s="27"/>
      <c r="F433" s="27"/>
      <c r="G433" s="28"/>
    </row>
    <row r="434" customFormat="false" ht="15" hidden="false" customHeight="false" outlineLevel="0" collapsed="false">
      <c r="A434" s="27"/>
      <c r="B434" s="28"/>
      <c r="C434" s="27"/>
      <c r="D434" s="30"/>
      <c r="E434" s="27"/>
      <c r="F434" s="27"/>
      <c r="G434" s="28"/>
    </row>
    <row r="435" customFormat="false" ht="15" hidden="false" customHeight="false" outlineLevel="0" collapsed="false">
      <c r="A435" s="27"/>
      <c r="B435" s="28"/>
      <c r="C435" s="27"/>
      <c r="D435" s="30"/>
      <c r="E435" s="27"/>
      <c r="F435" s="27"/>
      <c r="G435" s="28"/>
    </row>
    <row r="436" customFormat="false" ht="15" hidden="false" customHeight="false" outlineLevel="0" collapsed="false">
      <c r="A436" s="27"/>
      <c r="B436" s="28"/>
      <c r="C436" s="27"/>
      <c r="D436" s="30"/>
      <c r="E436" s="27"/>
      <c r="F436" s="27"/>
      <c r="G436" s="28"/>
    </row>
    <row r="437" customFormat="false" ht="15" hidden="false" customHeight="false" outlineLevel="0" collapsed="false">
      <c r="A437" s="27"/>
      <c r="B437" s="28"/>
      <c r="C437" s="27"/>
      <c r="D437" s="30"/>
      <c r="E437" s="27"/>
      <c r="F437" s="27"/>
      <c r="G437" s="28"/>
    </row>
    <row r="438" customFormat="false" ht="15" hidden="false" customHeight="false" outlineLevel="0" collapsed="false">
      <c r="A438" s="27"/>
      <c r="B438" s="28"/>
      <c r="C438" s="27"/>
      <c r="D438" s="30"/>
      <c r="E438" s="27"/>
      <c r="F438" s="27"/>
      <c r="G438" s="28"/>
    </row>
    <row r="439" customFormat="false" ht="15" hidden="false" customHeight="false" outlineLevel="0" collapsed="false">
      <c r="A439" s="27"/>
      <c r="B439" s="28"/>
      <c r="C439" s="27"/>
      <c r="D439" s="30"/>
      <c r="E439" s="27"/>
      <c r="F439" s="27"/>
      <c r="G439" s="28"/>
    </row>
    <row r="440" customFormat="false" ht="15" hidden="false" customHeight="false" outlineLevel="0" collapsed="false">
      <c r="A440" s="27"/>
      <c r="B440" s="28"/>
      <c r="C440" s="27"/>
      <c r="D440" s="30"/>
      <c r="E440" s="27"/>
      <c r="F440" s="27"/>
      <c r="G440" s="28"/>
    </row>
    <row r="441" customFormat="false" ht="15" hidden="false" customHeight="false" outlineLevel="0" collapsed="false">
      <c r="A441" s="27"/>
      <c r="B441" s="28"/>
      <c r="C441" s="27"/>
      <c r="D441" s="30"/>
      <c r="E441" s="27"/>
      <c r="F441" s="27"/>
      <c r="G441" s="28"/>
    </row>
    <row r="442" customFormat="false" ht="15" hidden="false" customHeight="false" outlineLevel="0" collapsed="false">
      <c r="A442" s="27"/>
      <c r="B442" s="28"/>
      <c r="C442" s="27"/>
      <c r="D442" s="30"/>
      <c r="E442" s="27"/>
      <c r="F442" s="27"/>
      <c r="G442" s="28"/>
    </row>
    <row r="443" customFormat="false" ht="15" hidden="false" customHeight="false" outlineLevel="0" collapsed="false">
      <c r="A443" s="27"/>
      <c r="B443" s="28"/>
      <c r="C443" s="27"/>
      <c r="D443" s="30"/>
      <c r="E443" s="27"/>
      <c r="F443" s="27"/>
      <c r="G443" s="28"/>
    </row>
    <row r="444" customFormat="false" ht="15" hidden="false" customHeight="false" outlineLevel="0" collapsed="false">
      <c r="A444" s="27"/>
      <c r="B444" s="28"/>
      <c r="C444" s="27"/>
      <c r="D444" s="30"/>
      <c r="E444" s="27"/>
      <c r="F444" s="27"/>
      <c r="G444" s="28"/>
    </row>
    <row r="445" customFormat="false" ht="15" hidden="false" customHeight="false" outlineLevel="0" collapsed="false">
      <c r="A445" s="27"/>
      <c r="B445" s="28"/>
      <c r="C445" s="27"/>
      <c r="D445" s="30"/>
      <c r="E445" s="27"/>
      <c r="F445" s="27"/>
      <c r="G445" s="28"/>
    </row>
    <row r="446" customFormat="false" ht="15" hidden="false" customHeight="false" outlineLevel="0" collapsed="false">
      <c r="A446" s="27"/>
      <c r="B446" s="28"/>
      <c r="C446" s="27"/>
      <c r="D446" s="30"/>
      <c r="E446" s="27"/>
      <c r="F446" s="27"/>
      <c r="G446" s="28"/>
    </row>
    <row r="447" customFormat="false" ht="15" hidden="false" customHeight="false" outlineLevel="0" collapsed="false">
      <c r="A447" s="27"/>
      <c r="B447" s="28"/>
      <c r="C447" s="27"/>
      <c r="D447" s="30"/>
      <c r="E447" s="27"/>
      <c r="F447" s="27"/>
      <c r="G447" s="28"/>
    </row>
    <row r="448" customFormat="false" ht="15" hidden="false" customHeight="false" outlineLevel="0" collapsed="false">
      <c r="A448" s="27"/>
      <c r="B448" s="28"/>
      <c r="C448" s="27"/>
      <c r="D448" s="30"/>
      <c r="E448" s="27"/>
      <c r="F448" s="27"/>
      <c r="G448" s="28"/>
    </row>
    <row r="449" customFormat="false" ht="15" hidden="false" customHeight="false" outlineLevel="0" collapsed="false">
      <c r="A449" s="27"/>
      <c r="B449" s="28"/>
      <c r="C449" s="27"/>
      <c r="D449" s="30"/>
      <c r="E449" s="27"/>
      <c r="F449" s="27"/>
      <c r="G449" s="28"/>
    </row>
    <row r="450" customFormat="false" ht="15" hidden="false" customHeight="false" outlineLevel="0" collapsed="false">
      <c r="A450" s="27"/>
      <c r="B450" s="28"/>
      <c r="C450" s="27"/>
      <c r="D450" s="30"/>
      <c r="E450" s="27"/>
      <c r="F450" s="27"/>
      <c r="G450" s="28"/>
    </row>
    <row r="451" customFormat="false" ht="15" hidden="false" customHeight="false" outlineLevel="0" collapsed="false">
      <c r="A451" s="27"/>
      <c r="B451" s="28"/>
      <c r="C451" s="27"/>
      <c r="D451" s="30"/>
      <c r="E451" s="27"/>
      <c r="F451" s="27"/>
      <c r="G451" s="28"/>
    </row>
    <row r="452" customFormat="false" ht="15" hidden="false" customHeight="false" outlineLevel="0" collapsed="false">
      <c r="A452" s="27"/>
      <c r="B452" s="28"/>
      <c r="C452" s="27"/>
      <c r="D452" s="30"/>
      <c r="E452" s="27"/>
      <c r="F452" s="27"/>
      <c r="G452" s="28"/>
    </row>
    <row r="453" customFormat="false" ht="15" hidden="false" customHeight="false" outlineLevel="0" collapsed="false">
      <c r="A453" s="27"/>
      <c r="B453" s="28"/>
      <c r="C453" s="27"/>
      <c r="D453" s="30"/>
      <c r="E453" s="27"/>
      <c r="F453" s="27"/>
      <c r="G453" s="28"/>
    </row>
    <row r="454" customFormat="false" ht="15" hidden="false" customHeight="false" outlineLevel="0" collapsed="false">
      <c r="A454" s="27"/>
      <c r="B454" s="28"/>
      <c r="C454" s="27"/>
      <c r="D454" s="30"/>
      <c r="E454" s="27"/>
      <c r="F454" s="27"/>
      <c r="G454" s="28"/>
    </row>
    <row r="455" customFormat="false" ht="15" hidden="false" customHeight="false" outlineLevel="0" collapsed="false">
      <c r="A455" s="27"/>
      <c r="B455" s="28"/>
      <c r="C455" s="27"/>
      <c r="D455" s="30"/>
      <c r="E455" s="27"/>
      <c r="F455" s="27"/>
      <c r="G455" s="28"/>
    </row>
    <row r="456" customFormat="false" ht="15" hidden="false" customHeight="false" outlineLevel="0" collapsed="false">
      <c r="A456" s="27"/>
      <c r="B456" s="28"/>
      <c r="C456" s="27"/>
      <c r="D456" s="30"/>
      <c r="E456" s="27"/>
      <c r="F456" s="27"/>
      <c r="G456" s="28"/>
    </row>
    <row r="457" customFormat="false" ht="15" hidden="false" customHeight="false" outlineLevel="0" collapsed="false">
      <c r="A457" s="27"/>
      <c r="B457" s="28"/>
      <c r="C457" s="27"/>
      <c r="D457" s="30"/>
      <c r="E457" s="27"/>
      <c r="F457" s="27"/>
      <c r="G457" s="28"/>
    </row>
    <row r="458" customFormat="false" ht="15" hidden="false" customHeight="false" outlineLevel="0" collapsed="false">
      <c r="A458" s="27"/>
      <c r="B458" s="28"/>
      <c r="C458" s="27"/>
      <c r="D458" s="30"/>
      <c r="E458" s="27"/>
      <c r="F458" s="27"/>
      <c r="G458" s="28"/>
    </row>
    <row r="459" customFormat="false" ht="15" hidden="false" customHeight="false" outlineLevel="0" collapsed="false">
      <c r="A459" s="27"/>
      <c r="B459" s="28"/>
      <c r="C459" s="27"/>
      <c r="D459" s="30"/>
      <c r="E459" s="27"/>
      <c r="F459" s="27"/>
      <c r="G459" s="28"/>
    </row>
    <row r="460" customFormat="false" ht="15" hidden="false" customHeight="false" outlineLevel="0" collapsed="false">
      <c r="A460" s="27"/>
      <c r="B460" s="28"/>
      <c r="C460" s="27"/>
      <c r="D460" s="30"/>
      <c r="E460" s="27"/>
      <c r="F460" s="27"/>
      <c r="G460" s="28"/>
    </row>
    <row r="461" customFormat="false" ht="15" hidden="false" customHeight="false" outlineLevel="0" collapsed="false">
      <c r="A461" s="27"/>
      <c r="B461" s="28"/>
      <c r="C461" s="27"/>
      <c r="D461" s="30"/>
      <c r="E461" s="27"/>
      <c r="F461" s="27"/>
      <c r="G461" s="28"/>
    </row>
    <row r="462" customFormat="false" ht="15" hidden="false" customHeight="false" outlineLevel="0" collapsed="false">
      <c r="A462" s="27"/>
      <c r="B462" s="28"/>
      <c r="C462" s="27"/>
      <c r="D462" s="30"/>
      <c r="E462" s="27"/>
      <c r="F462" s="27"/>
      <c r="G462" s="28"/>
    </row>
    <row r="463" customFormat="false" ht="15" hidden="false" customHeight="false" outlineLevel="0" collapsed="false">
      <c r="A463" s="27"/>
      <c r="B463" s="28"/>
      <c r="C463" s="27"/>
      <c r="D463" s="30"/>
      <c r="E463" s="27"/>
      <c r="F463" s="27"/>
      <c r="G463" s="28"/>
    </row>
    <row r="464" customFormat="false" ht="15" hidden="false" customHeight="false" outlineLevel="0" collapsed="false">
      <c r="A464" s="27"/>
      <c r="B464" s="28"/>
      <c r="C464" s="27"/>
      <c r="D464" s="30"/>
      <c r="E464" s="27"/>
      <c r="F464" s="27"/>
      <c r="G464" s="28"/>
    </row>
    <row r="465" customFormat="false" ht="15" hidden="false" customHeight="false" outlineLevel="0" collapsed="false">
      <c r="A465" s="27"/>
      <c r="B465" s="28"/>
      <c r="C465" s="27"/>
      <c r="D465" s="30"/>
      <c r="E465" s="27"/>
      <c r="F465" s="27"/>
      <c r="G465" s="28"/>
    </row>
    <row r="466" customFormat="false" ht="15" hidden="false" customHeight="false" outlineLevel="0" collapsed="false">
      <c r="A466" s="27"/>
      <c r="B466" s="28"/>
      <c r="C466" s="27"/>
      <c r="D466" s="30"/>
      <c r="E466" s="27"/>
      <c r="F466" s="27"/>
      <c r="G466" s="28"/>
    </row>
    <row r="467" customFormat="false" ht="15" hidden="false" customHeight="false" outlineLevel="0" collapsed="false">
      <c r="A467" s="27"/>
      <c r="B467" s="28"/>
      <c r="C467" s="27"/>
      <c r="D467" s="30"/>
      <c r="E467" s="27"/>
      <c r="F467" s="27"/>
      <c r="G467" s="28"/>
    </row>
    <row r="468" customFormat="false" ht="15" hidden="false" customHeight="false" outlineLevel="0" collapsed="false">
      <c r="A468" s="27"/>
      <c r="B468" s="28"/>
      <c r="C468" s="27"/>
      <c r="D468" s="30"/>
      <c r="E468" s="27"/>
      <c r="F468" s="27"/>
      <c r="G468" s="28"/>
    </row>
    <row r="469" customFormat="false" ht="15" hidden="false" customHeight="false" outlineLevel="0" collapsed="false">
      <c r="A469" s="27"/>
      <c r="B469" s="28"/>
      <c r="C469" s="27"/>
      <c r="D469" s="30"/>
      <c r="E469" s="27"/>
      <c r="F469" s="27"/>
      <c r="G469" s="28"/>
    </row>
    <row r="470" customFormat="false" ht="15" hidden="false" customHeight="false" outlineLevel="0" collapsed="false">
      <c r="A470" s="27"/>
      <c r="B470" s="28"/>
      <c r="C470" s="27"/>
      <c r="D470" s="30"/>
      <c r="E470" s="27"/>
      <c r="F470" s="27"/>
      <c r="G470" s="28"/>
    </row>
    <row r="471" customFormat="false" ht="15" hidden="false" customHeight="false" outlineLevel="0" collapsed="false">
      <c r="A471" s="27"/>
      <c r="B471" s="28"/>
      <c r="C471" s="27"/>
      <c r="D471" s="30"/>
      <c r="E471" s="27"/>
      <c r="F471" s="27"/>
      <c r="G471" s="28"/>
    </row>
    <row r="472" customFormat="false" ht="15" hidden="false" customHeight="false" outlineLevel="0" collapsed="false">
      <c r="A472" s="27"/>
      <c r="B472" s="28"/>
      <c r="C472" s="27"/>
      <c r="D472" s="30"/>
      <c r="E472" s="27"/>
      <c r="F472" s="27"/>
      <c r="G472" s="28"/>
    </row>
    <row r="473" customFormat="false" ht="15" hidden="false" customHeight="false" outlineLevel="0" collapsed="false">
      <c r="A473" s="27"/>
      <c r="B473" s="28"/>
      <c r="C473" s="27"/>
      <c r="D473" s="30"/>
      <c r="E473" s="27"/>
      <c r="F473" s="27"/>
      <c r="G473" s="28"/>
    </row>
    <row r="474" customFormat="false" ht="15" hidden="false" customHeight="false" outlineLevel="0" collapsed="false">
      <c r="A474" s="27"/>
      <c r="B474" s="28"/>
      <c r="C474" s="27"/>
      <c r="D474" s="30"/>
      <c r="E474" s="27"/>
      <c r="F474" s="27"/>
      <c r="G474" s="28"/>
    </row>
    <row r="475" customFormat="false" ht="15" hidden="false" customHeight="false" outlineLevel="0" collapsed="false">
      <c r="A475" s="27"/>
      <c r="B475" s="28"/>
      <c r="C475" s="27"/>
      <c r="D475" s="30"/>
      <c r="E475" s="27"/>
      <c r="F475" s="27"/>
      <c r="G475" s="28"/>
    </row>
    <row r="476" customFormat="false" ht="15" hidden="false" customHeight="false" outlineLevel="0" collapsed="false">
      <c r="A476" s="27"/>
      <c r="B476" s="28"/>
      <c r="C476" s="27"/>
      <c r="D476" s="30"/>
      <c r="E476" s="27"/>
      <c r="F476" s="27"/>
      <c r="G476" s="28"/>
    </row>
    <row r="477" customFormat="false" ht="15" hidden="false" customHeight="false" outlineLevel="0" collapsed="false">
      <c r="A477" s="27"/>
      <c r="B477" s="28"/>
      <c r="C477" s="27"/>
      <c r="D477" s="30"/>
      <c r="E477" s="27"/>
      <c r="F477" s="27"/>
      <c r="G477" s="28"/>
    </row>
    <row r="478" customFormat="false" ht="15" hidden="false" customHeight="false" outlineLevel="0" collapsed="false">
      <c r="A478" s="27"/>
      <c r="B478" s="28"/>
      <c r="C478" s="27"/>
      <c r="D478" s="30"/>
      <c r="E478" s="27"/>
      <c r="F478" s="27"/>
      <c r="G478" s="28"/>
    </row>
    <row r="479" customFormat="false" ht="15" hidden="false" customHeight="false" outlineLevel="0" collapsed="false">
      <c r="A479" s="27"/>
      <c r="B479" s="28"/>
      <c r="C479" s="27"/>
      <c r="D479" s="30"/>
      <c r="E479" s="27"/>
      <c r="F479" s="27"/>
      <c r="G479" s="28"/>
    </row>
    <row r="480" customFormat="false" ht="15" hidden="false" customHeight="false" outlineLevel="0" collapsed="false">
      <c r="A480" s="27"/>
      <c r="B480" s="28"/>
      <c r="C480" s="27"/>
      <c r="D480" s="30"/>
      <c r="E480" s="27"/>
      <c r="F480" s="27"/>
      <c r="G480" s="28"/>
    </row>
    <row r="481" customFormat="false" ht="15" hidden="false" customHeight="false" outlineLevel="0" collapsed="false">
      <c r="A481" s="27"/>
      <c r="B481" s="28"/>
      <c r="C481" s="27"/>
      <c r="D481" s="30"/>
      <c r="E481" s="27"/>
      <c r="F481" s="27"/>
      <c r="G481" s="28"/>
    </row>
    <row r="482" customFormat="false" ht="15" hidden="false" customHeight="false" outlineLevel="0" collapsed="false">
      <c r="A482" s="27"/>
      <c r="B482" s="28"/>
      <c r="C482" s="27"/>
      <c r="D482" s="30"/>
      <c r="E482" s="27"/>
      <c r="F482" s="27"/>
      <c r="G482" s="28"/>
    </row>
    <row r="483" customFormat="false" ht="15" hidden="false" customHeight="false" outlineLevel="0" collapsed="false">
      <c r="A483" s="27"/>
      <c r="B483" s="28"/>
      <c r="C483" s="27"/>
      <c r="D483" s="30"/>
      <c r="E483" s="27"/>
      <c r="F483" s="27"/>
      <c r="G483" s="28"/>
    </row>
    <row r="484" customFormat="false" ht="15" hidden="false" customHeight="false" outlineLevel="0" collapsed="false">
      <c r="A484" s="27"/>
      <c r="B484" s="28"/>
      <c r="C484" s="27"/>
      <c r="D484" s="30"/>
      <c r="E484" s="27"/>
      <c r="F484" s="27"/>
      <c r="G484" s="28"/>
    </row>
    <row r="485" customFormat="false" ht="15" hidden="false" customHeight="false" outlineLevel="0" collapsed="false">
      <c r="A485" s="27"/>
      <c r="B485" s="28"/>
      <c r="C485" s="27"/>
      <c r="D485" s="30"/>
      <c r="E485" s="27"/>
      <c r="F485" s="27"/>
      <c r="G485" s="28"/>
    </row>
    <row r="486" customFormat="false" ht="15" hidden="false" customHeight="false" outlineLevel="0" collapsed="false">
      <c r="A486" s="27"/>
      <c r="B486" s="28"/>
      <c r="C486" s="27"/>
      <c r="D486" s="30"/>
      <c r="E486" s="27"/>
      <c r="F486" s="27"/>
      <c r="G486" s="28"/>
    </row>
    <row r="487" customFormat="false" ht="15" hidden="false" customHeight="false" outlineLevel="0" collapsed="false">
      <c r="A487" s="27"/>
      <c r="B487" s="28"/>
      <c r="C487" s="27"/>
      <c r="D487" s="30"/>
      <c r="E487" s="27"/>
      <c r="F487" s="27"/>
      <c r="G487" s="28"/>
    </row>
    <row r="488" customFormat="false" ht="15" hidden="false" customHeight="false" outlineLevel="0" collapsed="false">
      <c r="A488" s="27"/>
      <c r="B488" s="28"/>
      <c r="C488" s="27"/>
      <c r="D488" s="30"/>
      <c r="E488" s="27"/>
      <c r="F488" s="27"/>
      <c r="G488" s="28"/>
    </row>
    <row r="489" customFormat="false" ht="15" hidden="false" customHeight="false" outlineLevel="0" collapsed="false">
      <c r="A489" s="27"/>
      <c r="B489" s="28"/>
      <c r="C489" s="27"/>
      <c r="D489" s="30"/>
      <c r="E489" s="27"/>
      <c r="F489" s="27"/>
      <c r="G489" s="28"/>
    </row>
    <row r="490" customFormat="false" ht="15" hidden="false" customHeight="false" outlineLevel="0" collapsed="false">
      <c r="A490" s="27"/>
      <c r="B490" s="28"/>
      <c r="C490" s="27"/>
      <c r="D490" s="30"/>
      <c r="E490" s="27"/>
      <c r="F490" s="27"/>
      <c r="G490" s="28"/>
    </row>
    <row r="491" customFormat="false" ht="15" hidden="false" customHeight="false" outlineLevel="0" collapsed="false">
      <c r="A491" s="27"/>
      <c r="B491" s="28"/>
      <c r="C491" s="27"/>
      <c r="D491" s="30"/>
      <c r="E491" s="27"/>
      <c r="F491" s="27"/>
      <c r="G491" s="28"/>
    </row>
    <row r="492" customFormat="false" ht="15" hidden="false" customHeight="false" outlineLevel="0" collapsed="false">
      <c r="A492" s="27"/>
      <c r="B492" s="28"/>
      <c r="C492" s="27"/>
      <c r="D492" s="30"/>
      <c r="E492" s="27"/>
      <c r="F492" s="27"/>
      <c r="G492" s="28"/>
    </row>
    <row r="493" customFormat="false" ht="15" hidden="false" customHeight="false" outlineLevel="0" collapsed="false">
      <c r="A493" s="27"/>
      <c r="B493" s="28"/>
      <c r="C493" s="27"/>
      <c r="D493" s="30"/>
      <c r="E493" s="27"/>
      <c r="F493" s="27"/>
      <c r="G493" s="28"/>
    </row>
    <row r="494" customFormat="false" ht="15" hidden="false" customHeight="false" outlineLevel="0" collapsed="false">
      <c r="A494" s="27"/>
      <c r="B494" s="28"/>
      <c r="C494" s="27"/>
      <c r="D494" s="30"/>
      <c r="E494" s="27"/>
      <c r="F494" s="27"/>
      <c r="G494" s="28"/>
    </row>
    <row r="495" customFormat="false" ht="15" hidden="false" customHeight="false" outlineLevel="0" collapsed="false">
      <c r="A495" s="27"/>
      <c r="B495" s="28"/>
      <c r="C495" s="27"/>
      <c r="D495" s="30"/>
      <c r="E495" s="27"/>
      <c r="F495" s="27"/>
      <c r="G495" s="28"/>
    </row>
    <row r="496" customFormat="false" ht="15" hidden="false" customHeight="false" outlineLevel="0" collapsed="false">
      <c r="A496" s="27"/>
      <c r="B496" s="28"/>
      <c r="C496" s="27"/>
      <c r="D496" s="30"/>
      <c r="E496" s="27"/>
      <c r="F496" s="27"/>
      <c r="G496" s="28"/>
    </row>
    <row r="497" customFormat="false" ht="15" hidden="false" customHeight="false" outlineLevel="0" collapsed="false">
      <c r="A497" s="27"/>
      <c r="B497" s="28"/>
      <c r="C497" s="27"/>
      <c r="D497" s="30"/>
      <c r="E497" s="27"/>
      <c r="F497" s="27"/>
      <c r="G497" s="28"/>
    </row>
    <row r="498" customFormat="false" ht="15" hidden="false" customHeight="false" outlineLevel="0" collapsed="false">
      <c r="A498" s="27"/>
      <c r="B498" s="28"/>
      <c r="C498" s="27"/>
      <c r="D498" s="30"/>
      <c r="E498" s="27"/>
      <c r="F498" s="27"/>
      <c r="G498" s="28"/>
    </row>
    <row r="499" customFormat="false" ht="15" hidden="false" customHeight="false" outlineLevel="0" collapsed="false">
      <c r="A499" s="27"/>
      <c r="B499" s="28"/>
      <c r="C499" s="27"/>
      <c r="D499" s="30"/>
      <c r="E499" s="27"/>
      <c r="F499" s="27"/>
      <c r="G499" s="28"/>
    </row>
    <row r="500" customFormat="false" ht="15" hidden="false" customHeight="false" outlineLevel="0" collapsed="false">
      <c r="A500" s="27"/>
      <c r="B500" s="28"/>
      <c r="C500" s="27"/>
      <c r="D500" s="30"/>
      <c r="E500" s="27"/>
      <c r="F500" s="27"/>
      <c r="G500" s="28"/>
    </row>
    <row r="501" customFormat="false" ht="15" hidden="false" customHeight="false" outlineLevel="0" collapsed="false">
      <c r="A501" s="27"/>
      <c r="B501" s="28"/>
      <c r="C501" s="27"/>
      <c r="D501" s="30"/>
      <c r="E501" s="27"/>
      <c r="F501" s="27"/>
      <c r="G501" s="28"/>
    </row>
    <row r="502" customFormat="false" ht="15" hidden="false" customHeight="false" outlineLevel="0" collapsed="false">
      <c r="A502" s="27"/>
      <c r="B502" s="28"/>
      <c r="C502" s="27"/>
      <c r="D502" s="30"/>
      <c r="E502" s="27"/>
      <c r="F502" s="27"/>
      <c r="G502" s="28"/>
    </row>
  </sheetData>
  <mergeCells count="1">
    <mergeCell ref="A1:G1"/>
  </mergeCells>
  <dataValidations count="2">
    <dataValidation allowBlank="true" error="Choose a value from the list." errorStyle="stop" errorTitle="Not in the list" operator="between" showDropDown="false" showErrorMessage="false" showInputMessage="false" sqref="C3:C502" type="list">
      <formula1>R_Theme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F3:F502" type="list">
      <formula1>R_Company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A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8"/>
    <col collapsed="false" customWidth="true" hidden="false" outlineLevel="0" max="17" min="17" style="0" width="30"/>
    <col collapsed="false" customWidth="true" hidden="false" outlineLevel="0" max="18" min="18" style="0" width="22"/>
    <col collapsed="false" customWidth="true" hidden="false" outlineLevel="0" max="19" min="19" style="0" width="12"/>
    <col collapsed="false" customWidth="true" hidden="false" outlineLevel="0" max="20" min="20" style="0" width="30"/>
    <col collapsed="false" customWidth="true" hidden="false" outlineLevel="0" max="21" min="21" style="0" width="24"/>
    <col collapsed="false" customWidth="true" hidden="false" outlineLevel="0" max="22" min="22" style="0" width="9"/>
    <col collapsed="false" customWidth="true" hidden="false" outlineLevel="0" max="23" min="23" style="0" width="30"/>
    <col collapsed="false" customWidth="true" hidden="false" outlineLevel="0" max="24" min="24" style="0" width="12"/>
    <col collapsed="false" customWidth="true" hidden="false" outlineLevel="0" max="25" min="25" style="0" width="34"/>
    <col collapsed="false" customWidth="true" hidden="false" outlineLevel="0" max="26" min="26" style="0" width="9"/>
    <col collapsed="false" customWidth="true" hidden="false" outlineLevel="0" max="27" min="27" style="0" width="22"/>
    <col collapsed="false" customWidth="true" hidden="false" outlineLevel="0" max="30" min="28" style="0" width="8"/>
    <col collapsed="false" customWidth="true" hidden="false" outlineLevel="0" max="31" min="31" style="0" width="14"/>
    <col collapsed="false" customWidth="true" hidden="false" outlineLevel="0" max="32" min="32" style="0" width="12"/>
    <col collapsed="false" customWidth="true" hidden="false" outlineLevel="0" max="33" min="33" style="0" width="9"/>
    <col collapsed="false" customWidth="true" hidden="false" outlineLevel="0" max="34" min="34" style="0" width="30"/>
    <col collapsed="false" customWidth="true" hidden="false" outlineLevel="0" max="35" min="35" style="0" width="10"/>
  </cols>
  <sheetData>
    <row r="1" customFormat="false" ht="30" hidden="false" customHeight="true" outlineLevel="0" collapsed="false">
      <c r="A1" s="25" t="s">
        <v>160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1.5" hidden="false" customHeight="true" outlineLevel="0" collapsed="false">
      <c r="A2" s="26" t="s">
        <v>26</v>
      </c>
      <c r="B2" s="26" t="s">
        <v>161</v>
      </c>
      <c r="C2" s="26" t="s">
        <v>162</v>
      </c>
      <c r="D2" s="26" t="s">
        <v>163</v>
      </c>
      <c r="E2" s="26" t="s">
        <v>164</v>
      </c>
      <c r="F2" s="26" t="s">
        <v>29</v>
      </c>
      <c r="G2" s="26" t="s">
        <v>165</v>
      </c>
      <c r="H2" s="26" t="s">
        <v>166</v>
      </c>
      <c r="I2" s="26" t="s">
        <v>167</v>
      </c>
      <c r="J2" s="26" t="s">
        <v>168</v>
      </c>
      <c r="K2" s="26" t="s">
        <v>169</v>
      </c>
      <c r="L2" s="26" t="s">
        <v>170</v>
      </c>
      <c r="M2" s="26" t="s">
        <v>171</v>
      </c>
      <c r="N2" s="26" t="s">
        <v>172</v>
      </c>
      <c r="O2" s="26" t="s">
        <v>173</v>
      </c>
      <c r="P2" s="26" t="s">
        <v>174</v>
      </c>
      <c r="Q2" s="26" t="s">
        <v>175</v>
      </c>
      <c r="R2" s="26" t="s">
        <v>176</v>
      </c>
      <c r="S2" s="26" t="s">
        <v>177</v>
      </c>
      <c r="T2" s="26" t="s">
        <v>178</v>
      </c>
      <c r="U2" s="26" t="s">
        <v>179</v>
      </c>
      <c r="V2" s="26" t="s">
        <v>180</v>
      </c>
      <c r="W2" s="26" t="s">
        <v>181</v>
      </c>
      <c r="X2" s="26" t="s">
        <v>182</v>
      </c>
      <c r="Y2" s="26" t="s">
        <v>183</v>
      </c>
      <c r="Z2" s="26" t="s">
        <v>184</v>
      </c>
      <c r="AA2" s="26" t="s">
        <v>185</v>
      </c>
      <c r="AB2" s="31" t="s">
        <v>186</v>
      </c>
      <c r="AC2" s="31" t="s">
        <v>187</v>
      </c>
      <c r="AD2" s="31" t="s">
        <v>188</v>
      </c>
      <c r="AE2" s="31" t="s">
        <v>38</v>
      </c>
      <c r="AF2" s="31" t="s">
        <v>39</v>
      </c>
      <c r="AG2" s="31" t="s">
        <v>189</v>
      </c>
      <c r="AH2" s="31" t="s">
        <v>190</v>
      </c>
      <c r="AI2" s="31" t="s">
        <v>191</v>
      </c>
    </row>
    <row r="3" customFormat="false" ht="15" hidden="false" customHeight="false" outlineLevel="0" collapsed="false">
      <c r="A3" s="27" t="s">
        <v>159</v>
      </c>
      <c r="B3" s="27" t="s">
        <v>192</v>
      </c>
      <c r="C3" s="27"/>
      <c r="D3" s="27" t="s">
        <v>193</v>
      </c>
      <c r="E3" s="27" t="s">
        <v>194</v>
      </c>
      <c r="F3" s="27" t="s">
        <v>127</v>
      </c>
      <c r="G3" s="27" t="n">
        <v>2</v>
      </c>
      <c r="H3" s="27" t="s">
        <v>195</v>
      </c>
      <c r="I3" s="27" t="s">
        <v>196</v>
      </c>
      <c r="J3" s="27" t="n">
        <v>2</v>
      </c>
      <c r="K3" s="27" t="s">
        <v>197</v>
      </c>
      <c r="L3" s="27" t="s">
        <v>198</v>
      </c>
      <c r="M3" s="27" t="n">
        <v>2</v>
      </c>
      <c r="N3" s="27" t="s">
        <v>199</v>
      </c>
      <c r="O3" s="27" t="s">
        <v>200</v>
      </c>
      <c r="P3" s="27" t="n">
        <v>2</v>
      </c>
      <c r="Q3" s="27" t="s">
        <v>201</v>
      </c>
      <c r="R3" s="27" t="s">
        <v>202</v>
      </c>
      <c r="S3" s="28" t="n">
        <f aca="true">TODAY()-20</f>
        <v>46287</v>
      </c>
      <c r="T3" s="27"/>
      <c r="U3" s="27"/>
      <c r="V3" s="27" t="s">
        <v>132</v>
      </c>
      <c r="W3" s="27"/>
      <c r="X3" s="28"/>
      <c r="Y3" s="27"/>
      <c r="Z3" s="27" t="s">
        <v>132</v>
      </c>
      <c r="AA3" s="27"/>
      <c r="AB3" s="32" t="n">
        <f aca="false">IF($A3="","",IF(COUNTIF('Commercial Evidence'!$A$3:$A$502,$A3)=0,"",IF(COUNTIFS('Commercial Evidence'!$A$3:$A$502,$A3,'Commercial Evidence'!$B$3:$B$502,"Previous CBS Talks spend")+COUNTIFS('Commercial Evidence'!$A$3:$A$502,$A3,'Commercial Evidence'!$B$3:$B$502,"Sponsors student organisations")&gt;0,2,IF(COUNTIFS('Commercial Evidence'!$A$3:$A$502,$A3,'Commercial Evidence'!$B$3:$B$502,"Sponsors university activities")+COUNTIFS('Commercial Evidence'!$A$3:$A$502,$A3,'Commercial Evidence'!$B$3:$B$502,"Sponsors similar events")+COUNTIFS('Commercial Evidence'!$A$3:$A$502,$A3,'Commercial Evidence'!$B$3:$B$502,"Previous CBS Talks partner")&gt;0,1,0))))</f>
        <v>2</v>
      </c>
      <c r="AC3" s="32" t="n">
        <f aca="false">IF($A3="","",IF(COUNT(G3,J3,M3,P3,AB3)&lt;5,"",G3+J3+M3+P3+AB3))</f>
        <v>10</v>
      </c>
      <c r="AD3" s="32" t="n">
        <f aca="false">IF($A3="","",IF(COUNTIFS(Contacts!$A$3:$A$502,$A3,Contacts!$E$3:$E$502,"Champion",Contacts!$K$3:$K$502,"&lt;&gt;Yes",Contacts!$L$3:$L$502,"&lt;&gt;Yes")+COUNTIFS(Opportunities!$A$3:$A$502,$A3,Opportunities!$C$3:$C$502,"Won",Opportunities!$Q$3:$Q$502,"Satisfied")&gt;0,4,IF(COUNTIFS(Interactions!$B$3:$B$502,$A3,Interactions!$I$3:$I$502,"Yes",Interactions!$A$3:$A$502,"&gt;="&amp;(S_Today-S_WarmDays))&gt;0,3,IF(T3&lt;&gt;"",2,IF(COUNTIFS(Contacts!$A$3:$A$502,$A3,Contacts!$M$3:$M$502,"Yes",Contacts!$K$3:$K$502,"&lt;&gt;Yes",Contacts!$L$3:$L$502,"&lt;&gt;Yes")&gt;0,1,0)))))</f>
        <v>4</v>
      </c>
      <c r="AE3" s="32" t="str">
        <f aca="false">IF($A3="","",IF(Z3="Yes","Do not contact",IF(AC3="","Research",IF(AND(AC3&gt;=S_FitHigh,AD3&gt;=S_AccessHigh),"Priority",IF(AC3&gt;=S_FitHigh,"Build a Path",IF(AD3&gt;=S_AccessHigh,"Quick Win","Low Priority"))))))</f>
        <v>Priority</v>
      </c>
      <c r="AF3" s="33" t="n">
        <f aca="false">IF($A3="","",IF(_xlfn.MAXIFS(Interactions!$A$3:$A$502,Interactions!$B$3:$B$502,$A3)=0,"",_xlfn.MAXIFS(Interactions!$A$3:$A$502,Interactions!$B$3:$B$502,$A3)))</f>
        <v>46287</v>
      </c>
      <c r="AG3" s="32" t="n">
        <f aca="false">IF($A3="","",COUNTIFS(Opportunities!$A$3:$A$502,$A3,Opportunities!$X$3:$X$502,"Yes"))</f>
        <v>0</v>
      </c>
      <c r="AH3" s="32" t="str">
        <f aca="false">IF($A3="","",_xlfn.TEXTJOIN(", ",TRUE(),IF(COUNTIF($A$3:$A$502,$A3)&gt;1,"Duplicate name",""),IF(OR(AND(G3=2,I3=""),AND(J3=2,L3=""),AND(M3=2,O3=""),AND(P3=2,R3="")),"Source missing for a 2",""),IF(F3="","No owner",IF(COUNTIFS(R_TeamName,F3,R_TeamActive,"No")&gt;0,"Needs new owner","")),IF(AND(V3="Yes",X3&lt;&gt;"",X3&lt;S_SemStart),"Path overdue",""),IF(AND(S3&lt;&gt;"",S3&lt;S_Today-365),"Stale research",""),IF(AND(AE3="Research",COUNTIF('Commercial Evidence'!$A$3:$A$502,$A3)=0),"Add commercial evidence","")))</f>
        <v/>
      </c>
      <c r="AI3" s="34" t="str">
        <f aca="false">IF(OR($A3="",Z3="Yes"),"",IF(AND(AE3="Priority",AG3=0,COUNTIFS(Opportunities!$A$3:$A$502,$A3,Opportunities!$Y$3:$Y$502,"Renewal due")=0),600000+(10-AC3)*1000+(4-AD3)*100+ROW()/100000,IF(V3="Yes",700000+IF(X3="",0,X3-40000)/10+ROW()/100000,IF(AND(AE3="Quick Win",U3&lt;&gt;"",AG3=0),800000+(10-AC3)*1000+ROW()/100000,IF(AND(AE3="Build a Path",COUNTIF($V$3:$V$502,"Yes")&lt;S_PathCap),900000+(10-AC3)*1000+(4-AD3)*100+ROW()/100000,"")))))</f>
        <v/>
      </c>
    </row>
    <row r="4" customFormat="false" ht="15" hidden="false" customHeight="false" outlineLevel="0" collapsed="false">
      <c r="A4" s="27" t="s">
        <v>203</v>
      </c>
      <c r="B4" s="27" t="s">
        <v>204</v>
      </c>
      <c r="C4" s="27"/>
      <c r="D4" s="27" t="s">
        <v>205</v>
      </c>
      <c r="E4" s="27" t="s">
        <v>194</v>
      </c>
      <c r="F4" s="27" t="s">
        <v>129</v>
      </c>
      <c r="G4" s="27" t="n">
        <v>2</v>
      </c>
      <c r="H4" s="27" t="s">
        <v>206</v>
      </c>
      <c r="I4" s="27" t="s">
        <v>207</v>
      </c>
      <c r="J4" s="27" t="n">
        <v>1</v>
      </c>
      <c r="K4" s="27" t="s">
        <v>208</v>
      </c>
      <c r="L4" s="27"/>
      <c r="M4" s="27" t="n">
        <v>1</v>
      </c>
      <c r="N4" s="27" t="s">
        <v>209</v>
      </c>
      <c r="O4" s="27"/>
      <c r="P4" s="27" t="n">
        <v>1</v>
      </c>
      <c r="Q4" s="27" t="s">
        <v>210</v>
      </c>
      <c r="R4" s="27"/>
      <c r="S4" s="28" t="n">
        <f aca="true">TODAY()-30</f>
        <v>46277</v>
      </c>
      <c r="T4" s="27"/>
      <c r="U4" s="27"/>
      <c r="V4" s="27" t="s">
        <v>126</v>
      </c>
      <c r="W4" s="27" t="s">
        <v>211</v>
      </c>
      <c r="X4" s="28" t="n">
        <f aca="true">TODAY()-25</f>
        <v>46282</v>
      </c>
      <c r="Y4" s="27"/>
      <c r="Z4" s="27" t="s">
        <v>132</v>
      </c>
      <c r="AA4" s="27"/>
      <c r="AB4" s="32" t="n">
        <f aca="false">IF($A4="","",IF(COUNTIF('Commercial Evidence'!$A$3:$A$502,$A4)=0,"",IF(COUNTIFS('Commercial Evidence'!$A$3:$A$502,$A4,'Commercial Evidence'!$B$3:$B$502,"Previous CBS Talks spend")+COUNTIFS('Commercial Evidence'!$A$3:$A$502,$A4,'Commercial Evidence'!$B$3:$B$502,"Sponsors student organisations")&gt;0,2,IF(COUNTIFS('Commercial Evidence'!$A$3:$A$502,$A4,'Commercial Evidence'!$B$3:$B$502,"Sponsors university activities")+COUNTIFS('Commercial Evidence'!$A$3:$A$502,$A4,'Commercial Evidence'!$B$3:$B$502,"Sponsors similar events")+COUNTIFS('Commercial Evidence'!$A$3:$A$502,$A4,'Commercial Evidence'!$B$3:$B$502,"Previous CBS Talks partner")&gt;0,1,0))))</f>
        <v>2</v>
      </c>
      <c r="AC4" s="32" t="n">
        <f aca="false">IF($A4="","",IF(COUNT(G4,J4,M4,P4,AB4)&lt;5,"",G4+J4+M4+P4+AB4))</f>
        <v>7</v>
      </c>
      <c r="AD4" s="32" t="n">
        <f aca="false">IF($A4="","",IF(COUNTIFS(Contacts!$A$3:$A$502,$A4,Contacts!$E$3:$E$502,"Champion",Contacts!$K$3:$K$502,"&lt;&gt;Yes",Contacts!$L$3:$L$502,"&lt;&gt;Yes")+COUNTIFS(Opportunities!$A$3:$A$502,$A4,Opportunities!$C$3:$C$502,"Won",Opportunities!$Q$3:$Q$502,"Satisfied")&gt;0,4,IF(COUNTIFS(Interactions!$B$3:$B$502,$A4,Interactions!$I$3:$I$502,"Yes",Interactions!$A$3:$A$502,"&gt;="&amp;(S_Today-S_WarmDays))&gt;0,3,IF(T4&lt;&gt;"",2,IF(COUNTIFS(Contacts!$A$3:$A$502,$A4,Contacts!$M$3:$M$502,"Yes",Contacts!$K$3:$K$502,"&lt;&gt;Yes",Contacts!$L$3:$L$502,"&lt;&gt;Yes")&gt;0,1,0)))))</f>
        <v>1</v>
      </c>
      <c r="AE4" s="32" t="str">
        <f aca="false">IF($A4="","",IF(Z4="Yes","Do not contact",IF(AC4="","Research",IF(AND(AC4&gt;=S_FitHigh,AD4&gt;=S_AccessHigh),"Priority",IF(AC4&gt;=S_FitHigh,"Build a Path",IF(AD4&gt;=S_AccessHigh,"Quick Win","Low Priority"))))))</f>
        <v>Build a Path</v>
      </c>
      <c r="AF4" s="33" t="n">
        <f aca="false">IF($A4="","",IF(_xlfn.MAXIFS(Interactions!$A$3:$A$502,Interactions!$B$3:$B$502,$A4)=0,"",_xlfn.MAXIFS(Interactions!$A$3:$A$502,Interactions!$B$3:$B$502,$A4)))</f>
        <v>46295</v>
      </c>
      <c r="AG4" s="32" t="n">
        <f aca="false">IF($A4="","",COUNTIFS(Opportunities!$A$3:$A$502,$A4,Opportunities!$X$3:$X$502,"Yes"))</f>
        <v>1</v>
      </c>
      <c r="AH4" s="32" t="str">
        <f aca="false">IF($A4="","",_xlfn.TEXTJOIN(", ",TRUE(),IF(COUNTIF($A$3:$A$502,$A4)&gt;1,"Duplicate name",""),IF(OR(AND(G4=2,I4=""),AND(J4=2,L4=""),AND(M4=2,O4=""),AND(P4=2,R4="")),"Source missing for a 2",""),IF(F4="","No owner",IF(COUNTIFS(R_TeamName,F4,R_TeamActive,"No")&gt;0,"Needs new owner","")),IF(AND(V4="Yes",X4&lt;&gt;"",X4&lt;S_SemStart),"Path overdue",""),IF(AND(S4&lt;&gt;"",S4&lt;S_Today-365),"Stale research",""),IF(AND(AE4="Research",COUNTIF('Commercial Evidence'!$A$3:$A$502,$A4)=0),"Add commercial evidence","")))</f>
        <v/>
      </c>
      <c r="AI4" s="34" t="n">
        <f aca="false">IF(OR($A4="",Z4="Yes"),"",IF(AND(AE4="Priority",AG4=0,COUNTIFS(Opportunities!$A$3:$A$502,$A4,Opportunities!$Y$3:$Y$502,"Renewal due")=0),600000+(10-AC4)*1000+(4-AD4)*100+ROW()/100000,IF(V4="Yes",700000+IF(X4="",0,X4-40000)/10+ROW()/100000,IF(AND(AE4="Quick Win",U4&lt;&gt;"",AG4=0),800000+(10-AC4)*1000+ROW()/100000,IF(AND(AE4="Build a Path",COUNTIF($V$3:$V$502,"Yes")&lt;S_PathCap),900000+(10-AC4)*1000+(4-AD4)*100+ROW()/100000,"")))))</f>
        <v>700628.20004</v>
      </c>
    </row>
    <row r="5" customFormat="false" ht="15" hidden="false" customHeight="false" outlineLevel="0" collapsed="false">
      <c r="A5" s="27" t="s">
        <v>212</v>
      </c>
      <c r="B5" s="27" t="s">
        <v>213</v>
      </c>
      <c r="C5" s="27"/>
      <c r="D5" s="27" t="s">
        <v>214</v>
      </c>
      <c r="E5" s="27" t="s">
        <v>215</v>
      </c>
      <c r="F5" s="27" t="s">
        <v>124</v>
      </c>
      <c r="G5" s="27" t="n">
        <v>1</v>
      </c>
      <c r="H5" s="27" t="s">
        <v>216</v>
      </c>
      <c r="I5" s="27"/>
      <c r="J5" s="27" t="n">
        <v>1</v>
      </c>
      <c r="K5" s="27" t="s">
        <v>217</v>
      </c>
      <c r="L5" s="27"/>
      <c r="M5" s="27" t="n">
        <v>2</v>
      </c>
      <c r="N5" s="27" t="s">
        <v>218</v>
      </c>
      <c r="O5" s="27" t="s">
        <v>219</v>
      </c>
      <c r="P5" s="27" t="n">
        <v>2</v>
      </c>
      <c r="Q5" s="27" t="s">
        <v>220</v>
      </c>
      <c r="R5" s="27" t="s">
        <v>200</v>
      </c>
      <c r="S5" s="28" t="n">
        <f aca="true">TODAY()-15</f>
        <v>46292</v>
      </c>
      <c r="T5" s="27" t="s">
        <v>221</v>
      </c>
      <c r="U5" s="27"/>
      <c r="V5" s="27" t="s">
        <v>132</v>
      </c>
      <c r="W5" s="27"/>
      <c r="X5" s="28"/>
      <c r="Y5" s="27"/>
      <c r="Z5" s="27" t="s">
        <v>132</v>
      </c>
      <c r="AA5" s="27"/>
      <c r="AB5" s="32" t="n">
        <f aca="false">IF($A5="","",IF(COUNTIF('Commercial Evidence'!$A$3:$A$502,$A5)=0,"",IF(COUNTIFS('Commercial Evidence'!$A$3:$A$502,$A5,'Commercial Evidence'!$B$3:$B$502,"Previous CBS Talks spend")+COUNTIFS('Commercial Evidence'!$A$3:$A$502,$A5,'Commercial Evidence'!$B$3:$B$502,"Sponsors student organisations")&gt;0,2,IF(COUNTIFS('Commercial Evidence'!$A$3:$A$502,$A5,'Commercial Evidence'!$B$3:$B$502,"Sponsors university activities")+COUNTIFS('Commercial Evidence'!$A$3:$A$502,$A5,'Commercial Evidence'!$B$3:$B$502,"Sponsors similar events")+COUNTIFS('Commercial Evidence'!$A$3:$A$502,$A5,'Commercial Evidence'!$B$3:$B$502,"Previous CBS Talks partner")&gt;0,1,0))))</f>
        <v>0</v>
      </c>
      <c r="AC5" s="32" t="n">
        <f aca="false">IF($A5="","",IF(COUNT(G5,J5,M5,P5,AB5)&lt;5,"",G5+J5+M5+P5+AB5))</f>
        <v>6</v>
      </c>
      <c r="AD5" s="32" t="n">
        <f aca="false">IF($A5="","",IF(COUNTIFS(Contacts!$A$3:$A$502,$A5,Contacts!$E$3:$E$502,"Champion",Contacts!$K$3:$K$502,"&lt;&gt;Yes",Contacts!$L$3:$L$502,"&lt;&gt;Yes")+COUNTIFS(Opportunities!$A$3:$A$502,$A5,Opportunities!$C$3:$C$502,"Won",Opportunities!$Q$3:$Q$502,"Satisfied")&gt;0,4,IF(COUNTIFS(Interactions!$B$3:$B$502,$A5,Interactions!$I$3:$I$502,"Yes",Interactions!$A$3:$A$502,"&gt;="&amp;(S_Today-S_WarmDays))&gt;0,3,IF(T5&lt;&gt;"",2,IF(COUNTIFS(Contacts!$A$3:$A$502,$A5,Contacts!$M$3:$M$502,"Yes",Contacts!$K$3:$K$502,"&lt;&gt;Yes",Contacts!$L$3:$L$502,"&lt;&gt;Yes")&gt;0,1,0)))))</f>
        <v>2</v>
      </c>
      <c r="AE5" s="32" t="str">
        <f aca="false">IF($A5="","",IF(Z5="Yes","Do not contact",IF(AC5="","Research",IF(AND(AC5&gt;=S_FitHigh,AD5&gt;=S_AccessHigh),"Priority",IF(AC5&gt;=S_FitHigh,"Build a Path",IF(AD5&gt;=S_AccessHigh,"Quick Win","Low Priority"))))))</f>
        <v>Priority</v>
      </c>
      <c r="AF5" s="33" t="str">
        <f aca="false">IF($A5="","",IF(_xlfn.MAXIFS(Interactions!$A$3:$A$502,Interactions!$B$3:$B$502,$A5)=0,"",_xlfn.MAXIFS(Interactions!$A$3:$A$502,Interactions!$B$3:$B$502,$A5)))</f>
        <v/>
      </c>
      <c r="AG5" s="32" t="n">
        <f aca="false">IF($A5="","",COUNTIFS(Opportunities!$A$3:$A$502,$A5,Opportunities!$X$3:$X$502,"Yes"))</f>
        <v>0</v>
      </c>
      <c r="AH5" s="32" t="str">
        <f aca="false">IF($A5="","",_xlfn.TEXTJOIN(", ",TRUE(),IF(COUNTIF($A$3:$A$502,$A5)&gt;1,"Duplicate name",""),IF(OR(AND(G5=2,I5=""),AND(J5=2,L5=""),AND(M5=2,O5=""),AND(P5=2,R5="")),"Source missing for a 2",""),IF(F5="","No owner",IF(COUNTIFS(R_TeamName,F5,R_TeamActive,"No")&gt;0,"Needs new owner","")),IF(AND(V5="Yes",X5&lt;&gt;"",X5&lt;S_SemStart),"Path overdue",""),IF(AND(S5&lt;&gt;"",S5&lt;S_Today-365),"Stale research",""),IF(AND(AE5="Research",COUNTIF('Commercial Evidence'!$A$3:$A$502,$A5)=0),"Add commercial evidence","")))</f>
        <v/>
      </c>
      <c r="AI5" s="34" t="n">
        <f aca="false">IF(OR($A5="",Z5="Yes"),"",IF(AND(AE5="Priority",AG5=0,COUNTIFS(Opportunities!$A$3:$A$502,$A5,Opportunities!$Y$3:$Y$502,"Renewal due")=0),600000+(10-AC5)*1000+(4-AD5)*100+ROW()/100000,IF(V5="Yes",700000+IF(X5="",0,X5-40000)/10+ROW()/100000,IF(AND(AE5="Quick Win",U5&lt;&gt;"",AG5=0),800000+(10-AC5)*1000+ROW()/100000,IF(AND(AE5="Build a Path",COUNTIF($V$3:$V$502,"Yes")&lt;S_PathCap),900000+(10-AC5)*1000+(4-AD5)*100+ROW()/100000,"")))))</f>
        <v>604200.00005</v>
      </c>
    </row>
    <row r="6" customFormat="false" ht="15" hidden="false" customHeight="false" outlineLevel="0" collapsed="false">
      <c r="A6" s="27" t="s">
        <v>222</v>
      </c>
      <c r="B6" s="27" t="s">
        <v>223</v>
      </c>
      <c r="C6" s="27"/>
      <c r="D6" s="27" t="s">
        <v>224</v>
      </c>
      <c r="E6" s="27" t="s">
        <v>225</v>
      </c>
      <c r="F6" s="27" t="s">
        <v>124</v>
      </c>
      <c r="G6" s="27" t="n">
        <v>1</v>
      </c>
      <c r="H6" s="27" t="s">
        <v>226</v>
      </c>
      <c r="I6" s="27"/>
      <c r="J6" s="27" t="n">
        <v>2</v>
      </c>
      <c r="K6" s="27" t="s">
        <v>227</v>
      </c>
      <c r="L6" s="27" t="s">
        <v>228</v>
      </c>
      <c r="M6" s="27" t="n">
        <v>1</v>
      </c>
      <c r="N6" s="27" t="s">
        <v>229</v>
      </c>
      <c r="O6" s="27"/>
      <c r="P6" s="27" t="n">
        <v>1</v>
      </c>
      <c r="Q6" s="27" t="s">
        <v>210</v>
      </c>
      <c r="R6" s="27"/>
      <c r="S6" s="28" t="n">
        <f aca="true">TODAY()-10</f>
        <v>46297</v>
      </c>
      <c r="T6" s="27"/>
      <c r="U6" s="27" t="s">
        <v>230</v>
      </c>
      <c r="V6" s="27" t="s">
        <v>132</v>
      </c>
      <c r="W6" s="27"/>
      <c r="X6" s="28"/>
      <c r="Y6" s="27"/>
      <c r="Z6" s="27" t="s">
        <v>132</v>
      </c>
      <c r="AA6" s="27"/>
      <c r="AB6" s="32" t="n">
        <f aca="false">IF($A6="","",IF(COUNTIF('Commercial Evidence'!$A$3:$A$502,$A6)=0,"",IF(COUNTIFS('Commercial Evidence'!$A$3:$A$502,$A6,'Commercial Evidence'!$B$3:$B$502,"Previous CBS Talks spend")+COUNTIFS('Commercial Evidence'!$A$3:$A$502,$A6,'Commercial Evidence'!$B$3:$B$502,"Sponsors student organisations")&gt;0,2,IF(COUNTIFS('Commercial Evidence'!$A$3:$A$502,$A6,'Commercial Evidence'!$B$3:$B$502,"Sponsors university activities")+COUNTIFS('Commercial Evidence'!$A$3:$A$502,$A6,'Commercial Evidence'!$B$3:$B$502,"Sponsors similar events")+COUNTIFS('Commercial Evidence'!$A$3:$A$502,$A6,'Commercial Evidence'!$B$3:$B$502,"Previous CBS Talks partner")&gt;0,1,0))))</f>
        <v>0</v>
      </c>
      <c r="AC6" s="32" t="n">
        <f aca="false">IF($A6="","",IF(COUNT(G6,J6,M6,P6,AB6)&lt;5,"",G6+J6+M6+P6+AB6))</f>
        <v>5</v>
      </c>
      <c r="AD6" s="32" t="n">
        <f aca="false">IF($A6="","",IF(COUNTIFS(Contacts!$A$3:$A$502,$A6,Contacts!$E$3:$E$502,"Champion",Contacts!$K$3:$K$502,"&lt;&gt;Yes",Contacts!$L$3:$L$502,"&lt;&gt;Yes")+COUNTIFS(Opportunities!$A$3:$A$502,$A6,Opportunities!$C$3:$C$502,"Won",Opportunities!$Q$3:$Q$502,"Satisfied")&gt;0,4,IF(COUNTIFS(Interactions!$B$3:$B$502,$A6,Interactions!$I$3:$I$502,"Yes",Interactions!$A$3:$A$502,"&gt;="&amp;(S_Today-S_WarmDays))&gt;0,3,IF(T6&lt;&gt;"",2,IF(COUNTIFS(Contacts!$A$3:$A$502,$A6,Contacts!$M$3:$M$502,"Yes",Contacts!$K$3:$K$502,"&lt;&gt;Yes",Contacts!$L$3:$L$502,"&lt;&gt;Yes")&gt;0,1,0)))))</f>
        <v>4</v>
      </c>
      <c r="AE6" s="32" t="str">
        <f aca="false">IF($A6="","",IF(Z6="Yes","Do not contact",IF(AC6="","Research",IF(AND(AC6&gt;=S_FitHigh,AD6&gt;=S_AccessHigh),"Priority",IF(AC6&gt;=S_FitHigh,"Build a Path",IF(AD6&gt;=S_AccessHigh,"Quick Win","Low Priority"))))))</f>
        <v>Quick Win</v>
      </c>
      <c r="AF6" s="33" t="n">
        <f aca="false">IF($A6="","",IF(_xlfn.MAXIFS(Interactions!$A$3:$A$502,Interactions!$B$3:$B$502,$A6)=0,"",_xlfn.MAXIFS(Interactions!$A$3:$A$502,Interactions!$B$3:$B$502,$A6)))</f>
        <v>46301</v>
      </c>
      <c r="AG6" s="32" t="n">
        <f aca="false">IF($A6="","",COUNTIFS(Opportunities!$A$3:$A$502,$A6,Opportunities!$X$3:$X$502,"Yes"))</f>
        <v>1</v>
      </c>
      <c r="AH6" s="32" t="str">
        <f aca="false">IF($A6="","",_xlfn.TEXTJOIN(", ",TRUE(),IF(COUNTIF($A$3:$A$502,$A6)&gt;1,"Duplicate name",""),IF(OR(AND(G6=2,I6=""),AND(J6=2,L6=""),AND(M6=2,O6=""),AND(P6=2,R6="")),"Source missing for a 2",""),IF(F6="","No owner",IF(COUNTIFS(R_TeamName,F6,R_TeamActive,"No")&gt;0,"Needs new owner","")),IF(AND(V6="Yes",X6&lt;&gt;"",X6&lt;S_SemStart),"Path overdue",""),IF(AND(S6&lt;&gt;"",S6&lt;S_Today-365),"Stale research",""),IF(AND(AE6="Research",COUNTIF('Commercial Evidence'!$A$3:$A$502,$A6)=0),"Add commercial evidence","")))</f>
        <v/>
      </c>
      <c r="AI6" s="34" t="str">
        <f aca="false">IF(OR($A6="",Z6="Yes"),"",IF(AND(AE6="Priority",AG6=0,COUNTIFS(Opportunities!$A$3:$A$502,$A6,Opportunities!$Y$3:$Y$502,"Renewal due")=0),600000+(10-AC6)*1000+(4-AD6)*100+ROW()/100000,IF(V6="Yes",700000+IF(X6="",0,X6-40000)/10+ROW()/100000,IF(AND(AE6="Quick Win",U6&lt;&gt;"",AG6=0),800000+(10-AC6)*1000+ROW()/100000,IF(AND(AE6="Build a Path",COUNTIF($V$3:$V$502,"Yes")&lt;S_PathCap),900000+(10-AC6)*1000+(4-AD6)*100+ROW()/100000,"")))))</f>
        <v/>
      </c>
    </row>
    <row r="7" customFormat="false" ht="15" hidden="false" customHeight="false" outlineLevel="0" collapsed="false">
      <c r="A7" s="27" t="s">
        <v>231</v>
      </c>
      <c r="B7" s="27" t="s">
        <v>232</v>
      </c>
      <c r="C7" s="27"/>
      <c r="D7" s="27" t="s">
        <v>233</v>
      </c>
      <c r="E7" s="27" t="s">
        <v>234</v>
      </c>
      <c r="F7" s="27" t="s">
        <v>130</v>
      </c>
      <c r="G7" s="27" t="n">
        <v>0</v>
      </c>
      <c r="H7" s="27" t="s">
        <v>235</v>
      </c>
      <c r="I7" s="27"/>
      <c r="J7" s="27" t="n">
        <v>0</v>
      </c>
      <c r="K7" s="27" t="s">
        <v>236</v>
      </c>
      <c r="L7" s="27"/>
      <c r="M7" s="27" t="n">
        <v>1</v>
      </c>
      <c r="N7" s="27" t="s">
        <v>237</v>
      </c>
      <c r="O7" s="27"/>
      <c r="P7" s="27" t="n">
        <v>1</v>
      </c>
      <c r="Q7" s="27" t="s">
        <v>238</v>
      </c>
      <c r="R7" s="27"/>
      <c r="S7" s="28" t="n">
        <f aca="true">TODAY()-12</f>
        <v>46295</v>
      </c>
      <c r="T7" s="27"/>
      <c r="U7" s="27" t="s">
        <v>239</v>
      </c>
      <c r="V7" s="27" t="s">
        <v>132</v>
      </c>
      <c r="W7" s="27"/>
      <c r="X7" s="28"/>
      <c r="Y7" s="27"/>
      <c r="Z7" s="27" t="s">
        <v>132</v>
      </c>
      <c r="AA7" s="27"/>
      <c r="AB7" s="32" t="n">
        <f aca="false">IF($A7="","",IF(COUNTIF('Commercial Evidence'!$A$3:$A$502,$A7)=0,"",IF(COUNTIFS('Commercial Evidence'!$A$3:$A$502,$A7,'Commercial Evidence'!$B$3:$B$502,"Previous CBS Talks spend")+COUNTIFS('Commercial Evidence'!$A$3:$A$502,$A7,'Commercial Evidence'!$B$3:$B$502,"Sponsors student organisations")&gt;0,2,IF(COUNTIFS('Commercial Evidence'!$A$3:$A$502,$A7,'Commercial Evidence'!$B$3:$B$502,"Sponsors university activities")+COUNTIFS('Commercial Evidence'!$A$3:$A$502,$A7,'Commercial Evidence'!$B$3:$B$502,"Sponsors similar events")+COUNTIFS('Commercial Evidence'!$A$3:$A$502,$A7,'Commercial Evidence'!$B$3:$B$502,"Previous CBS Talks partner")&gt;0,1,0))))</f>
        <v>1</v>
      </c>
      <c r="AC7" s="32" t="n">
        <f aca="false">IF($A7="","",IF(COUNT(G7,J7,M7,P7,AB7)&lt;5,"",G7+J7+M7+P7+AB7))</f>
        <v>3</v>
      </c>
      <c r="AD7" s="32" t="n">
        <f aca="false">IF($A7="","",IF(COUNTIFS(Contacts!$A$3:$A$502,$A7,Contacts!$E$3:$E$502,"Champion",Contacts!$K$3:$K$502,"&lt;&gt;Yes",Contacts!$L$3:$L$502,"&lt;&gt;Yes")+COUNTIFS(Opportunities!$A$3:$A$502,$A7,Opportunities!$C$3:$C$502,"Won",Opportunities!$Q$3:$Q$502,"Satisfied")&gt;0,4,IF(COUNTIFS(Interactions!$B$3:$B$502,$A7,Interactions!$I$3:$I$502,"Yes",Interactions!$A$3:$A$502,"&gt;="&amp;(S_Today-S_WarmDays))&gt;0,3,IF(T7&lt;&gt;"",2,IF(COUNTIFS(Contacts!$A$3:$A$502,$A7,Contacts!$M$3:$M$502,"Yes",Contacts!$K$3:$K$502,"&lt;&gt;Yes",Contacts!$L$3:$L$502,"&lt;&gt;Yes")&gt;0,1,0)))))</f>
        <v>3</v>
      </c>
      <c r="AE7" s="32" t="str">
        <f aca="false">IF($A7="","",IF(Z7="Yes","Do not contact",IF(AC7="","Research",IF(AND(AC7&gt;=S_FitHigh,AD7&gt;=S_AccessHigh),"Priority",IF(AC7&gt;=S_FitHigh,"Build a Path",IF(AD7&gt;=S_AccessHigh,"Quick Win","Low Priority"))))))</f>
        <v>Quick Win</v>
      </c>
      <c r="AF7" s="33" t="n">
        <f aca="false">IF($A7="","",IF(_xlfn.MAXIFS(Interactions!$A$3:$A$502,Interactions!$B$3:$B$502,$A7)=0,"",_xlfn.MAXIFS(Interactions!$A$3:$A$502,Interactions!$B$3:$B$502,$A7)))</f>
        <v>46298</v>
      </c>
      <c r="AG7" s="32" t="n">
        <f aca="false">IF($A7="","",COUNTIFS(Opportunities!$A$3:$A$502,$A7,Opportunities!$X$3:$X$502,"Yes"))</f>
        <v>1</v>
      </c>
      <c r="AH7" s="32" t="str">
        <f aca="false">IF($A7="","",_xlfn.TEXTJOIN(", ",TRUE(),IF(COUNTIF($A$3:$A$502,$A7)&gt;1,"Duplicate name",""),IF(OR(AND(G7=2,I7=""),AND(J7=2,L7=""),AND(M7=2,O7=""),AND(P7=2,R7="")),"Source missing for a 2",""),IF(F7="","No owner",IF(COUNTIFS(R_TeamName,F7,R_TeamActive,"No")&gt;0,"Needs new owner","")),IF(AND(V7="Yes",X7&lt;&gt;"",X7&lt;S_SemStart),"Path overdue",""),IF(AND(S7&lt;&gt;"",S7&lt;S_Today-365),"Stale research",""),IF(AND(AE7="Research",COUNTIF('Commercial Evidence'!$A$3:$A$502,$A7)=0),"Add commercial evidence","")))</f>
        <v>Needs new owner</v>
      </c>
      <c r="AI7" s="34" t="str">
        <f aca="false">IF(OR($A7="",Z7="Yes"),"",IF(AND(AE7="Priority",AG7=0,COUNTIFS(Opportunities!$A$3:$A$502,$A7,Opportunities!$Y$3:$Y$502,"Renewal due")=0),600000+(10-AC7)*1000+(4-AD7)*100+ROW()/100000,IF(V7="Yes",700000+IF(X7="",0,X7-40000)/10+ROW()/100000,IF(AND(AE7="Quick Win",U7&lt;&gt;"",AG7=0),800000+(10-AC7)*1000+ROW()/100000,IF(AND(AE7="Build a Path",COUNTIF($V$3:$V$502,"Yes")&lt;S_PathCap),900000+(10-AC7)*1000+(4-AD7)*100+ROW()/100000,"")))))</f>
        <v/>
      </c>
    </row>
    <row r="8" customFormat="false" ht="15" hidden="false" customHeight="false" outlineLevel="0" collapsed="false">
      <c r="A8" s="27" t="s">
        <v>240</v>
      </c>
      <c r="B8" s="27" t="s">
        <v>241</v>
      </c>
      <c r="C8" s="27"/>
      <c r="D8" s="27" t="s">
        <v>242</v>
      </c>
      <c r="E8" s="27" t="s">
        <v>234</v>
      </c>
      <c r="F8" s="27" t="s">
        <v>129</v>
      </c>
      <c r="G8" s="27" t="n">
        <v>0</v>
      </c>
      <c r="H8" s="27" t="s">
        <v>243</v>
      </c>
      <c r="I8" s="27"/>
      <c r="J8" s="27" t="n">
        <v>0</v>
      </c>
      <c r="K8" s="27" t="s">
        <v>236</v>
      </c>
      <c r="L8" s="27"/>
      <c r="M8" s="27" t="n">
        <v>0</v>
      </c>
      <c r="N8" s="27" t="s">
        <v>244</v>
      </c>
      <c r="O8" s="27"/>
      <c r="P8" s="27" t="n">
        <v>0</v>
      </c>
      <c r="Q8" s="27" t="s">
        <v>245</v>
      </c>
      <c r="R8" s="27"/>
      <c r="S8" s="28" t="n">
        <f aca="true">TODAY()-50</f>
        <v>46257</v>
      </c>
      <c r="T8" s="27"/>
      <c r="U8" s="27"/>
      <c r="V8" s="27" t="s">
        <v>132</v>
      </c>
      <c r="W8" s="27"/>
      <c r="X8" s="28"/>
      <c r="Y8" s="27"/>
      <c r="Z8" s="27" t="s">
        <v>132</v>
      </c>
      <c r="AA8" s="27"/>
      <c r="AB8" s="32" t="n">
        <f aca="false">IF($A8="","",IF(COUNTIF('Commercial Evidence'!$A$3:$A$502,$A8)=0,"",IF(COUNTIFS('Commercial Evidence'!$A$3:$A$502,$A8,'Commercial Evidence'!$B$3:$B$502,"Previous CBS Talks spend")+COUNTIFS('Commercial Evidence'!$A$3:$A$502,$A8,'Commercial Evidence'!$B$3:$B$502,"Sponsors student organisations")&gt;0,2,IF(COUNTIFS('Commercial Evidence'!$A$3:$A$502,$A8,'Commercial Evidence'!$B$3:$B$502,"Sponsors university activities")+COUNTIFS('Commercial Evidence'!$A$3:$A$502,$A8,'Commercial Evidence'!$B$3:$B$502,"Sponsors similar events")+COUNTIFS('Commercial Evidence'!$A$3:$A$502,$A8,'Commercial Evidence'!$B$3:$B$502,"Previous CBS Talks partner")&gt;0,1,0))))</f>
        <v>0</v>
      </c>
      <c r="AC8" s="32" t="n">
        <f aca="false">IF($A8="","",IF(COUNT(G8,J8,M8,P8,AB8)&lt;5,"",G8+J8+M8+P8+AB8))</f>
        <v>0</v>
      </c>
      <c r="AD8" s="32" t="n">
        <f aca="false">IF($A8="","",IF(COUNTIFS(Contacts!$A$3:$A$502,$A8,Contacts!$E$3:$E$502,"Champion",Contacts!$K$3:$K$502,"&lt;&gt;Yes",Contacts!$L$3:$L$502,"&lt;&gt;Yes")+COUNTIFS(Opportunities!$A$3:$A$502,$A8,Opportunities!$C$3:$C$502,"Won",Opportunities!$Q$3:$Q$502,"Satisfied")&gt;0,4,IF(COUNTIFS(Interactions!$B$3:$B$502,$A8,Interactions!$I$3:$I$502,"Yes",Interactions!$A$3:$A$502,"&gt;="&amp;(S_Today-S_WarmDays))&gt;0,3,IF(T8&lt;&gt;"",2,IF(COUNTIFS(Contacts!$A$3:$A$502,$A8,Contacts!$M$3:$M$502,"Yes",Contacts!$K$3:$K$502,"&lt;&gt;Yes",Contacts!$L$3:$L$502,"&lt;&gt;Yes")&gt;0,1,0)))))</f>
        <v>0</v>
      </c>
      <c r="AE8" s="32" t="str">
        <f aca="false">IF($A8="","",IF(Z8="Yes","Do not contact",IF(AC8="","Research",IF(AND(AC8&gt;=S_FitHigh,AD8&gt;=S_AccessHigh),"Priority",IF(AC8&gt;=S_FitHigh,"Build a Path",IF(AD8&gt;=S_AccessHigh,"Quick Win","Low Priority"))))))</f>
        <v>Low Priority</v>
      </c>
      <c r="AF8" s="33" t="str">
        <f aca="false">IF($A8="","",IF(_xlfn.MAXIFS(Interactions!$A$3:$A$502,Interactions!$B$3:$B$502,$A8)=0,"",_xlfn.MAXIFS(Interactions!$A$3:$A$502,Interactions!$B$3:$B$502,$A8)))</f>
        <v/>
      </c>
      <c r="AG8" s="32" t="n">
        <f aca="false">IF($A8="","",COUNTIFS(Opportunities!$A$3:$A$502,$A8,Opportunities!$X$3:$X$502,"Yes"))</f>
        <v>0</v>
      </c>
      <c r="AH8" s="32" t="str">
        <f aca="false">IF($A8="","",_xlfn.TEXTJOIN(", ",TRUE(),IF(COUNTIF($A$3:$A$502,$A8)&gt;1,"Duplicate name",""),IF(OR(AND(G8=2,I8=""),AND(J8=2,L8=""),AND(M8=2,O8=""),AND(P8=2,R8="")),"Source missing for a 2",""),IF(F8="","No owner",IF(COUNTIFS(R_TeamName,F8,R_TeamActive,"No")&gt;0,"Needs new owner","")),IF(AND(V8="Yes",X8&lt;&gt;"",X8&lt;S_SemStart),"Path overdue",""),IF(AND(S8&lt;&gt;"",S8&lt;S_Today-365),"Stale research",""),IF(AND(AE8="Research",COUNTIF('Commercial Evidence'!$A$3:$A$502,$A8)=0),"Add commercial evidence","")))</f>
        <v/>
      </c>
      <c r="AI8" s="34" t="str">
        <f aca="false">IF(OR($A8="",Z8="Yes"),"",IF(AND(AE8="Priority",AG8=0,COUNTIFS(Opportunities!$A$3:$A$502,$A8,Opportunities!$Y$3:$Y$502,"Renewal due")=0),600000+(10-AC8)*1000+(4-AD8)*100+ROW()/100000,IF(V8="Yes",700000+IF(X8="",0,X8-40000)/10+ROW()/100000,IF(AND(AE8="Quick Win",U8&lt;&gt;"",AG8=0),800000+(10-AC8)*1000+ROW()/100000,IF(AND(AE8="Build a Path",COUNTIF($V$3:$V$502,"Yes")&lt;S_PathCap),900000+(10-AC8)*1000+(4-AD8)*100+ROW()/100000,"")))))</f>
        <v/>
      </c>
    </row>
    <row r="9" customFormat="false" ht="15" hidden="false" customHeight="false" outlineLevel="0" collapsed="false">
      <c r="A9" s="27" t="s">
        <v>246</v>
      </c>
      <c r="B9" s="27" t="s">
        <v>247</v>
      </c>
      <c r="C9" s="27"/>
      <c r="D9" s="27" t="s">
        <v>205</v>
      </c>
      <c r="E9" s="27" t="s">
        <v>215</v>
      </c>
      <c r="F9" s="27" t="s">
        <v>127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8"/>
      <c r="T9" s="27"/>
      <c r="U9" s="27"/>
      <c r="V9" s="27"/>
      <c r="W9" s="27"/>
      <c r="X9" s="28"/>
      <c r="Y9" s="27"/>
      <c r="Z9" s="27"/>
      <c r="AA9" s="27"/>
      <c r="AB9" s="32" t="str">
        <f aca="false">IF($A9="","",IF(COUNTIF('Commercial Evidence'!$A$3:$A$502,$A9)=0,"",IF(COUNTIFS('Commercial Evidence'!$A$3:$A$502,$A9,'Commercial Evidence'!$B$3:$B$502,"Previous CBS Talks spend")+COUNTIFS('Commercial Evidence'!$A$3:$A$502,$A9,'Commercial Evidence'!$B$3:$B$502,"Sponsors student organisations")&gt;0,2,IF(COUNTIFS('Commercial Evidence'!$A$3:$A$502,$A9,'Commercial Evidence'!$B$3:$B$502,"Sponsors university activities")+COUNTIFS('Commercial Evidence'!$A$3:$A$502,$A9,'Commercial Evidence'!$B$3:$B$502,"Sponsors similar events")+COUNTIFS('Commercial Evidence'!$A$3:$A$502,$A9,'Commercial Evidence'!$B$3:$B$502,"Previous CBS Talks partner")&gt;0,1,0))))</f>
        <v/>
      </c>
      <c r="AC9" s="32" t="str">
        <f aca="false">IF($A9="","",IF(COUNT(G9,J9,M9,P9,AB9)&lt;5,"",G9+J9+M9+P9+AB9))</f>
        <v/>
      </c>
      <c r="AD9" s="32" t="n">
        <f aca="false">IF($A9="","",IF(COUNTIFS(Contacts!$A$3:$A$502,$A9,Contacts!$E$3:$E$502,"Champion",Contacts!$K$3:$K$502,"&lt;&gt;Yes",Contacts!$L$3:$L$502,"&lt;&gt;Yes")+COUNTIFS(Opportunities!$A$3:$A$502,$A9,Opportunities!$C$3:$C$502,"Won",Opportunities!$Q$3:$Q$502,"Satisfied")&gt;0,4,IF(COUNTIFS(Interactions!$B$3:$B$502,$A9,Interactions!$I$3:$I$502,"Yes",Interactions!$A$3:$A$502,"&gt;="&amp;(S_Today-S_WarmDays))&gt;0,3,IF(T9&lt;&gt;"",2,IF(COUNTIFS(Contacts!$A$3:$A$502,$A9,Contacts!$M$3:$M$502,"Yes",Contacts!$K$3:$K$502,"&lt;&gt;Yes",Contacts!$L$3:$L$502,"&lt;&gt;Yes")&gt;0,1,0)))))</f>
        <v>0</v>
      </c>
      <c r="AE9" s="32" t="str">
        <f aca="false">IF($A9="","",IF(Z9="Yes","Do not contact",IF(AC9="","Research",IF(AND(AC9&gt;=S_FitHigh,AD9&gt;=S_AccessHigh),"Priority",IF(AC9&gt;=S_FitHigh,"Build a Path",IF(AD9&gt;=S_AccessHigh,"Quick Win","Low Priority"))))))</f>
        <v>Research</v>
      </c>
      <c r="AF9" s="33" t="str">
        <f aca="false">IF($A9="","",IF(_xlfn.MAXIFS(Interactions!$A$3:$A$502,Interactions!$B$3:$B$502,$A9)=0,"",_xlfn.MAXIFS(Interactions!$A$3:$A$502,Interactions!$B$3:$B$502,$A9)))</f>
        <v/>
      </c>
      <c r="AG9" s="32" t="n">
        <f aca="false">IF($A9="","",COUNTIFS(Opportunities!$A$3:$A$502,$A9,Opportunities!$X$3:$X$502,"Yes"))</f>
        <v>0</v>
      </c>
      <c r="AH9" s="32" t="str">
        <f aca="false">IF($A9="","",_xlfn.TEXTJOIN(", ",TRUE(),IF(COUNTIF($A$3:$A$502,$A9)&gt;1,"Duplicate name",""),IF(OR(AND(G9=2,I9=""),AND(J9=2,L9=""),AND(M9=2,O9=""),AND(P9=2,R9="")),"Source missing for a 2",""),IF(F9="","No owner",IF(COUNTIFS(R_TeamName,F9,R_TeamActive,"No")&gt;0,"Needs new owner","")),IF(AND(V9="Yes",X9&lt;&gt;"",X9&lt;S_SemStart),"Path overdue",""),IF(AND(S9&lt;&gt;"",S9&lt;S_Today-365),"Stale research",""),IF(AND(AE9="Research",COUNTIF('Commercial Evidence'!$A$3:$A$502,$A9)=0),"Add commercial evidence","")))</f>
        <v>Add commercial evidence</v>
      </c>
      <c r="AI9" s="34" t="str">
        <f aca="false">IF(OR($A9="",Z9="Yes"),"",IF(AND(AE9="Priority",AG9=0,COUNTIFS(Opportunities!$A$3:$A$502,$A9,Opportunities!$Y$3:$Y$502,"Renewal due")=0),600000+(10-AC9)*1000+(4-AD9)*100+ROW()/100000,IF(V9="Yes",700000+IF(X9="",0,X9-40000)/10+ROW()/100000,IF(AND(AE9="Quick Win",U9&lt;&gt;"",AG9=0),800000+(10-AC9)*1000+ROW()/100000,IF(AND(AE9="Build a Path",COUNTIF($V$3:$V$502,"Yes")&lt;S_PathCap),900000+(10-AC9)*1000+(4-AD9)*100+ROW()/100000,"")))))</f>
        <v/>
      </c>
    </row>
    <row r="10" customFormat="false" ht="15" hidden="false" customHeight="false" outlineLevel="0" collapsed="false">
      <c r="A10" s="27" t="s">
        <v>248</v>
      </c>
      <c r="B10" s="27" t="s">
        <v>249</v>
      </c>
      <c r="C10" s="27"/>
      <c r="D10" s="27" t="s">
        <v>250</v>
      </c>
      <c r="E10" s="27" t="s">
        <v>225</v>
      </c>
      <c r="F10" s="27" t="s">
        <v>129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  <c r="T10" s="27"/>
      <c r="U10" s="27"/>
      <c r="V10" s="27"/>
      <c r="W10" s="27"/>
      <c r="X10" s="28"/>
      <c r="Y10" s="27"/>
      <c r="Z10" s="27"/>
      <c r="AA10" s="27"/>
      <c r="AB10" s="32" t="str">
        <f aca="false">IF($A10="","",IF(COUNTIF('Commercial Evidence'!$A$3:$A$502,$A10)=0,"",IF(COUNTIFS('Commercial Evidence'!$A$3:$A$502,$A10,'Commercial Evidence'!$B$3:$B$502,"Previous CBS Talks spend")+COUNTIFS('Commercial Evidence'!$A$3:$A$502,$A10,'Commercial Evidence'!$B$3:$B$502,"Sponsors student organisations")&gt;0,2,IF(COUNTIFS('Commercial Evidence'!$A$3:$A$502,$A10,'Commercial Evidence'!$B$3:$B$502,"Sponsors university activities")+COUNTIFS('Commercial Evidence'!$A$3:$A$502,$A10,'Commercial Evidence'!$B$3:$B$502,"Sponsors similar events")+COUNTIFS('Commercial Evidence'!$A$3:$A$502,$A10,'Commercial Evidence'!$B$3:$B$502,"Previous CBS Talks partner")&gt;0,1,0))))</f>
        <v/>
      </c>
      <c r="AC10" s="32" t="str">
        <f aca="false">IF($A10="","",IF(COUNT(G10,J10,M10,P10,AB10)&lt;5,"",G10+J10+M10+P10+AB10))</f>
        <v/>
      </c>
      <c r="AD10" s="32" t="n">
        <f aca="false">IF($A10="","",IF(COUNTIFS(Contacts!$A$3:$A$502,$A10,Contacts!$E$3:$E$502,"Champion",Contacts!$K$3:$K$502,"&lt;&gt;Yes",Contacts!$L$3:$L$502,"&lt;&gt;Yes")+COUNTIFS(Opportunities!$A$3:$A$502,$A10,Opportunities!$C$3:$C$502,"Won",Opportunities!$Q$3:$Q$502,"Satisfied")&gt;0,4,IF(COUNTIFS(Interactions!$B$3:$B$502,$A10,Interactions!$I$3:$I$502,"Yes",Interactions!$A$3:$A$502,"&gt;="&amp;(S_Today-S_WarmDays))&gt;0,3,IF(T10&lt;&gt;"",2,IF(COUNTIFS(Contacts!$A$3:$A$502,$A10,Contacts!$M$3:$M$502,"Yes",Contacts!$K$3:$K$502,"&lt;&gt;Yes",Contacts!$L$3:$L$502,"&lt;&gt;Yes")&gt;0,1,0)))))</f>
        <v>0</v>
      </c>
      <c r="AE10" s="32" t="str">
        <f aca="false">IF($A10="","",IF(Z10="Yes","Do not contact",IF(AC10="","Research",IF(AND(AC10&gt;=S_FitHigh,AD10&gt;=S_AccessHigh),"Priority",IF(AC10&gt;=S_FitHigh,"Build a Path",IF(AD10&gt;=S_AccessHigh,"Quick Win","Low Priority"))))))</f>
        <v>Research</v>
      </c>
      <c r="AF10" s="33" t="str">
        <f aca="false">IF($A10="","",IF(_xlfn.MAXIFS(Interactions!$A$3:$A$502,Interactions!$B$3:$B$502,$A10)=0,"",_xlfn.MAXIFS(Interactions!$A$3:$A$502,Interactions!$B$3:$B$502,$A10)))</f>
        <v/>
      </c>
      <c r="AG10" s="32" t="n">
        <f aca="false">IF($A10="","",COUNTIFS(Opportunities!$A$3:$A$502,$A10,Opportunities!$X$3:$X$502,"Yes"))</f>
        <v>0</v>
      </c>
      <c r="AH10" s="32" t="str">
        <f aca="false">IF($A10="","",_xlfn.TEXTJOIN(", ",TRUE(),IF(COUNTIF($A$3:$A$502,$A10)&gt;1,"Duplicate name",""),IF(OR(AND(G10=2,I10=""),AND(J10=2,L10=""),AND(M10=2,O10=""),AND(P10=2,R10="")),"Source missing for a 2",""),IF(F10="","No owner",IF(COUNTIFS(R_TeamName,F10,R_TeamActive,"No")&gt;0,"Needs new owner","")),IF(AND(V10="Yes",X10&lt;&gt;"",X10&lt;S_SemStart),"Path overdue",""),IF(AND(S10&lt;&gt;"",S10&lt;S_Today-365),"Stale research",""),IF(AND(AE10="Research",COUNTIF('Commercial Evidence'!$A$3:$A$502,$A10)=0),"Add commercial evidence","")))</f>
        <v>Add commercial evidence</v>
      </c>
      <c r="AI10" s="34" t="str">
        <f aca="false">IF(OR($A10="",Z10="Yes"),"",IF(AND(AE10="Priority",AG10=0,COUNTIFS(Opportunities!$A$3:$A$502,$A10,Opportunities!$Y$3:$Y$502,"Renewal due")=0),600000+(10-AC10)*1000+(4-AD10)*100+ROW()/100000,IF(V10="Yes",700000+IF(X10="",0,X10-40000)/10+ROW()/100000,IF(AND(AE10="Quick Win",U10&lt;&gt;"",AG10=0),800000+(10-AC10)*1000+ROW()/100000,IF(AND(AE10="Build a Path",COUNTIF($V$3:$V$502,"Yes")&lt;S_PathCap),900000+(10-AC10)*1000+(4-AD10)*100+ROW()/100000,"")))))</f>
        <v/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8"/>
      <c r="T11" s="27"/>
      <c r="U11" s="27"/>
      <c r="V11" s="27"/>
      <c r="W11" s="27"/>
      <c r="X11" s="28"/>
      <c r="Y11" s="27"/>
      <c r="Z11" s="27"/>
      <c r="AA11" s="27"/>
      <c r="AB11" s="32" t="str">
        <f aca="false">IF($A11="","",IF(COUNTIF('Commercial Evidence'!$A$3:$A$502,$A11)=0,"",IF(COUNTIFS('Commercial Evidence'!$A$3:$A$502,$A11,'Commercial Evidence'!$B$3:$B$502,"Previous CBS Talks spend")+COUNTIFS('Commercial Evidence'!$A$3:$A$502,$A11,'Commercial Evidence'!$B$3:$B$502,"Sponsors student organisations")&gt;0,2,IF(COUNTIFS('Commercial Evidence'!$A$3:$A$502,$A11,'Commercial Evidence'!$B$3:$B$502,"Sponsors university activities")+COUNTIFS('Commercial Evidence'!$A$3:$A$502,$A11,'Commercial Evidence'!$B$3:$B$502,"Sponsors similar events")+COUNTIFS('Commercial Evidence'!$A$3:$A$502,$A11,'Commercial Evidence'!$B$3:$B$502,"Previous CBS Talks partner")&gt;0,1,0))))</f>
        <v/>
      </c>
      <c r="AC11" s="32" t="str">
        <f aca="false">IF($A11="","",IF(COUNT(G11,J11,M11,P11,AB11)&lt;5,"",G11+J11+M11+P11+AB11))</f>
        <v/>
      </c>
      <c r="AD11" s="32" t="str">
        <f aca="false">IF($A11="","",IF(COUNTIFS(Contacts!$A$3:$A$502,$A11,Contacts!$E$3:$E$502,"Champion",Contacts!$K$3:$K$502,"&lt;&gt;Yes",Contacts!$L$3:$L$502,"&lt;&gt;Yes")+COUNTIFS(Opportunities!$A$3:$A$502,$A11,Opportunities!$C$3:$C$502,"Won",Opportunities!$Q$3:$Q$502,"Satisfied")&gt;0,4,IF(COUNTIFS(Interactions!$B$3:$B$502,$A11,Interactions!$I$3:$I$502,"Yes",Interactions!$A$3:$A$502,"&gt;="&amp;(S_Today-S_WarmDays))&gt;0,3,IF(T11&lt;&gt;"",2,IF(COUNTIFS(Contacts!$A$3:$A$502,$A11,Contacts!$M$3:$M$502,"Yes",Contacts!$K$3:$K$502,"&lt;&gt;Yes",Contacts!$L$3:$L$502,"&lt;&gt;Yes")&gt;0,1,0)))))</f>
        <v/>
      </c>
      <c r="AE11" s="32" t="str">
        <f aca="false">IF($A11="","",IF(Z11="Yes","Do not contact",IF(AC11="","Research",IF(AND(AC11&gt;=S_FitHigh,AD11&gt;=S_AccessHigh),"Priority",IF(AC11&gt;=S_FitHigh,"Build a Path",IF(AD11&gt;=S_AccessHigh,"Quick Win","Low Priority"))))))</f>
        <v/>
      </c>
      <c r="AF11" s="33" t="str">
        <f aca="false">IF($A11="","",IF(_xlfn.MAXIFS(Interactions!$A$3:$A$502,Interactions!$B$3:$B$502,$A11)=0,"",_xlfn.MAXIFS(Interactions!$A$3:$A$502,Interactions!$B$3:$B$502,$A11)))</f>
        <v/>
      </c>
      <c r="AG11" s="32" t="str">
        <f aca="false">IF($A11="","",COUNTIFS(Opportunities!$A$3:$A$502,$A11,Opportunities!$X$3:$X$502,"Yes"))</f>
        <v/>
      </c>
      <c r="AH11" s="32" t="str">
        <f aca="false">IF($A11="","",_xlfn.TEXTJOIN(", ",TRUE(),IF(COUNTIF($A$3:$A$502,$A11)&gt;1,"Duplicate name",""),IF(OR(AND(G11=2,I11=""),AND(J11=2,L11=""),AND(M11=2,O11=""),AND(P11=2,R11="")),"Source missing for a 2",""),IF(F11="","No owner",IF(COUNTIFS(R_TeamName,F11,R_TeamActive,"No")&gt;0,"Needs new owner","")),IF(AND(V11="Yes",X11&lt;&gt;"",X11&lt;S_SemStart),"Path overdue",""),IF(AND(S11&lt;&gt;"",S11&lt;S_Today-365),"Stale research",""),IF(AND(AE11="Research",COUNTIF('Commercial Evidence'!$A$3:$A$502,$A11)=0),"Add commercial evidence","")))</f>
        <v/>
      </c>
      <c r="AI11" s="34" t="str">
        <f aca="false">IF(OR($A11="",Z11="Yes"),"",IF(AND(AE11="Priority",AG11=0,COUNTIFS(Opportunities!$A$3:$A$502,$A11,Opportunities!$Y$3:$Y$502,"Renewal due")=0),600000+(10-AC11)*1000+(4-AD11)*100+ROW()/100000,IF(V11="Yes",700000+IF(X11="",0,X11-40000)/10+ROW()/100000,IF(AND(AE11="Quick Win",U11&lt;&gt;"",AG11=0),800000+(10-AC11)*1000+ROW()/100000,IF(AND(AE11="Build a Path",COUNTIF($V$3:$V$502,"Yes")&lt;S_PathCap),900000+(10-AC11)*1000+(4-AD11)*100+ROW()/100000,"")))))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8"/>
      <c r="T12" s="27"/>
      <c r="U12" s="27"/>
      <c r="V12" s="27"/>
      <c r="W12" s="27"/>
      <c r="X12" s="28"/>
      <c r="Y12" s="27"/>
      <c r="Z12" s="27"/>
      <c r="AA12" s="27"/>
      <c r="AB12" s="32" t="str">
        <f aca="false">IF($A12="","",IF(COUNTIF('Commercial Evidence'!$A$3:$A$502,$A12)=0,"",IF(COUNTIFS('Commercial Evidence'!$A$3:$A$502,$A12,'Commercial Evidence'!$B$3:$B$502,"Previous CBS Talks spend")+COUNTIFS('Commercial Evidence'!$A$3:$A$502,$A12,'Commercial Evidence'!$B$3:$B$502,"Sponsors student organisations")&gt;0,2,IF(COUNTIFS('Commercial Evidence'!$A$3:$A$502,$A12,'Commercial Evidence'!$B$3:$B$502,"Sponsors university activities")+COUNTIFS('Commercial Evidence'!$A$3:$A$502,$A12,'Commercial Evidence'!$B$3:$B$502,"Sponsors similar events")+COUNTIFS('Commercial Evidence'!$A$3:$A$502,$A12,'Commercial Evidence'!$B$3:$B$502,"Previous CBS Talks partner")&gt;0,1,0))))</f>
        <v/>
      </c>
      <c r="AC12" s="32" t="str">
        <f aca="false">IF($A12="","",IF(COUNT(G12,J12,M12,P12,AB12)&lt;5,"",G12+J12+M12+P12+AB12))</f>
        <v/>
      </c>
      <c r="AD12" s="32" t="str">
        <f aca="false">IF($A12="","",IF(COUNTIFS(Contacts!$A$3:$A$502,$A12,Contacts!$E$3:$E$502,"Champion",Contacts!$K$3:$K$502,"&lt;&gt;Yes",Contacts!$L$3:$L$502,"&lt;&gt;Yes")+COUNTIFS(Opportunities!$A$3:$A$502,$A12,Opportunities!$C$3:$C$502,"Won",Opportunities!$Q$3:$Q$502,"Satisfied")&gt;0,4,IF(COUNTIFS(Interactions!$B$3:$B$502,$A12,Interactions!$I$3:$I$502,"Yes",Interactions!$A$3:$A$502,"&gt;="&amp;(S_Today-S_WarmDays))&gt;0,3,IF(T12&lt;&gt;"",2,IF(COUNTIFS(Contacts!$A$3:$A$502,$A12,Contacts!$M$3:$M$502,"Yes",Contacts!$K$3:$K$502,"&lt;&gt;Yes",Contacts!$L$3:$L$502,"&lt;&gt;Yes")&gt;0,1,0)))))</f>
        <v/>
      </c>
      <c r="AE12" s="32" t="str">
        <f aca="false">IF($A12="","",IF(Z12="Yes","Do not contact",IF(AC12="","Research",IF(AND(AC12&gt;=S_FitHigh,AD12&gt;=S_AccessHigh),"Priority",IF(AC12&gt;=S_FitHigh,"Build a Path",IF(AD12&gt;=S_AccessHigh,"Quick Win","Low Priority"))))))</f>
        <v/>
      </c>
      <c r="AF12" s="33" t="str">
        <f aca="false">IF($A12="","",IF(_xlfn.MAXIFS(Interactions!$A$3:$A$502,Interactions!$B$3:$B$502,$A12)=0,"",_xlfn.MAXIFS(Interactions!$A$3:$A$502,Interactions!$B$3:$B$502,$A12)))</f>
        <v/>
      </c>
      <c r="AG12" s="32" t="str">
        <f aca="false">IF($A12="","",COUNTIFS(Opportunities!$A$3:$A$502,$A12,Opportunities!$X$3:$X$502,"Yes"))</f>
        <v/>
      </c>
      <c r="AH12" s="32" t="str">
        <f aca="false">IF($A12="","",_xlfn.TEXTJOIN(", ",TRUE(),IF(COUNTIF($A$3:$A$502,$A12)&gt;1,"Duplicate name",""),IF(OR(AND(G12=2,I12=""),AND(J12=2,L12=""),AND(M12=2,O12=""),AND(P12=2,R12="")),"Source missing for a 2",""),IF(F12="","No owner",IF(COUNTIFS(R_TeamName,F12,R_TeamActive,"No")&gt;0,"Needs new owner","")),IF(AND(V12="Yes",X12&lt;&gt;"",X12&lt;S_SemStart),"Path overdue",""),IF(AND(S12&lt;&gt;"",S12&lt;S_Today-365),"Stale research",""),IF(AND(AE12="Research",COUNTIF('Commercial Evidence'!$A$3:$A$502,$A12)=0),"Add commercial evidence","")))</f>
        <v/>
      </c>
      <c r="AI12" s="34" t="str">
        <f aca="false">IF(OR($A12="",Z12="Yes"),"",IF(AND(AE12="Priority",AG12=0,COUNTIFS(Opportunities!$A$3:$A$502,$A12,Opportunities!$Y$3:$Y$502,"Renewal due")=0),600000+(10-AC12)*1000+(4-AD12)*100+ROW()/100000,IF(V12="Yes",700000+IF(X12="",0,X12-40000)/10+ROW()/100000,IF(AND(AE12="Quick Win",U12&lt;&gt;"",AG12=0),800000+(10-AC12)*1000+ROW()/100000,IF(AND(AE12="Build a Path",COUNTIF($V$3:$V$502,"Yes")&lt;S_PathCap),900000+(10-AC12)*1000+(4-AD12)*100+ROW()/100000,"")))))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8"/>
      <c r="T13" s="27"/>
      <c r="U13" s="27"/>
      <c r="V13" s="27"/>
      <c r="W13" s="27"/>
      <c r="X13" s="28"/>
      <c r="Y13" s="27"/>
      <c r="Z13" s="27"/>
      <c r="AA13" s="27"/>
      <c r="AB13" s="32" t="str">
        <f aca="false">IF($A13="","",IF(COUNTIF('Commercial Evidence'!$A$3:$A$502,$A13)=0,"",IF(COUNTIFS('Commercial Evidence'!$A$3:$A$502,$A13,'Commercial Evidence'!$B$3:$B$502,"Previous CBS Talks spend")+COUNTIFS('Commercial Evidence'!$A$3:$A$502,$A13,'Commercial Evidence'!$B$3:$B$502,"Sponsors student organisations")&gt;0,2,IF(COUNTIFS('Commercial Evidence'!$A$3:$A$502,$A13,'Commercial Evidence'!$B$3:$B$502,"Sponsors university activities")+COUNTIFS('Commercial Evidence'!$A$3:$A$502,$A13,'Commercial Evidence'!$B$3:$B$502,"Sponsors similar events")+COUNTIFS('Commercial Evidence'!$A$3:$A$502,$A13,'Commercial Evidence'!$B$3:$B$502,"Previous CBS Talks partner")&gt;0,1,0))))</f>
        <v/>
      </c>
      <c r="AC13" s="32" t="str">
        <f aca="false">IF($A13="","",IF(COUNT(G13,J13,M13,P13,AB13)&lt;5,"",G13+J13+M13+P13+AB13))</f>
        <v/>
      </c>
      <c r="AD13" s="32" t="str">
        <f aca="false">IF($A13="","",IF(COUNTIFS(Contacts!$A$3:$A$502,$A13,Contacts!$E$3:$E$502,"Champion",Contacts!$K$3:$K$502,"&lt;&gt;Yes",Contacts!$L$3:$L$502,"&lt;&gt;Yes")+COUNTIFS(Opportunities!$A$3:$A$502,$A13,Opportunities!$C$3:$C$502,"Won",Opportunities!$Q$3:$Q$502,"Satisfied")&gt;0,4,IF(COUNTIFS(Interactions!$B$3:$B$502,$A13,Interactions!$I$3:$I$502,"Yes",Interactions!$A$3:$A$502,"&gt;="&amp;(S_Today-S_WarmDays))&gt;0,3,IF(T13&lt;&gt;"",2,IF(COUNTIFS(Contacts!$A$3:$A$502,$A13,Contacts!$M$3:$M$502,"Yes",Contacts!$K$3:$K$502,"&lt;&gt;Yes",Contacts!$L$3:$L$502,"&lt;&gt;Yes")&gt;0,1,0)))))</f>
        <v/>
      </c>
      <c r="AE13" s="32" t="str">
        <f aca="false">IF($A13="","",IF(Z13="Yes","Do not contact",IF(AC13="","Research",IF(AND(AC13&gt;=S_FitHigh,AD13&gt;=S_AccessHigh),"Priority",IF(AC13&gt;=S_FitHigh,"Build a Path",IF(AD13&gt;=S_AccessHigh,"Quick Win","Low Priority"))))))</f>
        <v/>
      </c>
      <c r="AF13" s="33" t="str">
        <f aca="false">IF($A13="","",IF(_xlfn.MAXIFS(Interactions!$A$3:$A$502,Interactions!$B$3:$B$502,$A13)=0,"",_xlfn.MAXIFS(Interactions!$A$3:$A$502,Interactions!$B$3:$B$502,$A13)))</f>
        <v/>
      </c>
      <c r="AG13" s="32" t="str">
        <f aca="false">IF($A13="","",COUNTIFS(Opportunities!$A$3:$A$502,$A13,Opportunities!$X$3:$X$502,"Yes"))</f>
        <v/>
      </c>
      <c r="AH13" s="32" t="str">
        <f aca="false">IF($A13="","",_xlfn.TEXTJOIN(", ",TRUE(),IF(COUNTIF($A$3:$A$502,$A13)&gt;1,"Duplicate name",""),IF(OR(AND(G13=2,I13=""),AND(J13=2,L13=""),AND(M13=2,O13=""),AND(P13=2,R13="")),"Source missing for a 2",""),IF(F13="","No owner",IF(COUNTIFS(R_TeamName,F13,R_TeamActive,"No")&gt;0,"Needs new owner","")),IF(AND(V13="Yes",X13&lt;&gt;"",X13&lt;S_SemStart),"Path overdue",""),IF(AND(S13&lt;&gt;"",S13&lt;S_Today-365),"Stale research",""),IF(AND(AE13="Research",COUNTIF('Commercial Evidence'!$A$3:$A$502,$A13)=0),"Add commercial evidence","")))</f>
        <v/>
      </c>
      <c r="AI13" s="34" t="str">
        <f aca="false">IF(OR($A13="",Z13="Yes"),"",IF(AND(AE13="Priority",AG13=0,COUNTIFS(Opportunities!$A$3:$A$502,$A13,Opportunities!$Y$3:$Y$502,"Renewal due")=0),600000+(10-AC13)*1000+(4-AD13)*100+ROW()/100000,IF(V13="Yes",700000+IF(X13="",0,X13-40000)/10+ROW()/100000,IF(AND(AE13="Quick Win",U13&lt;&gt;"",AG13=0),800000+(10-AC13)*1000+ROW()/100000,IF(AND(AE13="Build a Path",COUNTIF($V$3:$V$502,"Yes")&lt;S_PathCap),900000+(10-AC13)*1000+(4-AD13)*100+ROW()/100000,"")))))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8"/>
      <c r="T14" s="27"/>
      <c r="U14" s="27"/>
      <c r="V14" s="27"/>
      <c r="W14" s="27"/>
      <c r="X14" s="28"/>
      <c r="Y14" s="27"/>
      <c r="Z14" s="27"/>
      <c r="AA14" s="27"/>
      <c r="AB14" s="32" t="str">
        <f aca="false">IF($A14="","",IF(COUNTIF('Commercial Evidence'!$A$3:$A$502,$A14)=0,"",IF(COUNTIFS('Commercial Evidence'!$A$3:$A$502,$A14,'Commercial Evidence'!$B$3:$B$502,"Previous CBS Talks spend")+COUNTIFS('Commercial Evidence'!$A$3:$A$502,$A14,'Commercial Evidence'!$B$3:$B$502,"Sponsors student organisations")&gt;0,2,IF(COUNTIFS('Commercial Evidence'!$A$3:$A$502,$A14,'Commercial Evidence'!$B$3:$B$502,"Sponsors university activities")+COUNTIFS('Commercial Evidence'!$A$3:$A$502,$A14,'Commercial Evidence'!$B$3:$B$502,"Sponsors similar events")+COUNTIFS('Commercial Evidence'!$A$3:$A$502,$A14,'Commercial Evidence'!$B$3:$B$502,"Previous CBS Talks partner")&gt;0,1,0))))</f>
        <v/>
      </c>
      <c r="AC14" s="32" t="str">
        <f aca="false">IF($A14="","",IF(COUNT(G14,J14,M14,P14,AB14)&lt;5,"",G14+J14+M14+P14+AB14))</f>
        <v/>
      </c>
      <c r="AD14" s="32" t="str">
        <f aca="false">IF($A14="","",IF(COUNTIFS(Contacts!$A$3:$A$502,$A14,Contacts!$E$3:$E$502,"Champion",Contacts!$K$3:$K$502,"&lt;&gt;Yes",Contacts!$L$3:$L$502,"&lt;&gt;Yes")+COUNTIFS(Opportunities!$A$3:$A$502,$A14,Opportunities!$C$3:$C$502,"Won",Opportunities!$Q$3:$Q$502,"Satisfied")&gt;0,4,IF(COUNTIFS(Interactions!$B$3:$B$502,$A14,Interactions!$I$3:$I$502,"Yes",Interactions!$A$3:$A$502,"&gt;="&amp;(S_Today-S_WarmDays))&gt;0,3,IF(T14&lt;&gt;"",2,IF(COUNTIFS(Contacts!$A$3:$A$502,$A14,Contacts!$M$3:$M$502,"Yes",Contacts!$K$3:$K$502,"&lt;&gt;Yes",Contacts!$L$3:$L$502,"&lt;&gt;Yes")&gt;0,1,0)))))</f>
        <v/>
      </c>
      <c r="AE14" s="32" t="str">
        <f aca="false">IF($A14="","",IF(Z14="Yes","Do not contact",IF(AC14="","Research",IF(AND(AC14&gt;=S_FitHigh,AD14&gt;=S_AccessHigh),"Priority",IF(AC14&gt;=S_FitHigh,"Build a Path",IF(AD14&gt;=S_AccessHigh,"Quick Win","Low Priority"))))))</f>
        <v/>
      </c>
      <c r="AF14" s="33" t="str">
        <f aca="false">IF($A14="","",IF(_xlfn.MAXIFS(Interactions!$A$3:$A$502,Interactions!$B$3:$B$502,$A14)=0,"",_xlfn.MAXIFS(Interactions!$A$3:$A$502,Interactions!$B$3:$B$502,$A14)))</f>
        <v/>
      </c>
      <c r="AG14" s="32" t="str">
        <f aca="false">IF($A14="","",COUNTIFS(Opportunities!$A$3:$A$502,$A14,Opportunities!$X$3:$X$502,"Yes"))</f>
        <v/>
      </c>
      <c r="AH14" s="32" t="str">
        <f aca="false">IF($A14="","",_xlfn.TEXTJOIN(", ",TRUE(),IF(COUNTIF($A$3:$A$502,$A14)&gt;1,"Duplicate name",""),IF(OR(AND(G14=2,I14=""),AND(J14=2,L14=""),AND(M14=2,O14=""),AND(P14=2,R14="")),"Source missing for a 2",""),IF(F14="","No owner",IF(COUNTIFS(R_TeamName,F14,R_TeamActive,"No")&gt;0,"Needs new owner","")),IF(AND(V14="Yes",X14&lt;&gt;"",X14&lt;S_SemStart),"Path overdue",""),IF(AND(S14&lt;&gt;"",S14&lt;S_Today-365),"Stale research",""),IF(AND(AE14="Research",COUNTIF('Commercial Evidence'!$A$3:$A$502,$A14)=0),"Add commercial evidence","")))</f>
        <v/>
      </c>
      <c r="AI14" s="34" t="str">
        <f aca="false">IF(OR($A14="",Z14="Yes"),"",IF(AND(AE14="Priority",AG14=0,COUNTIFS(Opportunities!$A$3:$A$502,$A14,Opportunities!$Y$3:$Y$502,"Renewal due")=0),600000+(10-AC14)*1000+(4-AD14)*100+ROW()/100000,IF(V14="Yes",700000+IF(X14="",0,X14-40000)/10+ROW()/100000,IF(AND(AE14="Quick Win",U14&lt;&gt;"",AG14=0),800000+(10-AC14)*1000+ROW()/100000,IF(AND(AE14="Build a Path",COUNTIF($V$3:$V$502,"Yes")&lt;S_PathCap),900000+(10-AC14)*1000+(4-AD14)*100+ROW()/100000,"")))))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8"/>
      <c r="T15" s="27"/>
      <c r="U15" s="27"/>
      <c r="V15" s="27"/>
      <c r="W15" s="27"/>
      <c r="X15" s="28"/>
      <c r="Y15" s="27"/>
      <c r="Z15" s="27"/>
      <c r="AA15" s="27"/>
      <c r="AB15" s="32" t="str">
        <f aca="false">IF($A15="","",IF(COUNTIF('Commercial Evidence'!$A$3:$A$502,$A15)=0,"",IF(COUNTIFS('Commercial Evidence'!$A$3:$A$502,$A15,'Commercial Evidence'!$B$3:$B$502,"Previous CBS Talks spend")+COUNTIFS('Commercial Evidence'!$A$3:$A$502,$A15,'Commercial Evidence'!$B$3:$B$502,"Sponsors student organisations")&gt;0,2,IF(COUNTIFS('Commercial Evidence'!$A$3:$A$502,$A15,'Commercial Evidence'!$B$3:$B$502,"Sponsors university activities")+COUNTIFS('Commercial Evidence'!$A$3:$A$502,$A15,'Commercial Evidence'!$B$3:$B$502,"Sponsors similar events")+COUNTIFS('Commercial Evidence'!$A$3:$A$502,$A15,'Commercial Evidence'!$B$3:$B$502,"Previous CBS Talks partner")&gt;0,1,0))))</f>
        <v/>
      </c>
      <c r="AC15" s="32" t="str">
        <f aca="false">IF($A15="","",IF(COUNT(G15,J15,M15,P15,AB15)&lt;5,"",G15+J15+M15+P15+AB15))</f>
        <v/>
      </c>
      <c r="AD15" s="32" t="str">
        <f aca="false">IF($A15="","",IF(COUNTIFS(Contacts!$A$3:$A$502,$A15,Contacts!$E$3:$E$502,"Champion",Contacts!$K$3:$K$502,"&lt;&gt;Yes",Contacts!$L$3:$L$502,"&lt;&gt;Yes")+COUNTIFS(Opportunities!$A$3:$A$502,$A15,Opportunities!$C$3:$C$502,"Won",Opportunities!$Q$3:$Q$502,"Satisfied")&gt;0,4,IF(COUNTIFS(Interactions!$B$3:$B$502,$A15,Interactions!$I$3:$I$502,"Yes",Interactions!$A$3:$A$502,"&gt;="&amp;(S_Today-S_WarmDays))&gt;0,3,IF(T15&lt;&gt;"",2,IF(COUNTIFS(Contacts!$A$3:$A$502,$A15,Contacts!$M$3:$M$502,"Yes",Contacts!$K$3:$K$502,"&lt;&gt;Yes",Contacts!$L$3:$L$502,"&lt;&gt;Yes")&gt;0,1,0)))))</f>
        <v/>
      </c>
      <c r="AE15" s="32" t="str">
        <f aca="false">IF($A15="","",IF(Z15="Yes","Do not contact",IF(AC15="","Research",IF(AND(AC15&gt;=S_FitHigh,AD15&gt;=S_AccessHigh),"Priority",IF(AC15&gt;=S_FitHigh,"Build a Path",IF(AD15&gt;=S_AccessHigh,"Quick Win","Low Priority"))))))</f>
        <v/>
      </c>
      <c r="AF15" s="33" t="str">
        <f aca="false">IF($A15="","",IF(_xlfn.MAXIFS(Interactions!$A$3:$A$502,Interactions!$B$3:$B$502,$A15)=0,"",_xlfn.MAXIFS(Interactions!$A$3:$A$502,Interactions!$B$3:$B$502,$A15)))</f>
        <v/>
      </c>
      <c r="AG15" s="32" t="str">
        <f aca="false">IF($A15="","",COUNTIFS(Opportunities!$A$3:$A$502,$A15,Opportunities!$X$3:$X$502,"Yes"))</f>
        <v/>
      </c>
      <c r="AH15" s="32" t="str">
        <f aca="false">IF($A15="","",_xlfn.TEXTJOIN(", ",TRUE(),IF(COUNTIF($A$3:$A$502,$A15)&gt;1,"Duplicate name",""),IF(OR(AND(G15=2,I15=""),AND(J15=2,L15=""),AND(M15=2,O15=""),AND(P15=2,R15="")),"Source missing for a 2",""),IF(F15="","No owner",IF(COUNTIFS(R_TeamName,F15,R_TeamActive,"No")&gt;0,"Needs new owner","")),IF(AND(V15="Yes",X15&lt;&gt;"",X15&lt;S_SemStart),"Path overdue",""),IF(AND(S15&lt;&gt;"",S15&lt;S_Today-365),"Stale research",""),IF(AND(AE15="Research",COUNTIF('Commercial Evidence'!$A$3:$A$502,$A15)=0),"Add commercial evidence","")))</f>
        <v/>
      </c>
      <c r="AI15" s="34" t="str">
        <f aca="false">IF(OR($A15="",Z15="Yes"),"",IF(AND(AE15="Priority",AG15=0,COUNTIFS(Opportunities!$A$3:$A$502,$A15,Opportunities!$Y$3:$Y$502,"Renewal due")=0),600000+(10-AC15)*1000+(4-AD15)*100+ROW()/100000,IF(V15="Yes",700000+IF(X15="",0,X15-40000)/10+ROW()/100000,IF(AND(AE15="Quick Win",U15&lt;&gt;"",AG15=0),800000+(10-AC15)*1000+ROW()/100000,IF(AND(AE15="Build a Path",COUNTIF($V$3:$V$502,"Yes")&lt;S_PathCap),900000+(10-AC15)*1000+(4-AD15)*100+ROW()/100000,"")))))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8"/>
      <c r="T16" s="27"/>
      <c r="U16" s="27"/>
      <c r="V16" s="27"/>
      <c r="W16" s="27"/>
      <c r="X16" s="28"/>
      <c r="Y16" s="27"/>
      <c r="Z16" s="27"/>
      <c r="AA16" s="27"/>
      <c r="AB16" s="32" t="str">
        <f aca="false">IF($A16="","",IF(COUNTIF('Commercial Evidence'!$A$3:$A$502,$A16)=0,"",IF(COUNTIFS('Commercial Evidence'!$A$3:$A$502,$A16,'Commercial Evidence'!$B$3:$B$502,"Previous CBS Talks spend")+COUNTIFS('Commercial Evidence'!$A$3:$A$502,$A16,'Commercial Evidence'!$B$3:$B$502,"Sponsors student organisations")&gt;0,2,IF(COUNTIFS('Commercial Evidence'!$A$3:$A$502,$A16,'Commercial Evidence'!$B$3:$B$502,"Sponsors university activities")+COUNTIFS('Commercial Evidence'!$A$3:$A$502,$A16,'Commercial Evidence'!$B$3:$B$502,"Sponsors similar events")+COUNTIFS('Commercial Evidence'!$A$3:$A$502,$A16,'Commercial Evidence'!$B$3:$B$502,"Previous CBS Talks partner")&gt;0,1,0))))</f>
        <v/>
      </c>
      <c r="AC16" s="32" t="str">
        <f aca="false">IF($A16="","",IF(COUNT(G16,J16,M16,P16,AB16)&lt;5,"",G16+J16+M16+P16+AB16))</f>
        <v/>
      </c>
      <c r="AD16" s="32" t="str">
        <f aca="false">IF($A16="","",IF(COUNTIFS(Contacts!$A$3:$A$502,$A16,Contacts!$E$3:$E$502,"Champion",Contacts!$K$3:$K$502,"&lt;&gt;Yes",Contacts!$L$3:$L$502,"&lt;&gt;Yes")+COUNTIFS(Opportunities!$A$3:$A$502,$A16,Opportunities!$C$3:$C$502,"Won",Opportunities!$Q$3:$Q$502,"Satisfied")&gt;0,4,IF(COUNTIFS(Interactions!$B$3:$B$502,$A16,Interactions!$I$3:$I$502,"Yes",Interactions!$A$3:$A$502,"&gt;="&amp;(S_Today-S_WarmDays))&gt;0,3,IF(T16&lt;&gt;"",2,IF(COUNTIFS(Contacts!$A$3:$A$502,$A16,Contacts!$M$3:$M$502,"Yes",Contacts!$K$3:$K$502,"&lt;&gt;Yes",Contacts!$L$3:$L$502,"&lt;&gt;Yes")&gt;0,1,0)))))</f>
        <v/>
      </c>
      <c r="AE16" s="32" t="str">
        <f aca="false">IF($A16="","",IF(Z16="Yes","Do not contact",IF(AC16="","Research",IF(AND(AC16&gt;=S_FitHigh,AD16&gt;=S_AccessHigh),"Priority",IF(AC16&gt;=S_FitHigh,"Build a Path",IF(AD16&gt;=S_AccessHigh,"Quick Win","Low Priority"))))))</f>
        <v/>
      </c>
      <c r="AF16" s="33" t="str">
        <f aca="false">IF($A16="","",IF(_xlfn.MAXIFS(Interactions!$A$3:$A$502,Interactions!$B$3:$B$502,$A16)=0,"",_xlfn.MAXIFS(Interactions!$A$3:$A$502,Interactions!$B$3:$B$502,$A16)))</f>
        <v/>
      </c>
      <c r="AG16" s="32" t="str">
        <f aca="false">IF($A16="","",COUNTIFS(Opportunities!$A$3:$A$502,$A16,Opportunities!$X$3:$X$502,"Yes"))</f>
        <v/>
      </c>
      <c r="AH16" s="32" t="str">
        <f aca="false">IF($A16="","",_xlfn.TEXTJOIN(", ",TRUE(),IF(COUNTIF($A$3:$A$502,$A16)&gt;1,"Duplicate name",""),IF(OR(AND(G16=2,I16=""),AND(J16=2,L16=""),AND(M16=2,O16=""),AND(P16=2,R16="")),"Source missing for a 2",""),IF(F16="","No owner",IF(COUNTIFS(R_TeamName,F16,R_TeamActive,"No")&gt;0,"Needs new owner","")),IF(AND(V16="Yes",X16&lt;&gt;"",X16&lt;S_SemStart),"Path overdue",""),IF(AND(S16&lt;&gt;"",S16&lt;S_Today-365),"Stale research",""),IF(AND(AE16="Research",COUNTIF('Commercial Evidence'!$A$3:$A$502,$A16)=0),"Add commercial evidence","")))</f>
        <v/>
      </c>
      <c r="AI16" s="34" t="str">
        <f aca="false">IF(OR($A16="",Z16="Yes"),"",IF(AND(AE16="Priority",AG16=0,COUNTIFS(Opportunities!$A$3:$A$502,$A16,Opportunities!$Y$3:$Y$502,"Renewal due")=0),600000+(10-AC16)*1000+(4-AD16)*100+ROW()/100000,IF(V16="Yes",700000+IF(X16="",0,X16-40000)/10+ROW()/100000,IF(AND(AE16="Quick Win",U16&lt;&gt;"",AG16=0),800000+(10-AC16)*1000+ROW()/100000,IF(AND(AE16="Build a Path",COUNTIF($V$3:$V$502,"Yes")&lt;S_PathCap),900000+(10-AC16)*1000+(4-AD16)*100+ROW()/100000,"")))))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8"/>
      <c r="T17" s="27"/>
      <c r="U17" s="27"/>
      <c r="V17" s="27"/>
      <c r="W17" s="27"/>
      <c r="X17" s="28"/>
      <c r="Y17" s="27"/>
      <c r="Z17" s="27"/>
      <c r="AA17" s="27"/>
      <c r="AB17" s="32" t="str">
        <f aca="false">IF($A17="","",IF(COUNTIF('Commercial Evidence'!$A$3:$A$502,$A17)=0,"",IF(COUNTIFS('Commercial Evidence'!$A$3:$A$502,$A17,'Commercial Evidence'!$B$3:$B$502,"Previous CBS Talks spend")+COUNTIFS('Commercial Evidence'!$A$3:$A$502,$A17,'Commercial Evidence'!$B$3:$B$502,"Sponsors student organisations")&gt;0,2,IF(COUNTIFS('Commercial Evidence'!$A$3:$A$502,$A17,'Commercial Evidence'!$B$3:$B$502,"Sponsors university activities")+COUNTIFS('Commercial Evidence'!$A$3:$A$502,$A17,'Commercial Evidence'!$B$3:$B$502,"Sponsors similar events")+COUNTIFS('Commercial Evidence'!$A$3:$A$502,$A17,'Commercial Evidence'!$B$3:$B$502,"Previous CBS Talks partner")&gt;0,1,0))))</f>
        <v/>
      </c>
      <c r="AC17" s="32" t="str">
        <f aca="false">IF($A17="","",IF(COUNT(G17,J17,M17,P17,AB17)&lt;5,"",G17+J17+M17+P17+AB17))</f>
        <v/>
      </c>
      <c r="AD17" s="32" t="str">
        <f aca="false">IF($A17="","",IF(COUNTIFS(Contacts!$A$3:$A$502,$A17,Contacts!$E$3:$E$502,"Champion",Contacts!$K$3:$K$502,"&lt;&gt;Yes",Contacts!$L$3:$L$502,"&lt;&gt;Yes")+COUNTIFS(Opportunities!$A$3:$A$502,$A17,Opportunities!$C$3:$C$502,"Won",Opportunities!$Q$3:$Q$502,"Satisfied")&gt;0,4,IF(COUNTIFS(Interactions!$B$3:$B$502,$A17,Interactions!$I$3:$I$502,"Yes",Interactions!$A$3:$A$502,"&gt;="&amp;(S_Today-S_WarmDays))&gt;0,3,IF(T17&lt;&gt;"",2,IF(COUNTIFS(Contacts!$A$3:$A$502,$A17,Contacts!$M$3:$M$502,"Yes",Contacts!$K$3:$K$502,"&lt;&gt;Yes",Contacts!$L$3:$L$502,"&lt;&gt;Yes")&gt;0,1,0)))))</f>
        <v/>
      </c>
      <c r="AE17" s="32" t="str">
        <f aca="false">IF($A17="","",IF(Z17="Yes","Do not contact",IF(AC17="","Research",IF(AND(AC17&gt;=S_FitHigh,AD17&gt;=S_AccessHigh),"Priority",IF(AC17&gt;=S_FitHigh,"Build a Path",IF(AD17&gt;=S_AccessHigh,"Quick Win","Low Priority"))))))</f>
        <v/>
      </c>
      <c r="AF17" s="33" t="str">
        <f aca="false">IF($A17="","",IF(_xlfn.MAXIFS(Interactions!$A$3:$A$502,Interactions!$B$3:$B$502,$A17)=0,"",_xlfn.MAXIFS(Interactions!$A$3:$A$502,Interactions!$B$3:$B$502,$A17)))</f>
        <v/>
      </c>
      <c r="AG17" s="32" t="str">
        <f aca="false">IF($A17="","",COUNTIFS(Opportunities!$A$3:$A$502,$A17,Opportunities!$X$3:$X$502,"Yes"))</f>
        <v/>
      </c>
      <c r="AH17" s="32" t="str">
        <f aca="false">IF($A17="","",_xlfn.TEXTJOIN(", ",TRUE(),IF(COUNTIF($A$3:$A$502,$A17)&gt;1,"Duplicate name",""),IF(OR(AND(G17=2,I17=""),AND(J17=2,L17=""),AND(M17=2,O17=""),AND(P17=2,R17="")),"Source missing for a 2",""),IF(F17="","No owner",IF(COUNTIFS(R_TeamName,F17,R_TeamActive,"No")&gt;0,"Needs new owner","")),IF(AND(V17="Yes",X17&lt;&gt;"",X17&lt;S_SemStart),"Path overdue",""),IF(AND(S17&lt;&gt;"",S17&lt;S_Today-365),"Stale research",""),IF(AND(AE17="Research",COUNTIF('Commercial Evidence'!$A$3:$A$502,$A17)=0),"Add commercial evidence","")))</f>
        <v/>
      </c>
      <c r="AI17" s="34" t="str">
        <f aca="false">IF(OR($A17="",Z17="Yes"),"",IF(AND(AE17="Priority",AG17=0,COUNTIFS(Opportunities!$A$3:$A$502,$A17,Opportunities!$Y$3:$Y$502,"Renewal due")=0),600000+(10-AC17)*1000+(4-AD17)*100+ROW()/100000,IF(V17="Yes",700000+IF(X17="",0,X17-40000)/10+ROW()/100000,IF(AND(AE17="Quick Win",U17&lt;&gt;"",AG17=0),800000+(10-AC17)*1000+ROW()/100000,IF(AND(AE17="Build a Path",COUNTIF($V$3:$V$502,"Yes")&lt;S_PathCap),900000+(10-AC17)*1000+(4-AD17)*100+ROW()/100000,"")))))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8"/>
      <c r="T18" s="27"/>
      <c r="U18" s="27"/>
      <c r="V18" s="27"/>
      <c r="W18" s="27"/>
      <c r="X18" s="28"/>
      <c r="Y18" s="27"/>
      <c r="Z18" s="27"/>
      <c r="AA18" s="27"/>
      <c r="AB18" s="32" t="str">
        <f aca="false">IF($A18="","",IF(COUNTIF('Commercial Evidence'!$A$3:$A$502,$A18)=0,"",IF(COUNTIFS('Commercial Evidence'!$A$3:$A$502,$A18,'Commercial Evidence'!$B$3:$B$502,"Previous CBS Talks spend")+COUNTIFS('Commercial Evidence'!$A$3:$A$502,$A18,'Commercial Evidence'!$B$3:$B$502,"Sponsors student organisations")&gt;0,2,IF(COUNTIFS('Commercial Evidence'!$A$3:$A$502,$A18,'Commercial Evidence'!$B$3:$B$502,"Sponsors university activities")+COUNTIFS('Commercial Evidence'!$A$3:$A$502,$A18,'Commercial Evidence'!$B$3:$B$502,"Sponsors similar events")+COUNTIFS('Commercial Evidence'!$A$3:$A$502,$A18,'Commercial Evidence'!$B$3:$B$502,"Previous CBS Talks partner")&gt;0,1,0))))</f>
        <v/>
      </c>
      <c r="AC18" s="32" t="str">
        <f aca="false">IF($A18="","",IF(COUNT(G18,J18,M18,P18,AB18)&lt;5,"",G18+J18+M18+P18+AB18))</f>
        <v/>
      </c>
      <c r="AD18" s="32" t="str">
        <f aca="false">IF($A18="","",IF(COUNTIFS(Contacts!$A$3:$A$502,$A18,Contacts!$E$3:$E$502,"Champion",Contacts!$K$3:$K$502,"&lt;&gt;Yes",Contacts!$L$3:$L$502,"&lt;&gt;Yes")+COUNTIFS(Opportunities!$A$3:$A$502,$A18,Opportunities!$C$3:$C$502,"Won",Opportunities!$Q$3:$Q$502,"Satisfied")&gt;0,4,IF(COUNTIFS(Interactions!$B$3:$B$502,$A18,Interactions!$I$3:$I$502,"Yes",Interactions!$A$3:$A$502,"&gt;="&amp;(S_Today-S_WarmDays))&gt;0,3,IF(T18&lt;&gt;"",2,IF(COUNTIFS(Contacts!$A$3:$A$502,$A18,Contacts!$M$3:$M$502,"Yes",Contacts!$K$3:$K$502,"&lt;&gt;Yes",Contacts!$L$3:$L$502,"&lt;&gt;Yes")&gt;0,1,0)))))</f>
        <v/>
      </c>
      <c r="AE18" s="32" t="str">
        <f aca="false">IF($A18="","",IF(Z18="Yes","Do not contact",IF(AC18="","Research",IF(AND(AC18&gt;=S_FitHigh,AD18&gt;=S_AccessHigh),"Priority",IF(AC18&gt;=S_FitHigh,"Build a Path",IF(AD18&gt;=S_AccessHigh,"Quick Win","Low Priority"))))))</f>
        <v/>
      </c>
      <c r="AF18" s="33" t="str">
        <f aca="false">IF($A18="","",IF(_xlfn.MAXIFS(Interactions!$A$3:$A$502,Interactions!$B$3:$B$502,$A18)=0,"",_xlfn.MAXIFS(Interactions!$A$3:$A$502,Interactions!$B$3:$B$502,$A18)))</f>
        <v/>
      </c>
      <c r="AG18" s="32" t="str">
        <f aca="false">IF($A18="","",COUNTIFS(Opportunities!$A$3:$A$502,$A18,Opportunities!$X$3:$X$502,"Yes"))</f>
        <v/>
      </c>
      <c r="AH18" s="32" t="str">
        <f aca="false">IF($A18="","",_xlfn.TEXTJOIN(", ",TRUE(),IF(COUNTIF($A$3:$A$502,$A18)&gt;1,"Duplicate name",""),IF(OR(AND(G18=2,I18=""),AND(J18=2,L18=""),AND(M18=2,O18=""),AND(P18=2,R18="")),"Source missing for a 2",""),IF(F18="","No owner",IF(COUNTIFS(R_TeamName,F18,R_TeamActive,"No")&gt;0,"Needs new owner","")),IF(AND(V18="Yes",X18&lt;&gt;"",X18&lt;S_SemStart),"Path overdue",""),IF(AND(S18&lt;&gt;"",S18&lt;S_Today-365),"Stale research",""),IF(AND(AE18="Research",COUNTIF('Commercial Evidence'!$A$3:$A$502,$A18)=0),"Add commercial evidence","")))</f>
        <v/>
      </c>
      <c r="AI18" s="34" t="str">
        <f aca="false">IF(OR($A18="",Z18="Yes"),"",IF(AND(AE18="Priority",AG18=0,COUNTIFS(Opportunities!$A$3:$A$502,$A18,Opportunities!$Y$3:$Y$502,"Renewal due")=0),600000+(10-AC18)*1000+(4-AD18)*100+ROW()/100000,IF(V18="Yes",700000+IF(X18="",0,X18-40000)/10+ROW()/100000,IF(AND(AE18="Quick Win",U18&lt;&gt;"",AG18=0),800000+(10-AC18)*1000+ROW()/100000,IF(AND(AE18="Build a Path",COUNTIF($V$3:$V$502,"Yes")&lt;S_PathCap),900000+(10-AC18)*1000+(4-AD18)*100+ROW()/100000,"")))))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  <c r="T19" s="27"/>
      <c r="U19" s="27"/>
      <c r="V19" s="27"/>
      <c r="W19" s="27"/>
      <c r="X19" s="28"/>
      <c r="Y19" s="27"/>
      <c r="Z19" s="27"/>
      <c r="AA19" s="27"/>
      <c r="AB19" s="32" t="str">
        <f aca="false">IF($A19="","",IF(COUNTIF('Commercial Evidence'!$A$3:$A$502,$A19)=0,"",IF(COUNTIFS('Commercial Evidence'!$A$3:$A$502,$A19,'Commercial Evidence'!$B$3:$B$502,"Previous CBS Talks spend")+COUNTIFS('Commercial Evidence'!$A$3:$A$502,$A19,'Commercial Evidence'!$B$3:$B$502,"Sponsors student organisations")&gt;0,2,IF(COUNTIFS('Commercial Evidence'!$A$3:$A$502,$A19,'Commercial Evidence'!$B$3:$B$502,"Sponsors university activities")+COUNTIFS('Commercial Evidence'!$A$3:$A$502,$A19,'Commercial Evidence'!$B$3:$B$502,"Sponsors similar events")+COUNTIFS('Commercial Evidence'!$A$3:$A$502,$A19,'Commercial Evidence'!$B$3:$B$502,"Previous CBS Talks partner")&gt;0,1,0))))</f>
        <v/>
      </c>
      <c r="AC19" s="32" t="str">
        <f aca="false">IF($A19="","",IF(COUNT(G19,J19,M19,P19,AB19)&lt;5,"",G19+J19+M19+P19+AB19))</f>
        <v/>
      </c>
      <c r="AD19" s="32" t="str">
        <f aca="false">IF($A19="","",IF(COUNTIFS(Contacts!$A$3:$A$502,$A19,Contacts!$E$3:$E$502,"Champion",Contacts!$K$3:$K$502,"&lt;&gt;Yes",Contacts!$L$3:$L$502,"&lt;&gt;Yes")+COUNTIFS(Opportunities!$A$3:$A$502,$A19,Opportunities!$C$3:$C$502,"Won",Opportunities!$Q$3:$Q$502,"Satisfied")&gt;0,4,IF(COUNTIFS(Interactions!$B$3:$B$502,$A19,Interactions!$I$3:$I$502,"Yes",Interactions!$A$3:$A$502,"&gt;="&amp;(S_Today-S_WarmDays))&gt;0,3,IF(T19&lt;&gt;"",2,IF(COUNTIFS(Contacts!$A$3:$A$502,$A19,Contacts!$M$3:$M$502,"Yes",Contacts!$K$3:$K$502,"&lt;&gt;Yes",Contacts!$L$3:$L$502,"&lt;&gt;Yes")&gt;0,1,0)))))</f>
        <v/>
      </c>
      <c r="AE19" s="32" t="str">
        <f aca="false">IF($A19="","",IF(Z19="Yes","Do not contact",IF(AC19="","Research",IF(AND(AC19&gt;=S_FitHigh,AD19&gt;=S_AccessHigh),"Priority",IF(AC19&gt;=S_FitHigh,"Build a Path",IF(AD19&gt;=S_AccessHigh,"Quick Win","Low Priority"))))))</f>
        <v/>
      </c>
      <c r="AF19" s="33" t="str">
        <f aca="false">IF($A19="","",IF(_xlfn.MAXIFS(Interactions!$A$3:$A$502,Interactions!$B$3:$B$502,$A19)=0,"",_xlfn.MAXIFS(Interactions!$A$3:$A$502,Interactions!$B$3:$B$502,$A19)))</f>
        <v/>
      </c>
      <c r="AG19" s="32" t="str">
        <f aca="false">IF($A19="","",COUNTIFS(Opportunities!$A$3:$A$502,$A19,Opportunities!$X$3:$X$502,"Yes"))</f>
        <v/>
      </c>
      <c r="AH19" s="32" t="str">
        <f aca="false">IF($A19="","",_xlfn.TEXTJOIN(", ",TRUE(),IF(COUNTIF($A$3:$A$502,$A19)&gt;1,"Duplicate name",""),IF(OR(AND(G19=2,I19=""),AND(J19=2,L19=""),AND(M19=2,O19=""),AND(P19=2,R19="")),"Source missing for a 2",""),IF(F19="","No owner",IF(COUNTIFS(R_TeamName,F19,R_TeamActive,"No")&gt;0,"Needs new owner","")),IF(AND(V19="Yes",X19&lt;&gt;"",X19&lt;S_SemStart),"Path overdue",""),IF(AND(S19&lt;&gt;"",S19&lt;S_Today-365),"Stale research",""),IF(AND(AE19="Research",COUNTIF('Commercial Evidence'!$A$3:$A$502,$A19)=0),"Add commercial evidence","")))</f>
        <v/>
      </c>
      <c r="AI19" s="34" t="str">
        <f aca="false">IF(OR($A19="",Z19="Yes"),"",IF(AND(AE19="Priority",AG19=0,COUNTIFS(Opportunities!$A$3:$A$502,$A19,Opportunities!$Y$3:$Y$502,"Renewal due")=0),600000+(10-AC19)*1000+(4-AD19)*100+ROW()/100000,IF(V19="Yes",700000+IF(X19="",0,X19-40000)/10+ROW()/100000,IF(AND(AE19="Quick Win",U19&lt;&gt;"",AG19=0),800000+(10-AC19)*1000+ROW()/100000,IF(AND(AE19="Build a Path",COUNTIF($V$3:$V$502,"Yes")&lt;S_PathCap),900000+(10-AC19)*1000+(4-AD19)*100+ROW()/100000,"")))))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8"/>
      <c r="T20" s="27"/>
      <c r="U20" s="27"/>
      <c r="V20" s="27"/>
      <c r="W20" s="27"/>
      <c r="X20" s="28"/>
      <c r="Y20" s="27"/>
      <c r="Z20" s="27"/>
      <c r="AA20" s="27"/>
      <c r="AB20" s="32" t="str">
        <f aca="false">IF($A20="","",IF(COUNTIF('Commercial Evidence'!$A$3:$A$502,$A20)=0,"",IF(COUNTIFS('Commercial Evidence'!$A$3:$A$502,$A20,'Commercial Evidence'!$B$3:$B$502,"Previous CBS Talks spend")+COUNTIFS('Commercial Evidence'!$A$3:$A$502,$A20,'Commercial Evidence'!$B$3:$B$502,"Sponsors student organisations")&gt;0,2,IF(COUNTIFS('Commercial Evidence'!$A$3:$A$502,$A20,'Commercial Evidence'!$B$3:$B$502,"Sponsors university activities")+COUNTIFS('Commercial Evidence'!$A$3:$A$502,$A20,'Commercial Evidence'!$B$3:$B$502,"Sponsors similar events")+COUNTIFS('Commercial Evidence'!$A$3:$A$502,$A20,'Commercial Evidence'!$B$3:$B$502,"Previous CBS Talks partner")&gt;0,1,0))))</f>
        <v/>
      </c>
      <c r="AC20" s="32" t="str">
        <f aca="false">IF($A20="","",IF(COUNT(G20,J20,M20,P20,AB20)&lt;5,"",G20+J20+M20+P20+AB20))</f>
        <v/>
      </c>
      <c r="AD20" s="32" t="str">
        <f aca="false">IF($A20="","",IF(COUNTIFS(Contacts!$A$3:$A$502,$A20,Contacts!$E$3:$E$502,"Champion",Contacts!$K$3:$K$502,"&lt;&gt;Yes",Contacts!$L$3:$L$502,"&lt;&gt;Yes")+COUNTIFS(Opportunities!$A$3:$A$502,$A20,Opportunities!$C$3:$C$502,"Won",Opportunities!$Q$3:$Q$502,"Satisfied")&gt;0,4,IF(COUNTIFS(Interactions!$B$3:$B$502,$A20,Interactions!$I$3:$I$502,"Yes",Interactions!$A$3:$A$502,"&gt;="&amp;(S_Today-S_WarmDays))&gt;0,3,IF(T20&lt;&gt;"",2,IF(COUNTIFS(Contacts!$A$3:$A$502,$A20,Contacts!$M$3:$M$502,"Yes",Contacts!$K$3:$K$502,"&lt;&gt;Yes",Contacts!$L$3:$L$502,"&lt;&gt;Yes")&gt;0,1,0)))))</f>
        <v/>
      </c>
      <c r="AE20" s="32" t="str">
        <f aca="false">IF($A20="","",IF(Z20="Yes","Do not contact",IF(AC20="","Research",IF(AND(AC20&gt;=S_FitHigh,AD20&gt;=S_AccessHigh),"Priority",IF(AC20&gt;=S_FitHigh,"Build a Path",IF(AD20&gt;=S_AccessHigh,"Quick Win","Low Priority"))))))</f>
        <v/>
      </c>
      <c r="AF20" s="33" t="str">
        <f aca="false">IF($A20="","",IF(_xlfn.MAXIFS(Interactions!$A$3:$A$502,Interactions!$B$3:$B$502,$A20)=0,"",_xlfn.MAXIFS(Interactions!$A$3:$A$502,Interactions!$B$3:$B$502,$A20)))</f>
        <v/>
      </c>
      <c r="AG20" s="32" t="str">
        <f aca="false">IF($A20="","",COUNTIFS(Opportunities!$A$3:$A$502,$A20,Opportunities!$X$3:$X$502,"Yes"))</f>
        <v/>
      </c>
      <c r="AH20" s="32" t="str">
        <f aca="false">IF($A20="","",_xlfn.TEXTJOIN(", ",TRUE(),IF(COUNTIF($A$3:$A$502,$A20)&gt;1,"Duplicate name",""),IF(OR(AND(G20=2,I20=""),AND(J20=2,L20=""),AND(M20=2,O20=""),AND(P20=2,R20="")),"Source missing for a 2",""),IF(F20="","No owner",IF(COUNTIFS(R_TeamName,F20,R_TeamActive,"No")&gt;0,"Needs new owner","")),IF(AND(V20="Yes",X20&lt;&gt;"",X20&lt;S_SemStart),"Path overdue",""),IF(AND(S20&lt;&gt;"",S20&lt;S_Today-365),"Stale research",""),IF(AND(AE20="Research",COUNTIF('Commercial Evidence'!$A$3:$A$502,$A20)=0),"Add commercial evidence","")))</f>
        <v/>
      </c>
      <c r="AI20" s="34" t="str">
        <f aca="false">IF(OR($A20="",Z20="Yes"),"",IF(AND(AE20="Priority",AG20=0,COUNTIFS(Opportunities!$A$3:$A$502,$A20,Opportunities!$Y$3:$Y$502,"Renewal due")=0),600000+(10-AC20)*1000+(4-AD20)*100+ROW()/100000,IF(V20="Yes",700000+IF(X20="",0,X20-40000)/10+ROW()/100000,IF(AND(AE20="Quick Win",U20&lt;&gt;"",AG20=0),800000+(10-AC20)*1000+ROW()/100000,IF(AND(AE20="Build a Path",COUNTIF($V$3:$V$502,"Yes")&lt;S_PathCap),900000+(10-AC20)*1000+(4-AD20)*100+ROW()/100000,"")))))</f>
        <v/>
      </c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8"/>
      <c r="T21" s="27"/>
      <c r="U21" s="27"/>
      <c r="V21" s="27"/>
      <c r="W21" s="27"/>
      <c r="X21" s="28"/>
      <c r="Y21" s="27"/>
      <c r="Z21" s="27"/>
      <c r="AA21" s="27"/>
      <c r="AB21" s="32" t="str">
        <f aca="false">IF($A21="","",IF(COUNTIF('Commercial Evidence'!$A$3:$A$502,$A21)=0,"",IF(COUNTIFS('Commercial Evidence'!$A$3:$A$502,$A21,'Commercial Evidence'!$B$3:$B$502,"Previous CBS Talks spend")+COUNTIFS('Commercial Evidence'!$A$3:$A$502,$A21,'Commercial Evidence'!$B$3:$B$502,"Sponsors student organisations")&gt;0,2,IF(COUNTIFS('Commercial Evidence'!$A$3:$A$502,$A21,'Commercial Evidence'!$B$3:$B$502,"Sponsors university activities")+COUNTIFS('Commercial Evidence'!$A$3:$A$502,$A21,'Commercial Evidence'!$B$3:$B$502,"Sponsors similar events")+COUNTIFS('Commercial Evidence'!$A$3:$A$502,$A21,'Commercial Evidence'!$B$3:$B$502,"Previous CBS Talks partner")&gt;0,1,0))))</f>
        <v/>
      </c>
      <c r="AC21" s="32" t="str">
        <f aca="false">IF($A21="","",IF(COUNT(G21,J21,M21,P21,AB21)&lt;5,"",G21+J21+M21+P21+AB21))</f>
        <v/>
      </c>
      <c r="AD21" s="32" t="str">
        <f aca="false">IF($A21="","",IF(COUNTIFS(Contacts!$A$3:$A$502,$A21,Contacts!$E$3:$E$502,"Champion",Contacts!$K$3:$K$502,"&lt;&gt;Yes",Contacts!$L$3:$L$502,"&lt;&gt;Yes")+COUNTIFS(Opportunities!$A$3:$A$502,$A21,Opportunities!$C$3:$C$502,"Won",Opportunities!$Q$3:$Q$502,"Satisfied")&gt;0,4,IF(COUNTIFS(Interactions!$B$3:$B$502,$A21,Interactions!$I$3:$I$502,"Yes",Interactions!$A$3:$A$502,"&gt;="&amp;(S_Today-S_WarmDays))&gt;0,3,IF(T21&lt;&gt;"",2,IF(COUNTIFS(Contacts!$A$3:$A$502,$A21,Contacts!$M$3:$M$502,"Yes",Contacts!$K$3:$K$502,"&lt;&gt;Yes",Contacts!$L$3:$L$502,"&lt;&gt;Yes")&gt;0,1,0)))))</f>
        <v/>
      </c>
      <c r="AE21" s="32" t="str">
        <f aca="false">IF($A21="","",IF(Z21="Yes","Do not contact",IF(AC21="","Research",IF(AND(AC21&gt;=S_FitHigh,AD21&gt;=S_AccessHigh),"Priority",IF(AC21&gt;=S_FitHigh,"Build a Path",IF(AD21&gt;=S_AccessHigh,"Quick Win","Low Priority"))))))</f>
        <v/>
      </c>
      <c r="AF21" s="33" t="str">
        <f aca="false">IF($A21="","",IF(_xlfn.MAXIFS(Interactions!$A$3:$A$502,Interactions!$B$3:$B$502,$A21)=0,"",_xlfn.MAXIFS(Interactions!$A$3:$A$502,Interactions!$B$3:$B$502,$A21)))</f>
        <v/>
      </c>
      <c r="AG21" s="32" t="str">
        <f aca="false">IF($A21="","",COUNTIFS(Opportunities!$A$3:$A$502,$A21,Opportunities!$X$3:$X$502,"Yes"))</f>
        <v/>
      </c>
      <c r="AH21" s="32" t="str">
        <f aca="false">IF($A21="","",_xlfn.TEXTJOIN(", ",TRUE(),IF(COUNTIF($A$3:$A$502,$A21)&gt;1,"Duplicate name",""),IF(OR(AND(G21=2,I21=""),AND(J21=2,L21=""),AND(M21=2,O21=""),AND(P21=2,R21="")),"Source missing for a 2",""),IF(F21="","No owner",IF(COUNTIFS(R_TeamName,F21,R_TeamActive,"No")&gt;0,"Needs new owner","")),IF(AND(V21="Yes",X21&lt;&gt;"",X21&lt;S_SemStart),"Path overdue",""),IF(AND(S21&lt;&gt;"",S21&lt;S_Today-365),"Stale research",""),IF(AND(AE21="Research",COUNTIF('Commercial Evidence'!$A$3:$A$502,$A21)=0),"Add commercial evidence","")))</f>
        <v/>
      </c>
      <c r="AI21" s="34" t="str">
        <f aca="false">IF(OR($A21="",Z21="Yes"),"",IF(AND(AE21="Priority",AG21=0,COUNTIFS(Opportunities!$A$3:$A$502,$A21,Opportunities!$Y$3:$Y$502,"Renewal due")=0),600000+(10-AC21)*1000+(4-AD21)*100+ROW()/100000,IF(V21="Yes",700000+IF(X21="",0,X21-40000)/10+ROW()/100000,IF(AND(AE21="Quick Win",U21&lt;&gt;"",AG21=0),800000+(10-AC21)*1000+ROW()/100000,IF(AND(AE21="Build a Path",COUNTIF($V$3:$V$502,"Yes")&lt;S_PathCap),900000+(10-AC21)*1000+(4-AD21)*100+ROW()/100000,"")))))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8"/>
      <c r="T22" s="27"/>
      <c r="U22" s="27"/>
      <c r="V22" s="27"/>
      <c r="W22" s="27"/>
      <c r="X22" s="28"/>
      <c r="Y22" s="27"/>
      <c r="Z22" s="27"/>
      <c r="AA22" s="27"/>
      <c r="AB22" s="32" t="str">
        <f aca="false">IF($A22="","",IF(COUNTIF('Commercial Evidence'!$A$3:$A$502,$A22)=0,"",IF(COUNTIFS('Commercial Evidence'!$A$3:$A$502,$A22,'Commercial Evidence'!$B$3:$B$502,"Previous CBS Talks spend")+COUNTIFS('Commercial Evidence'!$A$3:$A$502,$A22,'Commercial Evidence'!$B$3:$B$502,"Sponsors student organisations")&gt;0,2,IF(COUNTIFS('Commercial Evidence'!$A$3:$A$502,$A22,'Commercial Evidence'!$B$3:$B$502,"Sponsors university activities")+COUNTIFS('Commercial Evidence'!$A$3:$A$502,$A22,'Commercial Evidence'!$B$3:$B$502,"Sponsors similar events")+COUNTIFS('Commercial Evidence'!$A$3:$A$502,$A22,'Commercial Evidence'!$B$3:$B$502,"Previous CBS Talks partner")&gt;0,1,0))))</f>
        <v/>
      </c>
      <c r="AC22" s="32" t="str">
        <f aca="false">IF($A22="","",IF(COUNT(G22,J22,M22,P22,AB22)&lt;5,"",G22+J22+M22+P22+AB22))</f>
        <v/>
      </c>
      <c r="AD22" s="32" t="str">
        <f aca="false">IF($A22="","",IF(COUNTIFS(Contacts!$A$3:$A$502,$A22,Contacts!$E$3:$E$502,"Champion",Contacts!$K$3:$K$502,"&lt;&gt;Yes",Contacts!$L$3:$L$502,"&lt;&gt;Yes")+COUNTIFS(Opportunities!$A$3:$A$502,$A22,Opportunities!$C$3:$C$502,"Won",Opportunities!$Q$3:$Q$502,"Satisfied")&gt;0,4,IF(COUNTIFS(Interactions!$B$3:$B$502,$A22,Interactions!$I$3:$I$502,"Yes",Interactions!$A$3:$A$502,"&gt;="&amp;(S_Today-S_WarmDays))&gt;0,3,IF(T22&lt;&gt;"",2,IF(COUNTIFS(Contacts!$A$3:$A$502,$A22,Contacts!$M$3:$M$502,"Yes",Contacts!$K$3:$K$502,"&lt;&gt;Yes",Contacts!$L$3:$L$502,"&lt;&gt;Yes")&gt;0,1,0)))))</f>
        <v/>
      </c>
      <c r="AE22" s="32" t="str">
        <f aca="false">IF($A22="","",IF(Z22="Yes","Do not contact",IF(AC22="","Research",IF(AND(AC22&gt;=S_FitHigh,AD22&gt;=S_AccessHigh),"Priority",IF(AC22&gt;=S_FitHigh,"Build a Path",IF(AD22&gt;=S_AccessHigh,"Quick Win","Low Priority"))))))</f>
        <v/>
      </c>
      <c r="AF22" s="33" t="str">
        <f aca="false">IF($A22="","",IF(_xlfn.MAXIFS(Interactions!$A$3:$A$502,Interactions!$B$3:$B$502,$A22)=0,"",_xlfn.MAXIFS(Interactions!$A$3:$A$502,Interactions!$B$3:$B$502,$A22)))</f>
        <v/>
      </c>
      <c r="AG22" s="32" t="str">
        <f aca="false">IF($A22="","",COUNTIFS(Opportunities!$A$3:$A$502,$A22,Opportunities!$X$3:$X$502,"Yes"))</f>
        <v/>
      </c>
      <c r="AH22" s="32" t="str">
        <f aca="false">IF($A22="","",_xlfn.TEXTJOIN(", ",TRUE(),IF(COUNTIF($A$3:$A$502,$A22)&gt;1,"Duplicate name",""),IF(OR(AND(G22=2,I22=""),AND(J22=2,L22=""),AND(M22=2,O22=""),AND(P22=2,R22="")),"Source missing for a 2",""),IF(F22="","No owner",IF(COUNTIFS(R_TeamName,F22,R_TeamActive,"No")&gt;0,"Needs new owner","")),IF(AND(V22="Yes",X22&lt;&gt;"",X22&lt;S_SemStart),"Path overdue",""),IF(AND(S22&lt;&gt;"",S22&lt;S_Today-365),"Stale research",""),IF(AND(AE22="Research",COUNTIF('Commercial Evidence'!$A$3:$A$502,$A22)=0),"Add commercial evidence","")))</f>
        <v/>
      </c>
      <c r="AI22" s="34" t="str">
        <f aca="false">IF(OR($A22="",Z22="Yes"),"",IF(AND(AE22="Priority",AG22=0,COUNTIFS(Opportunities!$A$3:$A$502,$A22,Opportunities!$Y$3:$Y$502,"Renewal due")=0),600000+(10-AC22)*1000+(4-AD22)*100+ROW()/100000,IF(V22="Yes",700000+IF(X22="",0,X22-40000)/10+ROW()/100000,IF(AND(AE22="Quick Win",U22&lt;&gt;"",AG22=0),800000+(10-AC22)*1000+ROW()/100000,IF(AND(AE22="Build a Path",COUNTIF($V$3:$V$502,"Yes")&lt;S_PathCap),900000+(10-AC22)*1000+(4-AD22)*100+ROW()/100000,"")))))</f>
        <v/>
      </c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8"/>
      <c r="T23" s="27"/>
      <c r="U23" s="27"/>
      <c r="V23" s="27"/>
      <c r="W23" s="27"/>
      <c r="X23" s="28"/>
      <c r="Y23" s="27"/>
      <c r="Z23" s="27"/>
      <c r="AA23" s="27"/>
      <c r="AB23" s="32" t="str">
        <f aca="false">IF($A23="","",IF(COUNTIF('Commercial Evidence'!$A$3:$A$502,$A23)=0,"",IF(COUNTIFS('Commercial Evidence'!$A$3:$A$502,$A23,'Commercial Evidence'!$B$3:$B$502,"Previous CBS Talks spend")+COUNTIFS('Commercial Evidence'!$A$3:$A$502,$A23,'Commercial Evidence'!$B$3:$B$502,"Sponsors student organisations")&gt;0,2,IF(COUNTIFS('Commercial Evidence'!$A$3:$A$502,$A23,'Commercial Evidence'!$B$3:$B$502,"Sponsors university activities")+COUNTIFS('Commercial Evidence'!$A$3:$A$502,$A23,'Commercial Evidence'!$B$3:$B$502,"Sponsors similar events")+COUNTIFS('Commercial Evidence'!$A$3:$A$502,$A23,'Commercial Evidence'!$B$3:$B$502,"Previous CBS Talks partner")&gt;0,1,0))))</f>
        <v/>
      </c>
      <c r="AC23" s="32" t="str">
        <f aca="false">IF($A23="","",IF(COUNT(G23,J23,M23,P23,AB23)&lt;5,"",G23+J23+M23+P23+AB23))</f>
        <v/>
      </c>
      <c r="AD23" s="32" t="str">
        <f aca="false">IF($A23="","",IF(COUNTIFS(Contacts!$A$3:$A$502,$A23,Contacts!$E$3:$E$502,"Champion",Contacts!$K$3:$K$502,"&lt;&gt;Yes",Contacts!$L$3:$L$502,"&lt;&gt;Yes")+COUNTIFS(Opportunities!$A$3:$A$502,$A23,Opportunities!$C$3:$C$502,"Won",Opportunities!$Q$3:$Q$502,"Satisfied")&gt;0,4,IF(COUNTIFS(Interactions!$B$3:$B$502,$A23,Interactions!$I$3:$I$502,"Yes",Interactions!$A$3:$A$502,"&gt;="&amp;(S_Today-S_WarmDays))&gt;0,3,IF(T23&lt;&gt;"",2,IF(COUNTIFS(Contacts!$A$3:$A$502,$A23,Contacts!$M$3:$M$502,"Yes",Contacts!$K$3:$K$502,"&lt;&gt;Yes",Contacts!$L$3:$L$502,"&lt;&gt;Yes")&gt;0,1,0)))))</f>
        <v/>
      </c>
      <c r="AE23" s="32" t="str">
        <f aca="false">IF($A23="","",IF(Z23="Yes","Do not contact",IF(AC23="","Research",IF(AND(AC23&gt;=S_FitHigh,AD23&gt;=S_AccessHigh),"Priority",IF(AC23&gt;=S_FitHigh,"Build a Path",IF(AD23&gt;=S_AccessHigh,"Quick Win","Low Priority"))))))</f>
        <v/>
      </c>
      <c r="AF23" s="33" t="str">
        <f aca="false">IF($A23="","",IF(_xlfn.MAXIFS(Interactions!$A$3:$A$502,Interactions!$B$3:$B$502,$A23)=0,"",_xlfn.MAXIFS(Interactions!$A$3:$A$502,Interactions!$B$3:$B$502,$A23)))</f>
        <v/>
      </c>
      <c r="AG23" s="32" t="str">
        <f aca="false">IF($A23="","",COUNTIFS(Opportunities!$A$3:$A$502,$A23,Opportunities!$X$3:$X$502,"Yes"))</f>
        <v/>
      </c>
      <c r="AH23" s="32" t="str">
        <f aca="false">IF($A23="","",_xlfn.TEXTJOIN(", ",TRUE(),IF(COUNTIF($A$3:$A$502,$A23)&gt;1,"Duplicate name",""),IF(OR(AND(G23=2,I23=""),AND(J23=2,L23=""),AND(M23=2,O23=""),AND(P23=2,R23="")),"Source missing for a 2",""),IF(F23="","No owner",IF(COUNTIFS(R_TeamName,F23,R_TeamActive,"No")&gt;0,"Needs new owner","")),IF(AND(V23="Yes",X23&lt;&gt;"",X23&lt;S_SemStart),"Path overdue",""),IF(AND(S23&lt;&gt;"",S23&lt;S_Today-365),"Stale research",""),IF(AND(AE23="Research",COUNTIF('Commercial Evidence'!$A$3:$A$502,$A23)=0),"Add commercial evidence","")))</f>
        <v/>
      </c>
      <c r="AI23" s="34" t="str">
        <f aca="false">IF(OR($A23="",Z23="Yes"),"",IF(AND(AE23="Priority",AG23=0,COUNTIFS(Opportunities!$A$3:$A$502,$A23,Opportunities!$Y$3:$Y$502,"Renewal due")=0),600000+(10-AC23)*1000+(4-AD23)*100+ROW()/100000,IF(V23="Yes",700000+IF(X23="",0,X23-40000)/10+ROW()/100000,IF(AND(AE23="Quick Win",U23&lt;&gt;"",AG23=0),800000+(10-AC23)*1000+ROW()/100000,IF(AND(AE23="Build a Path",COUNTIF($V$3:$V$502,"Yes")&lt;S_PathCap),900000+(10-AC23)*1000+(4-AD23)*100+ROW()/100000,"")))))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8"/>
      <c r="T24" s="27"/>
      <c r="U24" s="27"/>
      <c r="V24" s="27"/>
      <c r="W24" s="27"/>
      <c r="X24" s="28"/>
      <c r="Y24" s="27"/>
      <c r="Z24" s="27"/>
      <c r="AA24" s="27"/>
      <c r="AB24" s="32" t="str">
        <f aca="false">IF($A24="","",IF(COUNTIF('Commercial Evidence'!$A$3:$A$502,$A24)=0,"",IF(COUNTIFS('Commercial Evidence'!$A$3:$A$502,$A24,'Commercial Evidence'!$B$3:$B$502,"Previous CBS Talks spend")+COUNTIFS('Commercial Evidence'!$A$3:$A$502,$A24,'Commercial Evidence'!$B$3:$B$502,"Sponsors student organisations")&gt;0,2,IF(COUNTIFS('Commercial Evidence'!$A$3:$A$502,$A24,'Commercial Evidence'!$B$3:$B$502,"Sponsors university activities")+COUNTIFS('Commercial Evidence'!$A$3:$A$502,$A24,'Commercial Evidence'!$B$3:$B$502,"Sponsors similar events")+COUNTIFS('Commercial Evidence'!$A$3:$A$502,$A24,'Commercial Evidence'!$B$3:$B$502,"Previous CBS Talks partner")&gt;0,1,0))))</f>
        <v/>
      </c>
      <c r="AC24" s="32" t="str">
        <f aca="false">IF($A24="","",IF(COUNT(G24,J24,M24,P24,AB24)&lt;5,"",G24+J24+M24+P24+AB24))</f>
        <v/>
      </c>
      <c r="AD24" s="32" t="str">
        <f aca="false">IF($A24="","",IF(COUNTIFS(Contacts!$A$3:$A$502,$A24,Contacts!$E$3:$E$502,"Champion",Contacts!$K$3:$K$502,"&lt;&gt;Yes",Contacts!$L$3:$L$502,"&lt;&gt;Yes")+COUNTIFS(Opportunities!$A$3:$A$502,$A24,Opportunities!$C$3:$C$502,"Won",Opportunities!$Q$3:$Q$502,"Satisfied")&gt;0,4,IF(COUNTIFS(Interactions!$B$3:$B$502,$A24,Interactions!$I$3:$I$502,"Yes",Interactions!$A$3:$A$502,"&gt;="&amp;(S_Today-S_WarmDays))&gt;0,3,IF(T24&lt;&gt;"",2,IF(COUNTIFS(Contacts!$A$3:$A$502,$A24,Contacts!$M$3:$M$502,"Yes",Contacts!$K$3:$K$502,"&lt;&gt;Yes",Contacts!$L$3:$L$502,"&lt;&gt;Yes")&gt;0,1,0)))))</f>
        <v/>
      </c>
      <c r="AE24" s="32" t="str">
        <f aca="false">IF($A24="","",IF(Z24="Yes","Do not contact",IF(AC24="","Research",IF(AND(AC24&gt;=S_FitHigh,AD24&gt;=S_AccessHigh),"Priority",IF(AC24&gt;=S_FitHigh,"Build a Path",IF(AD24&gt;=S_AccessHigh,"Quick Win","Low Priority"))))))</f>
        <v/>
      </c>
      <c r="AF24" s="33" t="str">
        <f aca="false">IF($A24="","",IF(_xlfn.MAXIFS(Interactions!$A$3:$A$502,Interactions!$B$3:$B$502,$A24)=0,"",_xlfn.MAXIFS(Interactions!$A$3:$A$502,Interactions!$B$3:$B$502,$A24)))</f>
        <v/>
      </c>
      <c r="AG24" s="32" t="str">
        <f aca="false">IF($A24="","",COUNTIFS(Opportunities!$A$3:$A$502,$A24,Opportunities!$X$3:$X$502,"Yes"))</f>
        <v/>
      </c>
      <c r="AH24" s="32" t="str">
        <f aca="false">IF($A24="","",_xlfn.TEXTJOIN(", ",TRUE(),IF(COUNTIF($A$3:$A$502,$A24)&gt;1,"Duplicate name",""),IF(OR(AND(G24=2,I24=""),AND(J24=2,L24=""),AND(M24=2,O24=""),AND(P24=2,R24="")),"Source missing for a 2",""),IF(F24="","No owner",IF(COUNTIFS(R_TeamName,F24,R_TeamActive,"No")&gt;0,"Needs new owner","")),IF(AND(V24="Yes",X24&lt;&gt;"",X24&lt;S_SemStart),"Path overdue",""),IF(AND(S24&lt;&gt;"",S24&lt;S_Today-365),"Stale research",""),IF(AND(AE24="Research",COUNTIF('Commercial Evidence'!$A$3:$A$502,$A24)=0),"Add commercial evidence","")))</f>
        <v/>
      </c>
      <c r="AI24" s="34" t="str">
        <f aca="false">IF(OR($A24="",Z24="Yes"),"",IF(AND(AE24="Priority",AG24=0,COUNTIFS(Opportunities!$A$3:$A$502,$A24,Opportunities!$Y$3:$Y$502,"Renewal due")=0),600000+(10-AC24)*1000+(4-AD24)*100+ROW()/100000,IF(V24="Yes",700000+IF(X24="",0,X24-40000)/10+ROW()/100000,IF(AND(AE24="Quick Win",U24&lt;&gt;"",AG24=0),800000+(10-AC24)*1000+ROW()/100000,IF(AND(AE24="Build a Path",COUNTIF($V$3:$V$502,"Yes")&lt;S_PathCap),900000+(10-AC24)*1000+(4-AD24)*100+ROW()/100000,"")))))</f>
        <v/>
      </c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8"/>
      <c r="T25" s="27"/>
      <c r="U25" s="27"/>
      <c r="V25" s="27"/>
      <c r="W25" s="27"/>
      <c r="X25" s="28"/>
      <c r="Y25" s="27"/>
      <c r="Z25" s="27"/>
      <c r="AA25" s="27"/>
      <c r="AB25" s="32" t="str">
        <f aca="false">IF($A25="","",IF(COUNTIF('Commercial Evidence'!$A$3:$A$502,$A25)=0,"",IF(COUNTIFS('Commercial Evidence'!$A$3:$A$502,$A25,'Commercial Evidence'!$B$3:$B$502,"Previous CBS Talks spend")+COUNTIFS('Commercial Evidence'!$A$3:$A$502,$A25,'Commercial Evidence'!$B$3:$B$502,"Sponsors student organisations")&gt;0,2,IF(COUNTIFS('Commercial Evidence'!$A$3:$A$502,$A25,'Commercial Evidence'!$B$3:$B$502,"Sponsors university activities")+COUNTIFS('Commercial Evidence'!$A$3:$A$502,$A25,'Commercial Evidence'!$B$3:$B$502,"Sponsors similar events")+COUNTIFS('Commercial Evidence'!$A$3:$A$502,$A25,'Commercial Evidence'!$B$3:$B$502,"Previous CBS Talks partner")&gt;0,1,0))))</f>
        <v/>
      </c>
      <c r="AC25" s="32" t="str">
        <f aca="false">IF($A25="","",IF(COUNT(G25,J25,M25,P25,AB25)&lt;5,"",G25+J25+M25+P25+AB25))</f>
        <v/>
      </c>
      <c r="AD25" s="32" t="str">
        <f aca="false">IF($A25="","",IF(COUNTIFS(Contacts!$A$3:$A$502,$A25,Contacts!$E$3:$E$502,"Champion",Contacts!$K$3:$K$502,"&lt;&gt;Yes",Contacts!$L$3:$L$502,"&lt;&gt;Yes")+COUNTIFS(Opportunities!$A$3:$A$502,$A25,Opportunities!$C$3:$C$502,"Won",Opportunities!$Q$3:$Q$502,"Satisfied")&gt;0,4,IF(COUNTIFS(Interactions!$B$3:$B$502,$A25,Interactions!$I$3:$I$502,"Yes",Interactions!$A$3:$A$502,"&gt;="&amp;(S_Today-S_WarmDays))&gt;0,3,IF(T25&lt;&gt;"",2,IF(COUNTIFS(Contacts!$A$3:$A$502,$A25,Contacts!$M$3:$M$502,"Yes",Contacts!$K$3:$K$502,"&lt;&gt;Yes",Contacts!$L$3:$L$502,"&lt;&gt;Yes")&gt;0,1,0)))))</f>
        <v/>
      </c>
      <c r="AE25" s="32" t="str">
        <f aca="false">IF($A25="","",IF(Z25="Yes","Do not contact",IF(AC25="","Research",IF(AND(AC25&gt;=S_FitHigh,AD25&gt;=S_AccessHigh),"Priority",IF(AC25&gt;=S_FitHigh,"Build a Path",IF(AD25&gt;=S_AccessHigh,"Quick Win","Low Priority"))))))</f>
        <v/>
      </c>
      <c r="AF25" s="33" t="str">
        <f aca="false">IF($A25="","",IF(_xlfn.MAXIFS(Interactions!$A$3:$A$502,Interactions!$B$3:$B$502,$A25)=0,"",_xlfn.MAXIFS(Interactions!$A$3:$A$502,Interactions!$B$3:$B$502,$A25)))</f>
        <v/>
      </c>
      <c r="AG25" s="32" t="str">
        <f aca="false">IF($A25="","",COUNTIFS(Opportunities!$A$3:$A$502,$A25,Opportunities!$X$3:$X$502,"Yes"))</f>
        <v/>
      </c>
      <c r="AH25" s="32" t="str">
        <f aca="false">IF($A25="","",_xlfn.TEXTJOIN(", ",TRUE(),IF(COUNTIF($A$3:$A$502,$A25)&gt;1,"Duplicate name",""),IF(OR(AND(G25=2,I25=""),AND(J25=2,L25=""),AND(M25=2,O25=""),AND(P25=2,R25="")),"Source missing for a 2",""),IF(F25="","No owner",IF(COUNTIFS(R_TeamName,F25,R_TeamActive,"No")&gt;0,"Needs new owner","")),IF(AND(V25="Yes",X25&lt;&gt;"",X25&lt;S_SemStart),"Path overdue",""),IF(AND(S25&lt;&gt;"",S25&lt;S_Today-365),"Stale research",""),IF(AND(AE25="Research",COUNTIF('Commercial Evidence'!$A$3:$A$502,$A25)=0),"Add commercial evidence","")))</f>
        <v/>
      </c>
      <c r="AI25" s="34" t="str">
        <f aca="false">IF(OR($A25="",Z25="Yes"),"",IF(AND(AE25="Priority",AG25=0,COUNTIFS(Opportunities!$A$3:$A$502,$A25,Opportunities!$Y$3:$Y$502,"Renewal due")=0),600000+(10-AC25)*1000+(4-AD25)*100+ROW()/100000,IF(V25="Yes",700000+IF(X25="",0,X25-40000)/10+ROW()/100000,IF(AND(AE25="Quick Win",U25&lt;&gt;"",AG25=0),800000+(10-AC25)*1000+ROW()/100000,IF(AND(AE25="Build a Path",COUNTIF($V$3:$V$502,"Yes")&lt;S_PathCap),900000+(10-AC25)*1000+(4-AD25)*100+ROW()/100000,"")))))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8"/>
      <c r="T26" s="27"/>
      <c r="U26" s="27"/>
      <c r="V26" s="27"/>
      <c r="W26" s="27"/>
      <c r="X26" s="28"/>
      <c r="Y26" s="27"/>
      <c r="Z26" s="27"/>
      <c r="AA26" s="27"/>
      <c r="AB26" s="32" t="str">
        <f aca="false">IF($A26="","",IF(COUNTIF('Commercial Evidence'!$A$3:$A$502,$A26)=0,"",IF(COUNTIFS('Commercial Evidence'!$A$3:$A$502,$A26,'Commercial Evidence'!$B$3:$B$502,"Previous CBS Talks spend")+COUNTIFS('Commercial Evidence'!$A$3:$A$502,$A26,'Commercial Evidence'!$B$3:$B$502,"Sponsors student organisations")&gt;0,2,IF(COUNTIFS('Commercial Evidence'!$A$3:$A$502,$A26,'Commercial Evidence'!$B$3:$B$502,"Sponsors university activities")+COUNTIFS('Commercial Evidence'!$A$3:$A$502,$A26,'Commercial Evidence'!$B$3:$B$502,"Sponsors similar events")+COUNTIFS('Commercial Evidence'!$A$3:$A$502,$A26,'Commercial Evidence'!$B$3:$B$502,"Previous CBS Talks partner")&gt;0,1,0))))</f>
        <v/>
      </c>
      <c r="AC26" s="32" t="str">
        <f aca="false">IF($A26="","",IF(COUNT(G26,J26,M26,P26,AB26)&lt;5,"",G26+J26+M26+P26+AB26))</f>
        <v/>
      </c>
      <c r="AD26" s="32" t="str">
        <f aca="false">IF($A26="","",IF(COUNTIFS(Contacts!$A$3:$A$502,$A26,Contacts!$E$3:$E$502,"Champion",Contacts!$K$3:$K$502,"&lt;&gt;Yes",Contacts!$L$3:$L$502,"&lt;&gt;Yes")+COUNTIFS(Opportunities!$A$3:$A$502,$A26,Opportunities!$C$3:$C$502,"Won",Opportunities!$Q$3:$Q$502,"Satisfied")&gt;0,4,IF(COUNTIFS(Interactions!$B$3:$B$502,$A26,Interactions!$I$3:$I$502,"Yes",Interactions!$A$3:$A$502,"&gt;="&amp;(S_Today-S_WarmDays))&gt;0,3,IF(T26&lt;&gt;"",2,IF(COUNTIFS(Contacts!$A$3:$A$502,$A26,Contacts!$M$3:$M$502,"Yes",Contacts!$K$3:$K$502,"&lt;&gt;Yes",Contacts!$L$3:$L$502,"&lt;&gt;Yes")&gt;0,1,0)))))</f>
        <v/>
      </c>
      <c r="AE26" s="32" t="str">
        <f aca="false">IF($A26="","",IF(Z26="Yes","Do not contact",IF(AC26="","Research",IF(AND(AC26&gt;=S_FitHigh,AD26&gt;=S_AccessHigh),"Priority",IF(AC26&gt;=S_FitHigh,"Build a Path",IF(AD26&gt;=S_AccessHigh,"Quick Win","Low Priority"))))))</f>
        <v/>
      </c>
      <c r="AF26" s="33" t="str">
        <f aca="false">IF($A26="","",IF(_xlfn.MAXIFS(Interactions!$A$3:$A$502,Interactions!$B$3:$B$502,$A26)=0,"",_xlfn.MAXIFS(Interactions!$A$3:$A$502,Interactions!$B$3:$B$502,$A26)))</f>
        <v/>
      </c>
      <c r="AG26" s="32" t="str">
        <f aca="false">IF($A26="","",COUNTIFS(Opportunities!$A$3:$A$502,$A26,Opportunities!$X$3:$X$502,"Yes"))</f>
        <v/>
      </c>
      <c r="AH26" s="32" t="str">
        <f aca="false">IF($A26="","",_xlfn.TEXTJOIN(", ",TRUE(),IF(COUNTIF($A$3:$A$502,$A26)&gt;1,"Duplicate name",""),IF(OR(AND(G26=2,I26=""),AND(J26=2,L26=""),AND(M26=2,O26=""),AND(P26=2,R26="")),"Source missing for a 2",""),IF(F26="","No owner",IF(COUNTIFS(R_TeamName,F26,R_TeamActive,"No")&gt;0,"Needs new owner","")),IF(AND(V26="Yes",X26&lt;&gt;"",X26&lt;S_SemStart),"Path overdue",""),IF(AND(S26&lt;&gt;"",S26&lt;S_Today-365),"Stale research",""),IF(AND(AE26="Research",COUNTIF('Commercial Evidence'!$A$3:$A$502,$A26)=0),"Add commercial evidence","")))</f>
        <v/>
      </c>
      <c r="AI26" s="34" t="str">
        <f aca="false">IF(OR($A26="",Z26="Yes"),"",IF(AND(AE26="Priority",AG26=0,COUNTIFS(Opportunities!$A$3:$A$502,$A26,Opportunities!$Y$3:$Y$502,"Renewal due")=0),600000+(10-AC26)*1000+(4-AD26)*100+ROW()/100000,IF(V26="Yes",700000+IF(X26="",0,X26-40000)/10+ROW()/100000,IF(AND(AE26="Quick Win",U26&lt;&gt;"",AG26=0),800000+(10-AC26)*1000+ROW()/100000,IF(AND(AE26="Build a Path",COUNTIF($V$3:$V$502,"Yes")&lt;S_PathCap),900000+(10-AC26)*1000+(4-AD26)*100+ROW()/100000,"")))))</f>
        <v/>
      </c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8"/>
      <c r="T27" s="27"/>
      <c r="U27" s="27"/>
      <c r="V27" s="27"/>
      <c r="W27" s="27"/>
      <c r="X27" s="28"/>
      <c r="Y27" s="27"/>
      <c r="Z27" s="27"/>
      <c r="AA27" s="27"/>
      <c r="AB27" s="32" t="str">
        <f aca="false">IF($A27="","",IF(COUNTIF('Commercial Evidence'!$A$3:$A$502,$A27)=0,"",IF(COUNTIFS('Commercial Evidence'!$A$3:$A$502,$A27,'Commercial Evidence'!$B$3:$B$502,"Previous CBS Talks spend")+COUNTIFS('Commercial Evidence'!$A$3:$A$502,$A27,'Commercial Evidence'!$B$3:$B$502,"Sponsors student organisations")&gt;0,2,IF(COUNTIFS('Commercial Evidence'!$A$3:$A$502,$A27,'Commercial Evidence'!$B$3:$B$502,"Sponsors university activities")+COUNTIFS('Commercial Evidence'!$A$3:$A$502,$A27,'Commercial Evidence'!$B$3:$B$502,"Sponsors similar events")+COUNTIFS('Commercial Evidence'!$A$3:$A$502,$A27,'Commercial Evidence'!$B$3:$B$502,"Previous CBS Talks partner")&gt;0,1,0))))</f>
        <v/>
      </c>
      <c r="AC27" s="32" t="str">
        <f aca="false">IF($A27="","",IF(COUNT(G27,J27,M27,P27,AB27)&lt;5,"",G27+J27+M27+P27+AB27))</f>
        <v/>
      </c>
      <c r="AD27" s="32" t="str">
        <f aca="false">IF($A27="","",IF(COUNTIFS(Contacts!$A$3:$A$502,$A27,Contacts!$E$3:$E$502,"Champion",Contacts!$K$3:$K$502,"&lt;&gt;Yes",Contacts!$L$3:$L$502,"&lt;&gt;Yes")+COUNTIFS(Opportunities!$A$3:$A$502,$A27,Opportunities!$C$3:$C$502,"Won",Opportunities!$Q$3:$Q$502,"Satisfied")&gt;0,4,IF(COUNTIFS(Interactions!$B$3:$B$502,$A27,Interactions!$I$3:$I$502,"Yes",Interactions!$A$3:$A$502,"&gt;="&amp;(S_Today-S_WarmDays))&gt;0,3,IF(T27&lt;&gt;"",2,IF(COUNTIFS(Contacts!$A$3:$A$502,$A27,Contacts!$M$3:$M$502,"Yes",Contacts!$K$3:$K$502,"&lt;&gt;Yes",Contacts!$L$3:$L$502,"&lt;&gt;Yes")&gt;0,1,0)))))</f>
        <v/>
      </c>
      <c r="AE27" s="32" t="str">
        <f aca="false">IF($A27="","",IF(Z27="Yes","Do not contact",IF(AC27="","Research",IF(AND(AC27&gt;=S_FitHigh,AD27&gt;=S_AccessHigh),"Priority",IF(AC27&gt;=S_FitHigh,"Build a Path",IF(AD27&gt;=S_AccessHigh,"Quick Win","Low Priority"))))))</f>
        <v/>
      </c>
      <c r="AF27" s="33" t="str">
        <f aca="false">IF($A27="","",IF(_xlfn.MAXIFS(Interactions!$A$3:$A$502,Interactions!$B$3:$B$502,$A27)=0,"",_xlfn.MAXIFS(Interactions!$A$3:$A$502,Interactions!$B$3:$B$502,$A27)))</f>
        <v/>
      </c>
      <c r="AG27" s="32" t="str">
        <f aca="false">IF($A27="","",COUNTIFS(Opportunities!$A$3:$A$502,$A27,Opportunities!$X$3:$X$502,"Yes"))</f>
        <v/>
      </c>
      <c r="AH27" s="32" t="str">
        <f aca="false">IF($A27="","",_xlfn.TEXTJOIN(", ",TRUE(),IF(COUNTIF($A$3:$A$502,$A27)&gt;1,"Duplicate name",""),IF(OR(AND(G27=2,I27=""),AND(J27=2,L27=""),AND(M27=2,O27=""),AND(P27=2,R27="")),"Source missing for a 2",""),IF(F27="","No owner",IF(COUNTIFS(R_TeamName,F27,R_TeamActive,"No")&gt;0,"Needs new owner","")),IF(AND(V27="Yes",X27&lt;&gt;"",X27&lt;S_SemStart),"Path overdue",""),IF(AND(S27&lt;&gt;"",S27&lt;S_Today-365),"Stale research",""),IF(AND(AE27="Research",COUNTIF('Commercial Evidence'!$A$3:$A$502,$A27)=0),"Add commercial evidence","")))</f>
        <v/>
      </c>
      <c r="AI27" s="34" t="str">
        <f aca="false">IF(OR($A27="",Z27="Yes"),"",IF(AND(AE27="Priority",AG27=0,COUNTIFS(Opportunities!$A$3:$A$502,$A27,Opportunities!$Y$3:$Y$502,"Renewal due")=0),600000+(10-AC27)*1000+(4-AD27)*100+ROW()/100000,IF(V27="Yes",700000+IF(X27="",0,X27-40000)/10+ROW()/100000,IF(AND(AE27="Quick Win",U27&lt;&gt;"",AG27=0),800000+(10-AC27)*1000+ROW()/100000,IF(AND(AE27="Build a Path",COUNTIF($V$3:$V$502,"Yes")&lt;S_PathCap),900000+(10-AC27)*1000+(4-AD27)*100+ROW()/100000,"")))))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8"/>
      <c r="T28" s="27"/>
      <c r="U28" s="27"/>
      <c r="V28" s="27"/>
      <c r="W28" s="27"/>
      <c r="X28" s="28"/>
      <c r="Y28" s="27"/>
      <c r="Z28" s="27"/>
      <c r="AA28" s="27"/>
      <c r="AB28" s="32" t="str">
        <f aca="false">IF($A28="","",IF(COUNTIF('Commercial Evidence'!$A$3:$A$502,$A28)=0,"",IF(COUNTIFS('Commercial Evidence'!$A$3:$A$502,$A28,'Commercial Evidence'!$B$3:$B$502,"Previous CBS Talks spend")+COUNTIFS('Commercial Evidence'!$A$3:$A$502,$A28,'Commercial Evidence'!$B$3:$B$502,"Sponsors student organisations")&gt;0,2,IF(COUNTIFS('Commercial Evidence'!$A$3:$A$502,$A28,'Commercial Evidence'!$B$3:$B$502,"Sponsors university activities")+COUNTIFS('Commercial Evidence'!$A$3:$A$502,$A28,'Commercial Evidence'!$B$3:$B$502,"Sponsors similar events")+COUNTIFS('Commercial Evidence'!$A$3:$A$502,$A28,'Commercial Evidence'!$B$3:$B$502,"Previous CBS Talks partner")&gt;0,1,0))))</f>
        <v/>
      </c>
      <c r="AC28" s="32" t="str">
        <f aca="false">IF($A28="","",IF(COUNT(G28,J28,M28,P28,AB28)&lt;5,"",G28+J28+M28+P28+AB28))</f>
        <v/>
      </c>
      <c r="AD28" s="32" t="str">
        <f aca="false">IF($A28="","",IF(COUNTIFS(Contacts!$A$3:$A$502,$A28,Contacts!$E$3:$E$502,"Champion",Contacts!$K$3:$K$502,"&lt;&gt;Yes",Contacts!$L$3:$L$502,"&lt;&gt;Yes")+COUNTIFS(Opportunities!$A$3:$A$502,$A28,Opportunities!$C$3:$C$502,"Won",Opportunities!$Q$3:$Q$502,"Satisfied")&gt;0,4,IF(COUNTIFS(Interactions!$B$3:$B$502,$A28,Interactions!$I$3:$I$502,"Yes",Interactions!$A$3:$A$502,"&gt;="&amp;(S_Today-S_WarmDays))&gt;0,3,IF(T28&lt;&gt;"",2,IF(COUNTIFS(Contacts!$A$3:$A$502,$A28,Contacts!$M$3:$M$502,"Yes",Contacts!$K$3:$K$502,"&lt;&gt;Yes",Contacts!$L$3:$L$502,"&lt;&gt;Yes")&gt;0,1,0)))))</f>
        <v/>
      </c>
      <c r="AE28" s="32" t="str">
        <f aca="false">IF($A28="","",IF(Z28="Yes","Do not contact",IF(AC28="","Research",IF(AND(AC28&gt;=S_FitHigh,AD28&gt;=S_AccessHigh),"Priority",IF(AC28&gt;=S_FitHigh,"Build a Path",IF(AD28&gt;=S_AccessHigh,"Quick Win","Low Priority"))))))</f>
        <v/>
      </c>
      <c r="AF28" s="33" t="str">
        <f aca="false">IF($A28="","",IF(_xlfn.MAXIFS(Interactions!$A$3:$A$502,Interactions!$B$3:$B$502,$A28)=0,"",_xlfn.MAXIFS(Interactions!$A$3:$A$502,Interactions!$B$3:$B$502,$A28)))</f>
        <v/>
      </c>
      <c r="AG28" s="32" t="str">
        <f aca="false">IF($A28="","",COUNTIFS(Opportunities!$A$3:$A$502,$A28,Opportunities!$X$3:$X$502,"Yes"))</f>
        <v/>
      </c>
      <c r="AH28" s="32" t="str">
        <f aca="false">IF($A28="","",_xlfn.TEXTJOIN(", ",TRUE(),IF(COUNTIF($A$3:$A$502,$A28)&gt;1,"Duplicate name",""),IF(OR(AND(G28=2,I28=""),AND(J28=2,L28=""),AND(M28=2,O28=""),AND(P28=2,R28="")),"Source missing for a 2",""),IF(F28="","No owner",IF(COUNTIFS(R_TeamName,F28,R_TeamActive,"No")&gt;0,"Needs new owner","")),IF(AND(V28="Yes",X28&lt;&gt;"",X28&lt;S_SemStart),"Path overdue",""),IF(AND(S28&lt;&gt;"",S28&lt;S_Today-365),"Stale research",""),IF(AND(AE28="Research",COUNTIF('Commercial Evidence'!$A$3:$A$502,$A28)=0),"Add commercial evidence","")))</f>
        <v/>
      </c>
      <c r="AI28" s="34" t="str">
        <f aca="false">IF(OR($A28="",Z28="Yes"),"",IF(AND(AE28="Priority",AG28=0,COUNTIFS(Opportunities!$A$3:$A$502,$A28,Opportunities!$Y$3:$Y$502,"Renewal due")=0),600000+(10-AC28)*1000+(4-AD28)*100+ROW()/100000,IF(V28="Yes",700000+IF(X28="",0,X28-40000)/10+ROW()/100000,IF(AND(AE28="Quick Win",U28&lt;&gt;"",AG28=0),800000+(10-AC28)*1000+ROW()/100000,IF(AND(AE28="Build a Path",COUNTIF($V$3:$V$502,"Yes")&lt;S_PathCap),900000+(10-AC28)*1000+(4-AD28)*100+ROW()/100000,"")))))</f>
        <v/>
      </c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  <c r="T29" s="27"/>
      <c r="U29" s="27"/>
      <c r="V29" s="27"/>
      <c r="W29" s="27"/>
      <c r="X29" s="28"/>
      <c r="Y29" s="27"/>
      <c r="Z29" s="27"/>
      <c r="AA29" s="27"/>
      <c r="AB29" s="32" t="str">
        <f aca="false">IF($A29="","",IF(COUNTIF('Commercial Evidence'!$A$3:$A$502,$A29)=0,"",IF(COUNTIFS('Commercial Evidence'!$A$3:$A$502,$A29,'Commercial Evidence'!$B$3:$B$502,"Previous CBS Talks spend")+COUNTIFS('Commercial Evidence'!$A$3:$A$502,$A29,'Commercial Evidence'!$B$3:$B$502,"Sponsors student organisations")&gt;0,2,IF(COUNTIFS('Commercial Evidence'!$A$3:$A$502,$A29,'Commercial Evidence'!$B$3:$B$502,"Sponsors university activities")+COUNTIFS('Commercial Evidence'!$A$3:$A$502,$A29,'Commercial Evidence'!$B$3:$B$502,"Sponsors similar events")+COUNTIFS('Commercial Evidence'!$A$3:$A$502,$A29,'Commercial Evidence'!$B$3:$B$502,"Previous CBS Talks partner")&gt;0,1,0))))</f>
        <v/>
      </c>
      <c r="AC29" s="32" t="str">
        <f aca="false">IF($A29="","",IF(COUNT(G29,J29,M29,P29,AB29)&lt;5,"",G29+J29+M29+P29+AB29))</f>
        <v/>
      </c>
      <c r="AD29" s="32" t="str">
        <f aca="false">IF($A29="","",IF(COUNTIFS(Contacts!$A$3:$A$502,$A29,Contacts!$E$3:$E$502,"Champion",Contacts!$K$3:$K$502,"&lt;&gt;Yes",Contacts!$L$3:$L$502,"&lt;&gt;Yes")+COUNTIFS(Opportunities!$A$3:$A$502,$A29,Opportunities!$C$3:$C$502,"Won",Opportunities!$Q$3:$Q$502,"Satisfied")&gt;0,4,IF(COUNTIFS(Interactions!$B$3:$B$502,$A29,Interactions!$I$3:$I$502,"Yes",Interactions!$A$3:$A$502,"&gt;="&amp;(S_Today-S_WarmDays))&gt;0,3,IF(T29&lt;&gt;"",2,IF(COUNTIFS(Contacts!$A$3:$A$502,$A29,Contacts!$M$3:$M$502,"Yes",Contacts!$K$3:$K$502,"&lt;&gt;Yes",Contacts!$L$3:$L$502,"&lt;&gt;Yes")&gt;0,1,0)))))</f>
        <v/>
      </c>
      <c r="AE29" s="32" t="str">
        <f aca="false">IF($A29="","",IF(Z29="Yes","Do not contact",IF(AC29="","Research",IF(AND(AC29&gt;=S_FitHigh,AD29&gt;=S_AccessHigh),"Priority",IF(AC29&gt;=S_FitHigh,"Build a Path",IF(AD29&gt;=S_AccessHigh,"Quick Win","Low Priority"))))))</f>
        <v/>
      </c>
      <c r="AF29" s="33" t="str">
        <f aca="false">IF($A29="","",IF(_xlfn.MAXIFS(Interactions!$A$3:$A$502,Interactions!$B$3:$B$502,$A29)=0,"",_xlfn.MAXIFS(Interactions!$A$3:$A$502,Interactions!$B$3:$B$502,$A29)))</f>
        <v/>
      </c>
      <c r="AG29" s="32" t="str">
        <f aca="false">IF($A29="","",COUNTIFS(Opportunities!$A$3:$A$502,$A29,Opportunities!$X$3:$X$502,"Yes"))</f>
        <v/>
      </c>
      <c r="AH29" s="32" t="str">
        <f aca="false">IF($A29="","",_xlfn.TEXTJOIN(", ",TRUE(),IF(COUNTIF($A$3:$A$502,$A29)&gt;1,"Duplicate name",""),IF(OR(AND(G29=2,I29=""),AND(J29=2,L29=""),AND(M29=2,O29=""),AND(P29=2,R29="")),"Source missing for a 2",""),IF(F29="","No owner",IF(COUNTIFS(R_TeamName,F29,R_TeamActive,"No")&gt;0,"Needs new owner","")),IF(AND(V29="Yes",X29&lt;&gt;"",X29&lt;S_SemStart),"Path overdue",""),IF(AND(S29&lt;&gt;"",S29&lt;S_Today-365),"Stale research",""),IF(AND(AE29="Research",COUNTIF('Commercial Evidence'!$A$3:$A$502,$A29)=0),"Add commercial evidence","")))</f>
        <v/>
      </c>
      <c r="AI29" s="34" t="str">
        <f aca="false">IF(OR($A29="",Z29="Yes"),"",IF(AND(AE29="Priority",AG29=0,COUNTIFS(Opportunities!$A$3:$A$502,$A29,Opportunities!$Y$3:$Y$502,"Renewal due")=0),600000+(10-AC29)*1000+(4-AD29)*100+ROW()/100000,IF(V29="Yes",700000+IF(X29="",0,X29-40000)/10+ROW()/100000,IF(AND(AE29="Quick Win",U29&lt;&gt;"",AG29=0),800000+(10-AC29)*1000+ROW()/100000,IF(AND(AE29="Build a Path",COUNTIF($V$3:$V$502,"Yes")&lt;S_PathCap),900000+(10-AC29)*1000+(4-AD29)*100+ROW()/100000,"")))))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8"/>
      <c r="T30" s="27"/>
      <c r="U30" s="27"/>
      <c r="V30" s="27"/>
      <c r="W30" s="27"/>
      <c r="X30" s="28"/>
      <c r="Y30" s="27"/>
      <c r="Z30" s="27"/>
      <c r="AA30" s="27"/>
      <c r="AB30" s="32" t="str">
        <f aca="false">IF($A30="","",IF(COUNTIF('Commercial Evidence'!$A$3:$A$502,$A30)=0,"",IF(COUNTIFS('Commercial Evidence'!$A$3:$A$502,$A30,'Commercial Evidence'!$B$3:$B$502,"Previous CBS Talks spend")+COUNTIFS('Commercial Evidence'!$A$3:$A$502,$A30,'Commercial Evidence'!$B$3:$B$502,"Sponsors student organisations")&gt;0,2,IF(COUNTIFS('Commercial Evidence'!$A$3:$A$502,$A30,'Commercial Evidence'!$B$3:$B$502,"Sponsors university activities")+COUNTIFS('Commercial Evidence'!$A$3:$A$502,$A30,'Commercial Evidence'!$B$3:$B$502,"Sponsors similar events")+COUNTIFS('Commercial Evidence'!$A$3:$A$502,$A30,'Commercial Evidence'!$B$3:$B$502,"Previous CBS Talks partner")&gt;0,1,0))))</f>
        <v/>
      </c>
      <c r="AC30" s="32" t="str">
        <f aca="false">IF($A30="","",IF(COUNT(G30,J30,M30,P30,AB30)&lt;5,"",G30+J30+M30+P30+AB30))</f>
        <v/>
      </c>
      <c r="AD30" s="32" t="str">
        <f aca="false">IF($A30="","",IF(COUNTIFS(Contacts!$A$3:$A$502,$A30,Contacts!$E$3:$E$502,"Champion",Contacts!$K$3:$K$502,"&lt;&gt;Yes",Contacts!$L$3:$L$502,"&lt;&gt;Yes")+COUNTIFS(Opportunities!$A$3:$A$502,$A30,Opportunities!$C$3:$C$502,"Won",Opportunities!$Q$3:$Q$502,"Satisfied")&gt;0,4,IF(COUNTIFS(Interactions!$B$3:$B$502,$A30,Interactions!$I$3:$I$502,"Yes",Interactions!$A$3:$A$502,"&gt;="&amp;(S_Today-S_WarmDays))&gt;0,3,IF(T30&lt;&gt;"",2,IF(COUNTIFS(Contacts!$A$3:$A$502,$A30,Contacts!$M$3:$M$502,"Yes",Contacts!$K$3:$K$502,"&lt;&gt;Yes",Contacts!$L$3:$L$502,"&lt;&gt;Yes")&gt;0,1,0)))))</f>
        <v/>
      </c>
      <c r="AE30" s="32" t="str">
        <f aca="false">IF($A30="","",IF(Z30="Yes","Do not contact",IF(AC30="","Research",IF(AND(AC30&gt;=S_FitHigh,AD30&gt;=S_AccessHigh),"Priority",IF(AC30&gt;=S_FitHigh,"Build a Path",IF(AD30&gt;=S_AccessHigh,"Quick Win","Low Priority"))))))</f>
        <v/>
      </c>
      <c r="AF30" s="33" t="str">
        <f aca="false">IF($A30="","",IF(_xlfn.MAXIFS(Interactions!$A$3:$A$502,Interactions!$B$3:$B$502,$A30)=0,"",_xlfn.MAXIFS(Interactions!$A$3:$A$502,Interactions!$B$3:$B$502,$A30)))</f>
        <v/>
      </c>
      <c r="AG30" s="32" t="str">
        <f aca="false">IF($A30="","",COUNTIFS(Opportunities!$A$3:$A$502,$A30,Opportunities!$X$3:$X$502,"Yes"))</f>
        <v/>
      </c>
      <c r="AH30" s="32" t="str">
        <f aca="false">IF($A30="","",_xlfn.TEXTJOIN(", ",TRUE(),IF(COUNTIF($A$3:$A$502,$A30)&gt;1,"Duplicate name",""),IF(OR(AND(G30=2,I30=""),AND(J30=2,L30=""),AND(M30=2,O30=""),AND(P30=2,R30="")),"Source missing for a 2",""),IF(F30="","No owner",IF(COUNTIFS(R_TeamName,F30,R_TeamActive,"No")&gt;0,"Needs new owner","")),IF(AND(V30="Yes",X30&lt;&gt;"",X30&lt;S_SemStart),"Path overdue",""),IF(AND(S30&lt;&gt;"",S30&lt;S_Today-365),"Stale research",""),IF(AND(AE30="Research",COUNTIF('Commercial Evidence'!$A$3:$A$502,$A30)=0),"Add commercial evidence","")))</f>
        <v/>
      </c>
      <c r="AI30" s="34" t="str">
        <f aca="false">IF(OR($A30="",Z30="Yes"),"",IF(AND(AE30="Priority",AG30=0,COUNTIFS(Opportunities!$A$3:$A$502,$A30,Opportunities!$Y$3:$Y$502,"Renewal due")=0),600000+(10-AC30)*1000+(4-AD30)*100+ROW()/100000,IF(V30="Yes",700000+IF(X30="",0,X30-40000)/10+ROW()/100000,IF(AND(AE30="Quick Win",U30&lt;&gt;"",AG30=0),800000+(10-AC30)*1000+ROW()/100000,IF(AND(AE30="Build a Path",COUNTIF($V$3:$V$502,"Yes")&lt;S_PathCap),900000+(10-AC30)*1000+(4-AD30)*100+ROW()/100000,"")))))</f>
        <v/>
      </c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8"/>
      <c r="T31" s="27"/>
      <c r="U31" s="27"/>
      <c r="V31" s="27"/>
      <c r="W31" s="27"/>
      <c r="X31" s="28"/>
      <c r="Y31" s="27"/>
      <c r="Z31" s="27"/>
      <c r="AA31" s="27"/>
      <c r="AB31" s="32" t="str">
        <f aca="false">IF($A31="","",IF(COUNTIF('Commercial Evidence'!$A$3:$A$502,$A31)=0,"",IF(COUNTIFS('Commercial Evidence'!$A$3:$A$502,$A31,'Commercial Evidence'!$B$3:$B$502,"Previous CBS Talks spend")+COUNTIFS('Commercial Evidence'!$A$3:$A$502,$A31,'Commercial Evidence'!$B$3:$B$502,"Sponsors student organisations")&gt;0,2,IF(COUNTIFS('Commercial Evidence'!$A$3:$A$502,$A31,'Commercial Evidence'!$B$3:$B$502,"Sponsors university activities")+COUNTIFS('Commercial Evidence'!$A$3:$A$502,$A31,'Commercial Evidence'!$B$3:$B$502,"Sponsors similar events")+COUNTIFS('Commercial Evidence'!$A$3:$A$502,$A31,'Commercial Evidence'!$B$3:$B$502,"Previous CBS Talks partner")&gt;0,1,0))))</f>
        <v/>
      </c>
      <c r="AC31" s="32" t="str">
        <f aca="false">IF($A31="","",IF(COUNT(G31,J31,M31,P31,AB31)&lt;5,"",G31+J31+M31+P31+AB31))</f>
        <v/>
      </c>
      <c r="AD31" s="32" t="str">
        <f aca="false">IF($A31="","",IF(COUNTIFS(Contacts!$A$3:$A$502,$A31,Contacts!$E$3:$E$502,"Champion",Contacts!$K$3:$K$502,"&lt;&gt;Yes",Contacts!$L$3:$L$502,"&lt;&gt;Yes")+COUNTIFS(Opportunities!$A$3:$A$502,$A31,Opportunities!$C$3:$C$502,"Won",Opportunities!$Q$3:$Q$502,"Satisfied")&gt;0,4,IF(COUNTIFS(Interactions!$B$3:$B$502,$A31,Interactions!$I$3:$I$502,"Yes",Interactions!$A$3:$A$502,"&gt;="&amp;(S_Today-S_WarmDays))&gt;0,3,IF(T31&lt;&gt;"",2,IF(COUNTIFS(Contacts!$A$3:$A$502,$A31,Contacts!$M$3:$M$502,"Yes",Contacts!$K$3:$K$502,"&lt;&gt;Yes",Contacts!$L$3:$L$502,"&lt;&gt;Yes")&gt;0,1,0)))))</f>
        <v/>
      </c>
      <c r="AE31" s="32" t="str">
        <f aca="false">IF($A31="","",IF(Z31="Yes","Do not contact",IF(AC31="","Research",IF(AND(AC31&gt;=S_FitHigh,AD31&gt;=S_AccessHigh),"Priority",IF(AC31&gt;=S_FitHigh,"Build a Path",IF(AD31&gt;=S_AccessHigh,"Quick Win","Low Priority"))))))</f>
        <v/>
      </c>
      <c r="AF31" s="33" t="str">
        <f aca="false">IF($A31="","",IF(_xlfn.MAXIFS(Interactions!$A$3:$A$502,Interactions!$B$3:$B$502,$A31)=0,"",_xlfn.MAXIFS(Interactions!$A$3:$A$502,Interactions!$B$3:$B$502,$A31)))</f>
        <v/>
      </c>
      <c r="AG31" s="32" t="str">
        <f aca="false">IF($A31="","",COUNTIFS(Opportunities!$A$3:$A$502,$A31,Opportunities!$X$3:$X$502,"Yes"))</f>
        <v/>
      </c>
      <c r="AH31" s="32" t="str">
        <f aca="false">IF($A31="","",_xlfn.TEXTJOIN(", ",TRUE(),IF(COUNTIF($A$3:$A$502,$A31)&gt;1,"Duplicate name",""),IF(OR(AND(G31=2,I31=""),AND(J31=2,L31=""),AND(M31=2,O31=""),AND(P31=2,R31="")),"Source missing for a 2",""),IF(F31="","No owner",IF(COUNTIFS(R_TeamName,F31,R_TeamActive,"No")&gt;0,"Needs new owner","")),IF(AND(V31="Yes",X31&lt;&gt;"",X31&lt;S_SemStart),"Path overdue",""),IF(AND(S31&lt;&gt;"",S31&lt;S_Today-365),"Stale research",""),IF(AND(AE31="Research",COUNTIF('Commercial Evidence'!$A$3:$A$502,$A31)=0),"Add commercial evidence","")))</f>
        <v/>
      </c>
      <c r="AI31" s="34" t="str">
        <f aca="false">IF(OR($A31="",Z31="Yes"),"",IF(AND(AE31="Priority",AG31=0,COUNTIFS(Opportunities!$A$3:$A$502,$A31,Opportunities!$Y$3:$Y$502,"Renewal due")=0),600000+(10-AC31)*1000+(4-AD31)*100+ROW()/100000,IF(V31="Yes",700000+IF(X31="",0,X31-40000)/10+ROW()/100000,IF(AND(AE31="Quick Win",U31&lt;&gt;"",AG31=0),800000+(10-AC31)*1000+ROW()/100000,IF(AND(AE31="Build a Path",COUNTIF($V$3:$V$502,"Yes")&lt;S_PathCap),900000+(10-AC31)*1000+(4-AD31)*100+ROW()/100000,"")))))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8"/>
      <c r="T32" s="27"/>
      <c r="U32" s="27"/>
      <c r="V32" s="27"/>
      <c r="W32" s="27"/>
      <c r="X32" s="28"/>
      <c r="Y32" s="27"/>
      <c r="Z32" s="27"/>
      <c r="AA32" s="27"/>
      <c r="AB32" s="32" t="str">
        <f aca="false">IF($A32="","",IF(COUNTIF('Commercial Evidence'!$A$3:$A$502,$A32)=0,"",IF(COUNTIFS('Commercial Evidence'!$A$3:$A$502,$A32,'Commercial Evidence'!$B$3:$B$502,"Previous CBS Talks spend")+COUNTIFS('Commercial Evidence'!$A$3:$A$502,$A32,'Commercial Evidence'!$B$3:$B$502,"Sponsors student organisations")&gt;0,2,IF(COUNTIFS('Commercial Evidence'!$A$3:$A$502,$A32,'Commercial Evidence'!$B$3:$B$502,"Sponsors university activities")+COUNTIFS('Commercial Evidence'!$A$3:$A$502,$A32,'Commercial Evidence'!$B$3:$B$502,"Sponsors similar events")+COUNTIFS('Commercial Evidence'!$A$3:$A$502,$A32,'Commercial Evidence'!$B$3:$B$502,"Previous CBS Talks partner")&gt;0,1,0))))</f>
        <v/>
      </c>
      <c r="AC32" s="32" t="str">
        <f aca="false">IF($A32="","",IF(COUNT(G32,J32,M32,P32,AB32)&lt;5,"",G32+J32+M32+P32+AB32))</f>
        <v/>
      </c>
      <c r="AD32" s="32" t="str">
        <f aca="false">IF($A32="","",IF(COUNTIFS(Contacts!$A$3:$A$502,$A32,Contacts!$E$3:$E$502,"Champion",Contacts!$K$3:$K$502,"&lt;&gt;Yes",Contacts!$L$3:$L$502,"&lt;&gt;Yes")+COUNTIFS(Opportunities!$A$3:$A$502,$A32,Opportunities!$C$3:$C$502,"Won",Opportunities!$Q$3:$Q$502,"Satisfied")&gt;0,4,IF(COUNTIFS(Interactions!$B$3:$B$502,$A32,Interactions!$I$3:$I$502,"Yes",Interactions!$A$3:$A$502,"&gt;="&amp;(S_Today-S_WarmDays))&gt;0,3,IF(T32&lt;&gt;"",2,IF(COUNTIFS(Contacts!$A$3:$A$502,$A32,Contacts!$M$3:$M$502,"Yes",Contacts!$K$3:$K$502,"&lt;&gt;Yes",Contacts!$L$3:$L$502,"&lt;&gt;Yes")&gt;0,1,0)))))</f>
        <v/>
      </c>
      <c r="AE32" s="32" t="str">
        <f aca="false">IF($A32="","",IF(Z32="Yes","Do not contact",IF(AC32="","Research",IF(AND(AC32&gt;=S_FitHigh,AD32&gt;=S_AccessHigh),"Priority",IF(AC32&gt;=S_FitHigh,"Build a Path",IF(AD32&gt;=S_AccessHigh,"Quick Win","Low Priority"))))))</f>
        <v/>
      </c>
      <c r="AF32" s="33" t="str">
        <f aca="false">IF($A32="","",IF(_xlfn.MAXIFS(Interactions!$A$3:$A$502,Interactions!$B$3:$B$502,$A32)=0,"",_xlfn.MAXIFS(Interactions!$A$3:$A$502,Interactions!$B$3:$B$502,$A32)))</f>
        <v/>
      </c>
      <c r="AG32" s="32" t="str">
        <f aca="false">IF($A32="","",COUNTIFS(Opportunities!$A$3:$A$502,$A32,Opportunities!$X$3:$X$502,"Yes"))</f>
        <v/>
      </c>
      <c r="AH32" s="32" t="str">
        <f aca="false">IF($A32="","",_xlfn.TEXTJOIN(", ",TRUE(),IF(COUNTIF($A$3:$A$502,$A32)&gt;1,"Duplicate name",""),IF(OR(AND(G32=2,I32=""),AND(J32=2,L32=""),AND(M32=2,O32=""),AND(P32=2,R32="")),"Source missing for a 2",""),IF(F32="","No owner",IF(COUNTIFS(R_TeamName,F32,R_TeamActive,"No")&gt;0,"Needs new owner","")),IF(AND(V32="Yes",X32&lt;&gt;"",X32&lt;S_SemStart),"Path overdue",""),IF(AND(S32&lt;&gt;"",S32&lt;S_Today-365),"Stale research",""),IF(AND(AE32="Research",COUNTIF('Commercial Evidence'!$A$3:$A$502,$A32)=0),"Add commercial evidence","")))</f>
        <v/>
      </c>
      <c r="AI32" s="34" t="str">
        <f aca="false">IF(OR($A32="",Z32="Yes"),"",IF(AND(AE32="Priority",AG32=0,COUNTIFS(Opportunities!$A$3:$A$502,$A32,Opportunities!$Y$3:$Y$502,"Renewal due")=0),600000+(10-AC32)*1000+(4-AD32)*100+ROW()/100000,IF(V32="Yes",700000+IF(X32="",0,X32-40000)/10+ROW()/100000,IF(AND(AE32="Quick Win",U32&lt;&gt;"",AG32=0),800000+(10-AC32)*1000+ROW()/100000,IF(AND(AE32="Build a Path",COUNTIF($V$3:$V$502,"Yes")&lt;S_PathCap),900000+(10-AC32)*1000+(4-AD32)*100+ROW()/100000,"")))))</f>
        <v/>
      </c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8"/>
      <c r="T33" s="27"/>
      <c r="U33" s="27"/>
      <c r="V33" s="27"/>
      <c r="W33" s="27"/>
      <c r="X33" s="28"/>
      <c r="Y33" s="27"/>
      <c r="Z33" s="27"/>
      <c r="AA33" s="27"/>
      <c r="AB33" s="32" t="str">
        <f aca="false">IF($A33="","",IF(COUNTIF('Commercial Evidence'!$A$3:$A$502,$A33)=0,"",IF(COUNTIFS('Commercial Evidence'!$A$3:$A$502,$A33,'Commercial Evidence'!$B$3:$B$502,"Previous CBS Talks spend")+COUNTIFS('Commercial Evidence'!$A$3:$A$502,$A33,'Commercial Evidence'!$B$3:$B$502,"Sponsors student organisations")&gt;0,2,IF(COUNTIFS('Commercial Evidence'!$A$3:$A$502,$A33,'Commercial Evidence'!$B$3:$B$502,"Sponsors university activities")+COUNTIFS('Commercial Evidence'!$A$3:$A$502,$A33,'Commercial Evidence'!$B$3:$B$502,"Sponsors similar events")+COUNTIFS('Commercial Evidence'!$A$3:$A$502,$A33,'Commercial Evidence'!$B$3:$B$502,"Previous CBS Talks partner")&gt;0,1,0))))</f>
        <v/>
      </c>
      <c r="AC33" s="32" t="str">
        <f aca="false">IF($A33="","",IF(COUNT(G33,J33,M33,P33,AB33)&lt;5,"",G33+J33+M33+P33+AB33))</f>
        <v/>
      </c>
      <c r="AD33" s="32" t="str">
        <f aca="false">IF($A33="","",IF(COUNTIFS(Contacts!$A$3:$A$502,$A33,Contacts!$E$3:$E$502,"Champion",Contacts!$K$3:$K$502,"&lt;&gt;Yes",Contacts!$L$3:$L$502,"&lt;&gt;Yes")+COUNTIFS(Opportunities!$A$3:$A$502,$A33,Opportunities!$C$3:$C$502,"Won",Opportunities!$Q$3:$Q$502,"Satisfied")&gt;0,4,IF(COUNTIFS(Interactions!$B$3:$B$502,$A33,Interactions!$I$3:$I$502,"Yes",Interactions!$A$3:$A$502,"&gt;="&amp;(S_Today-S_WarmDays))&gt;0,3,IF(T33&lt;&gt;"",2,IF(COUNTIFS(Contacts!$A$3:$A$502,$A33,Contacts!$M$3:$M$502,"Yes",Contacts!$K$3:$K$502,"&lt;&gt;Yes",Contacts!$L$3:$L$502,"&lt;&gt;Yes")&gt;0,1,0)))))</f>
        <v/>
      </c>
      <c r="AE33" s="32" t="str">
        <f aca="false">IF($A33="","",IF(Z33="Yes","Do not contact",IF(AC33="","Research",IF(AND(AC33&gt;=S_FitHigh,AD33&gt;=S_AccessHigh),"Priority",IF(AC33&gt;=S_FitHigh,"Build a Path",IF(AD33&gt;=S_AccessHigh,"Quick Win","Low Priority"))))))</f>
        <v/>
      </c>
      <c r="AF33" s="33" t="str">
        <f aca="false">IF($A33="","",IF(_xlfn.MAXIFS(Interactions!$A$3:$A$502,Interactions!$B$3:$B$502,$A33)=0,"",_xlfn.MAXIFS(Interactions!$A$3:$A$502,Interactions!$B$3:$B$502,$A33)))</f>
        <v/>
      </c>
      <c r="AG33" s="32" t="str">
        <f aca="false">IF($A33="","",COUNTIFS(Opportunities!$A$3:$A$502,$A33,Opportunities!$X$3:$X$502,"Yes"))</f>
        <v/>
      </c>
      <c r="AH33" s="32" t="str">
        <f aca="false">IF($A33="","",_xlfn.TEXTJOIN(", ",TRUE(),IF(COUNTIF($A$3:$A$502,$A33)&gt;1,"Duplicate name",""),IF(OR(AND(G33=2,I33=""),AND(J33=2,L33=""),AND(M33=2,O33=""),AND(P33=2,R33="")),"Source missing for a 2",""),IF(F33="","No owner",IF(COUNTIFS(R_TeamName,F33,R_TeamActive,"No")&gt;0,"Needs new owner","")),IF(AND(V33="Yes",X33&lt;&gt;"",X33&lt;S_SemStart),"Path overdue",""),IF(AND(S33&lt;&gt;"",S33&lt;S_Today-365),"Stale research",""),IF(AND(AE33="Research",COUNTIF('Commercial Evidence'!$A$3:$A$502,$A33)=0),"Add commercial evidence","")))</f>
        <v/>
      </c>
      <c r="AI33" s="34" t="str">
        <f aca="false">IF(OR($A33="",Z33="Yes"),"",IF(AND(AE33="Priority",AG33=0,COUNTIFS(Opportunities!$A$3:$A$502,$A33,Opportunities!$Y$3:$Y$502,"Renewal due")=0),600000+(10-AC33)*1000+(4-AD33)*100+ROW()/100000,IF(V33="Yes",700000+IF(X33="",0,X33-40000)/10+ROW()/100000,IF(AND(AE33="Quick Win",U33&lt;&gt;"",AG33=0),800000+(10-AC33)*1000+ROW()/100000,IF(AND(AE33="Build a Path",COUNTIF($V$3:$V$502,"Yes")&lt;S_PathCap),900000+(10-AC33)*1000+(4-AD33)*100+ROW()/100000,"")))))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  <c r="T34" s="27"/>
      <c r="U34" s="27"/>
      <c r="V34" s="27"/>
      <c r="W34" s="27"/>
      <c r="X34" s="28"/>
      <c r="Y34" s="27"/>
      <c r="Z34" s="27"/>
      <c r="AA34" s="27"/>
      <c r="AB34" s="32" t="str">
        <f aca="false">IF($A34="","",IF(COUNTIF('Commercial Evidence'!$A$3:$A$502,$A34)=0,"",IF(COUNTIFS('Commercial Evidence'!$A$3:$A$502,$A34,'Commercial Evidence'!$B$3:$B$502,"Previous CBS Talks spend")+COUNTIFS('Commercial Evidence'!$A$3:$A$502,$A34,'Commercial Evidence'!$B$3:$B$502,"Sponsors student organisations")&gt;0,2,IF(COUNTIFS('Commercial Evidence'!$A$3:$A$502,$A34,'Commercial Evidence'!$B$3:$B$502,"Sponsors university activities")+COUNTIFS('Commercial Evidence'!$A$3:$A$502,$A34,'Commercial Evidence'!$B$3:$B$502,"Sponsors similar events")+COUNTIFS('Commercial Evidence'!$A$3:$A$502,$A34,'Commercial Evidence'!$B$3:$B$502,"Previous CBS Talks partner")&gt;0,1,0))))</f>
        <v/>
      </c>
      <c r="AC34" s="32" t="str">
        <f aca="false">IF($A34="","",IF(COUNT(G34,J34,M34,P34,AB34)&lt;5,"",G34+J34+M34+P34+AB34))</f>
        <v/>
      </c>
      <c r="AD34" s="32" t="str">
        <f aca="false">IF($A34="","",IF(COUNTIFS(Contacts!$A$3:$A$502,$A34,Contacts!$E$3:$E$502,"Champion",Contacts!$K$3:$K$502,"&lt;&gt;Yes",Contacts!$L$3:$L$502,"&lt;&gt;Yes")+COUNTIFS(Opportunities!$A$3:$A$502,$A34,Opportunities!$C$3:$C$502,"Won",Opportunities!$Q$3:$Q$502,"Satisfied")&gt;0,4,IF(COUNTIFS(Interactions!$B$3:$B$502,$A34,Interactions!$I$3:$I$502,"Yes",Interactions!$A$3:$A$502,"&gt;="&amp;(S_Today-S_WarmDays))&gt;0,3,IF(T34&lt;&gt;"",2,IF(COUNTIFS(Contacts!$A$3:$A$502,$A34,Contacts!$M$3:$M$502,"Yes",Contacts!$K$3:$K$502,"&lt;&gt;Yes",Contacts!$L$3:$L$502,"&lt;&gt;Yes")&gt;0,1,0)))))</f>
        <v/>
      </c>
      <c r="AE34" s="32" t="str">
        <f aca="false">IF($A34="","",IF(Z34="Yes","Do not contact",IF(AC34="","Research",IF(AND(AC34&gt;=S_FitHigh,AD34&gt;=S_AccessHigh),"Priority",IF(AC34&gt;=S_FitHigh,"Build a Path",IF(AD34&gt;=S_AccessHigh,"Quick Win","Low Priority"))))))</f>
        <v/>
      </c>
      <c r="AF34" s="33" t="str">
        <f aca="false">IF($A34="","",IF(_xlfn.MAXIFS(Interactions!$A$3:$A$502,Interactions!$B$3:$B$502,$A34)=0,"",_xlfn.MAXIFS(Interactions!$A$3:$A$502,Interactions!$B$3:$B$502,$A34)))</f>
        <v/>
      </c>
      <c r="AG34" s="32" t="str">
        <f aca="false">IF($A34="","",COUNTIFS(Opportunities!$A$3:$A$502,$A34,Opportunities!$X$3:$X$502,"Yes"))</f>
        <v/>
      </c>
      <c r="AH34" s="32" t="str">
        <f aca="false">IF($A34="","",_xlfn.TEXTJOIN(", ",TRUE(),IF(COUNTIF($A$3:$A$502,$A34)&gt;1,"Duplicate name",""),IF(OR(AND(G34=2,I34=""),AND(J34=2,L34=""),AND(M34=2,O34=""),AND(P34=2,R34="")),"Source missing for a 2",""),IF(F34="","No owner",IF(COUNTIFS(R_TeamName,F34,R_TeamActive,"No")&gt;0,"Needs new owner","")),IF(AND(V34="Yes",X34&lt;&gt;"",X34&lt;S_SemStart),"Path overdue",""),IF(AND(S34&lt;&gt;"",S34&lt;S_Today-365),"Stale research",""),IF(AND(AE34="Research",COUNTIF('Commercial Evidence'!$A$3:$A$502,$A34)=0),"Add commercial evidence","")))</f>
        <v/>
      </c>
      <c r="AI34" s="34" t="str">
        <f aca="false">IF(OR($A34="",Z34="Yes"),"",IF(AND(AE34="Priority",AG34=0,COUNTIFS(Opportunities!$A$3:$A$502,$A34,Opportunities!$Y$3:$Y$502,"Renewal due")=0),600000+(10-AC34)*1000+(4-AD34)*100+ROW()/100000,IF(V34="Yes",700000+IF(X34="",0,X34-40000)/10+ROW()/100000,IF(AND(AE34="Quick Win",U34&lt;&gt;"",AG34=0),800000+(10-AC34)*1000+ROW()/100000,IF(AND(AE34="Build a Path",COUNTIF($V$3:$V$502,"Yes")&lt;S_PathCap),900000+(10-AC34)*1000+(4-AD34)*100+ROW()/100000,"")))))</f>
        <v/>
      </c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8"/>
      <c r="T35" s="27"/>
      <c r="U35" s="27"/>
      <c r="V35" s="27"/>
      <c r="W35" s="27"/>
      <c r="X35" s="28"/>
      <c r="Y35" s="27"/>
      <c r="Z35" s="27"/>
      <c r="AA35" s="27"/>
      <c r="AB35" s="32" t="str">
        <f aca="false">IF($A35="","",IF(COUNTIF('Commercial Evidence'!$A$3:$A$502,$A35)=0,"",IF(COUNTIFS('Commercial Evidence'!$A$3:$A$502,$A35,'Commercial Evidence'!$B$3:$B$502,"Previous CBS Talks spend")+COUNTIFS('Commercial Evidence'!$A$3:$A$502,$A35,'Commercial Evidence'!$B$3:$B$502,"Sponsors student organisations")&gt;0,2,IF(COUNTIFS('Commercial Evidence'!$A$3:$A$502,$A35,'Commercial Evidence'!$B$3:$B$502,"Sponsors university activities")+COUNTIFS('Commercial Evidence'!$A$3:$A$502,$A35,'Commercial Evidence'!$B$3:$B$502,"Sponsors similar events")+COUNTIFS('Commercial Evidence'!$A$3:$A$502,$A35,'Commercial Evidence'!$B$3:$B$502,"Previous CBS Talks partner")&gt;0,1,0))))</f>
        <v/>
      </c>
      <c r="AC35" s="32" t="str">
        <f aca="false">IF($A35="","",IF(COUNT(G35,J35,M35,P35,AB35)&lt;5,"",G35+J35+M35+P35+AB35))</f>
        <v/>
      </c>
      <c r="AD35" s="32" t="str">
        <f aca="false">IF($A35="","",IF(COUNTIFS(Contacts!$A$3:$A$502,$A35,Contacts!$E$3:$E$502,"Champion",Contacts!$K$3:$K$502,"&lt;&gt;Yes",Contacts!$L$3:$L$502,"&lt;&gt;Yes")+COUNTIFS(Opportunities!$A$3:$A$502,$A35,Opportunities!$C$3:$C$502,"Won",Opportunities!$Q$3:$Q$502,"Satisfied")&gt;0,4,IF(COUNTIFS(Interactions!$B$3:$B$502,$A35,Interactions!$I$3:$I$502,"Yes",Interactions!$A$3:$A$502,"&gt;="&amp;(S_Today-S_WarmDays))&gt;0,3,IF(T35&lt;&gt;"",2,IF(COUNTIFS(Contacts!$A$3:$A$502,$A35,Contacts!$M$3:$M$502,"Yes",Contacts!$K$3:$K$502,"&lt;&gt;Yes",Contacts!$L$3:$L$502,"&lt;&gt;Yes")&gt;0,1,0)))))</f>
        <v/>
      </c>
      <c r="AE35" s="32" t="str">
        <f aca="false">IF($A35="","",IF(Z35="Yes","Do not contact",IF(AC35="","Research",IF(AND(AC35&gt;=S_FitHigh,AD35&gt;=S_AccessHigh),"Priority",IF(AC35&gt;=S_FitHigh,"Build a Path",IF(AD35&gt;=S_AccessHigh,"Quick Win","Low Priority"))))))</f>
        <v/>
      </c>
      <c r="AF35" s="33" t="str">
        <f aca="false">IF($A35="","",IF(_xlfn.MAXIFS(Interactions!$A$3:$A$502,Interactions!$B$3:$B$502,$A35)=0,"",_xlfn.MAXIFS(Interactions!$A$3:$A$502,Interactions!$B$3:$B$502,$A35)))</f>
        <v/>
      </c>
      <c r="AG35" s="32" t="str">
        <f aca="false">IF($A35="","",COUNTIFS(Opportunities!$A$3:$A$502,$A35,Opportunities!$X$3:$X$502,"Yes"))</f>
        <v/>
      </c>
      <c r="AH35" s="32" t="str">
        <f aca="false">IF($A35="","",_xlfn.TEXTJOIN(", ",TRUE(),IF(COUNTIF($A$3:$A$502,$A35)&gt;1,"Duplicate name",""),IF(OR(AND(G35=2,I35=""),AND(J35=2,L35=""),AND(M35=2,O35=""),AND(P35=2,R35="")),"Source missing for a 2",""),IF(F35="","No owner",IF(COUNTIFS(R_TeamName,F35,R_TeamActive,"No")&gt;0,"Needs new owner","")),IF(AND(V35="Yes",X35&lt;&gt;"",X35&lt;S_SemStart),"Path overdue",""),IF(AND(S35&lt;&gt;"",S35&lt;S_Today-365),"Stale research",""),IF(AND(AE35="Research",COUNTIF('Commercial Evidence'!$A$3:$A$502,$A35)=0),"Add commercial evidence","")))</f>
        <v/>
      </c>
      <c r="AI35" s="34" t="str">
        <f aca="false">IF(OR($A35="",Z35="Yes"),"",IF(AND(AE35="Priority",AG35=0,COUNTIFS(Opportunities!$A$3:$A$502,$A35,Opportunities!$Y$3:$Y$502,"Renewal due")=0),600000+(10-AC35)*1000+(4-AD35)*100+ROW()/100000,IF(V35="Yes",700000+IF(X35="",0,X35-40000)/10+ROW()/100000,IF(AND(AE35="Quick Win",U35&lt;&gt;"",AG35=0),800000+(10-AC35)*1000+ROW()/100000,IF(AND(AE35="Build a Path",COUNTIF($V$3:$V$502,"Yes")&lt;S_PathCap),900000+(10-AC35)*1000+(4-AD35)*100+ROW()/100000,"")))))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8"/>
      <c r="T36" s="27"/>
      <c r="U36" s="27"/>
      <c r="V36" s="27"/>
      <c r="W36" s="27"/>
      <c r="X36" s="28"/>
      <c r="Y36" s="27"/>
      <c r="Z36" s="27"/>
      <c r="AA36" s="27"/>
      <c r="AB36" s="32" t="str">
        <f aca="false">IF($A36="","",IF(COUNTIF('Commercial Evidence'!$A$3:$A$502,$A36)=0,"",IF(COUNTIFS('Commercial Evidence'!$A$3:$A$502,$A36,'Commercial Evidence'!$B$3:$B$502,"Previous CBS Talks spend")+COUNTIFS('Commercial Evidence'!$A$3:$A$502,$A36,'Commercial Evidence'!$B$3:$B$502,"Sponsors student organisations")&gt;0,2,IF(COUNTIFS('Commercial Evidence'!$A$3:$A$502,$A36,'Commercial Evidence'!$B$3:$B$502,"Sponsors university activities")+COUNTIFS('Commercial Evidence'!$A$3:$A$502,$A36,'Commercial Evidence'!$B$3:$B$502,"Sponsors similar events")+COUNTIFS('Commercial Evidence'!$A$3:$A$502,$A36,'Commercial Evidence'!$B$3:$B$502,"Previous CBS Talks partner")&gt;0,1,0))))</f>
        <v/>
      </c>
      <c r="AC36" s="32" t="str">
        <f aca="false">IF($A36="","",IF(COUNT(G36,J36,M36,P36,AB36)&lt;5,"",G36+J36+M36+P36+AB36))</f>
        <v/>
      </c>
      <c r="AD36" s="32" t="str">
        <f aca="false">IF($A36="","",IF(COUNTIFS(Contacts!$A$3:$A$502,$A36,Contacts!$E$3:$E$502,"Champion",Contacts!$K$3:$K$502,"&lt;&gt;Yes",Contacts!$L$3:$L$502,"&lt;&gt;Yes")+COUNTIFS(Opportunities!$A$3:$A$502,$A36,Opportunities!$C$3:$C$502,"Won",Opportunities!$Q$3:$Q$502,"Satisfied")&gt;0,4,IF(COUNTIFS(Interactions!$B$3:$B$502,$A36,Interactions!$I$3:$I$502,"Yes",Interactions!$A$3:$A$502,"&gt;="&amp;(S_Today-S_WarmDays))&gt;0,3,IF(T36&lt;&gt;"",2,IF(COUNTIFS(Contacts!$A$3:$A$502,$A36,Contacts!$M$3:$M$502,"Yes",Contacts!$K$3:$K$502,"&lt;&gt;Yes",Contacts!$L$3:$L$502,"&lt;&gt;Yes")&gt;0,1,0)))))</f>
        <v/>
      </c>
      <c r="AE36" s="32" t="str">
        <f aca="false">IF($A36="","",IF(Z36="Yes","Do not contact",IF(AC36="","Research",IF(AND(AC36&gt;=S_FitHigh,AD36&gt;=S_AccessHigh),"Priority",IF(AC36&gt;=S_FitHigh,"Build a Path",IF(AD36&gt;=S_AccessHigh,"Quick Win","Low Priority"))))))</f>
        <v/>
      </c>
      <c r="AF36" s="33" t="str">
        <f aca="false">IF($A36="","",IF(_xlfn.MAXIFS(Interactions!$A$3:$A$502,Interactions!$B$3:$B$502,$A36)=0,"",_xlfn.MAXIFS(Interactions!$A$3:$A$502,Interactions!$B$3:$B$502,$A36)))</f>
        <v/>
      </c>
      <c r="AG36" s="32" t="str">
        <f aca="false">IF($A36="","",COUNTIFS(Opportunities!$A$3:$A$502,$A36,Opportunities!$X$3:$X$502,"Yes"))</f>
        <v/>
      </c>
      <c r="AH36" s="32" t="str">
        <f aca="false">IF($A36="","",_xlfn.TEXTJOIN(", ",TRUE(),IF(COUNTIF($A$3:$A$502,$A36)&gt;1,"Duplicate name",""),IF(OR(AND(G36=2,I36=""),AND(J36=2,L36=""),AND(M36=2,O36=""),AND(P36=2,R36="")),"Source missing for a 2",""),IF(F36="","No owner",IF(COUNTIFS(R_TeamName,F36,R_TeamActive,"No")&gt;0,"Needs new owner","")),IF(AND(V36="Yes",X36&lt;&gt;"",X36&lt;S_SemStart),"Path overdue",""),IF(AND(S36&lt;&gt;"",S36&lt;S_Today-365),"Stale research",""),IF(AND(AE36="Research",COUNTIF('Commercial Evidence'!$A$3:$A$502,$A36)=0),"Add commercial evidence","")))</f>
        <v/>
      </c>
      <c r="AI36" s="34" t="str">
        <f aca="false">IF(OR($A36="",Z36="Yes"),"",IF(AND(AE36="Priority",AG36=0,COUNTIFS(Opportunities!$A$3:$A$502,$A36,Opportunities!$Y$3:$Y$502,"Renewal due")=0),600000+(10-AC36)*1000+(4-AD36)*100+ROW()/100000,IF(V36="Yes",700000+IF(X36="",0,X36-40000)/10+ROW()/100000,IF(AND(AE36="Quick Win",U36&lt;&gt;"",AG36=0),800000+(10-AC36)*1000+ROW()/100000,IF(AND(AE36="Build a Path",COUNTIF($V$3:$V$502,"Yes")&lt;S_PathCap),900000+(10-AC36)*1000+(4-AD36)*100+ROW()/100000,"")))))</f>
        <v/>
      </c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8"/>
      <c r="T37" s="27"/>
      <c r="U37" s="27"/>
      <c r="V37" s="27"/>
      <c r="W37" s="27"/>
      <c r="X37" s="28"/>
      <c r="Y37" s="27"/>
      <c r="Z37" s="27"/>
      <c r="AA37" s="27"/>
      <c r="AB37" s="32" t="str">
        <f aca="false">IF($A37="","",IF(COUNTIF('Commercial Evidence'!$A$3:$A$502,$A37)=0,"",IF(COUNTIFS('Commercial Evidence'!$A$3:$A$502,$A37,'Commercial Evidence'!$B$3:$B$502,"Previous CBS Talks spend")+COUNTIFS('Commercial Evidence'!$A$3:$A$502,$A37,'Commercial Evidence'!$B$3:$B$502,"Sponsors student organisations")&gt;0,2,IF(COUNTIFS('Commercial Evidence'!$A$3:$A$502,$A37,'Commercial Evidence'!$B$3:$B$502,"Sponsors university activities")+COUNTIFS('Commercial Evidence'!$A$3:$A$502,$A37,'Commercial Evidence'!$B$3:$B$502,"Sponsors similar events")+COUNTIFS('Commercial Evidence'!$A$3:$A$502,$A37,'Commercial Evidence'!$B$3:$B$502,"Previous CBS Talks partner")&gt;0,1,0))))</f>
        <v/>
      </c>
      <c r="AC37" s="32" t="str">
        <f aca="false">IF($A37="","",IF(COUNT(G37,J37,M37,P37,AB37)&lt;5,"",G37+J37+M37+P37+AB37))</f>
        <v/>
      </c>
      <c r="AD37" s="32" t="str">
        <f aca="false">IF($A37="","",IF(COUNTIFS(Contacts!$A$3:$A$502,$A37,Contacts!$E$3:$E$502,"Champion",Contacts!$K$3:$K$502,"&lt;&gt;Yes",Contacts!$L$3:$L$502,"&lt;&gt;Yes")+COUNTIFS(Opportunities!$A$3:$A$502,$A37,Opportunities!$C$3:$C$502,"Won",Opportunities!$Q$3:$Q$502,"Satisfied")&gt;0,4,IF(COUNTIFS(Interactions!$B$3:$B$502,$A37,Interactions!$I$3:$I$502,"Yes",Interactions!$A$3:$A$502,"&gt;="&amp;(S_Today-S_WarmDays))&gt;0,3,IF(T37&lt;&gt;"",2,IF(COUNTIFS(Contacts!$A$3:$A$502,$A37,Contacts!$M$3:$M$502,"Yes",Contacts!$K$3:$K$502,"&lt;&gt;Yes",Contacts!$L$3:$L$502,"&lt;&gt;Yes")&gt;0,1,0)))))</f>
        <v/>
      </c>
      <c r="AE37" s="32" t="str">
        <f aca="false">IF($A37="","",IF(Z37="Yes","Do not contact",IF(AC37="","Research",IF(AND(AC37&gt;=S_FitHigh,AD37&gt;=S_AccessHigh),"Priority",IF(AC37&gt;=S_FitHigh,"Build a Path",IF(AD37&gt;=S_AccessHigh,"Quick Win","Low Priority"))))))</f>
        <v/>
      </c>
      <c r="AF37" s="33" t="str">
        <f aca="false">IF($A37="","",IF(_xlfn.MAXIFS(Interactions!$A$3:$A$502,Interactions!$B$3:$B$502,$A37)=0,"",_xlfn.MAXIFS(Interactions!$A$3:$A$502,Interactions!$B$3:$B$502,$A37)))</f>
        <v/>
      </c>
      <c r="AG37" s="32" t="str">
        <f aca="false">IF($A37="","",COUNTIFS(Opportunities!$A$3:$A$502,$A37,Opportunities!$X$3:$X$502,"Yes"))</f>
        <v/>
      </c>
      <c r="AH37" s="32" t="str">
        <f aca="false">IF($A37="","",_xlfn.TEXTJOIN(", ",TRUE(),IF(COUNTIF($A$3:$A$502,$A37)&gt;1,"Duplicate name",""),IF(OR(AND(G37=2,I37=""),AND(J37=2,L37=""),AND(M37=2,O37=""),AND(P37=2,R37="")),"Source missing for a 2",""),IF(F37="","No owner",IF(COUNTIFS(R_TeamName,F37,R_TeamActive,"No")&gt;0,"Needs new owner","")),IF(AND(V37="Yes",X37&lt;&gt;"",X37&lt;S_SemStart),"Path overdue",""),IF(AND(S37&lt;&gt;"",S37&lt;S_Today-365),"Stale research",""),IF(AND(AE37="Research",COUNTIF('Commercial Evidence'!$A$3:$A$502,$A37)=0),"Add commercial evidence","")))</f>
        <v/>
      </c>
      <c r="AI37" s="34" t="str">
        <f aca="false">IF(OR($A37="",Z37="Yes"),"",IF(AND(AE37="Priority",AG37=0,COUNTIFS(Opportunities!$A$3:$A$502,$A37,Opportunities!$Y$3:$Y$502,"Renewal due")=0),600000+(10-AC37)*1000+(4-AD37)*100+ROW()/100000,IF(V37="Yes",700000+IF(X37="",0,X37-40000)/10+ROW()/100000,IF(AND(AE37="Quick Win",U37&lt;&gt;"",AG37=0),800000+(10-AC37)*1000+ROW()/100000,IF(AND(AE37="Build a Path",COUNTIF($V$3:$V$502,"Yes")&lt;S_PathCap),900000+(10-AC37)*1000+(4-AD37)*100+ROW()/100000,"")))))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8"/>
      <c r="T38" s="27"/>
      <c r="U38" s="27"/>
      <c r="V38" s="27"/>
      <c r="W38" s="27"/>
      <c r="X38" s="28"/>
      <c r="Y38" s="27"/>
      <c r="Z38" s="27"/>
      <c r="AA38" s="27"/>
      <c r="AB38" s="32" t="str">
        <f aca="false">IF($A38="","",IF(COUNTIF('Commercial Evidence'!$A$3:$A$502,$A38)=0,"",IF(COUNTIFS('Commercial Evidence'!$A$3:$A$502,$A38,'Commercial Evidence'!$B$3:$B$502,"Previous CBS Talks spend")+COUNTIFS('Commercial Evidence'!$A$3:$A$502,$A38,'Commercial Evidence'!$B$3:$B$502,"Sponsors student organisations")&gt;0,2,IF(COUNTIFS('Commercial Evidence'!$A$3:$A$502,$A38,'Commercial Evidence'!$B$3:$B$502,"Sponsors university activities")+COUNTIFS('Commercial Evidence'!$A$3:$A$502,$A38,'Commercial Evidence'!$B$3:$B$502,"Sponsors similar events")+COUNTIFS('Commercial Evidence'!$A$3:$A$502,$A38,'Commercial Evidence'!$B$3:$B$502,"Previous CBS Talks partner")&gt;0,1,0))))</f>
        <v/>
      </c>
      <c r="AC38" s="32" t="str">
        <f aca="false">IF($A38="","",IF(COUNT(G38,J38,M38,P38,AB38)&lt;5,"",G38+J38+M38+P38+AB38))</f>
        <v/>
      </c>
      <c r="AD38" s="32" t="str">
        <f aca="false">IF($A38="","",IF(COUNTIFS(Contacts!$A$3:$A$502,$A38,Contacts!$E$3:$E$502,"Champion",Contacts!$K$3:$K$502,"&lt;&gt;Yes",Contacts!$L$3:$L$502,"&lt;&gt;Yes")+COUNTIFS(Opportunities!$A$3:$A$502,$A38,Opportunities!$C$3:$C$502,"Won",Opportunities!$Q$3:$Q$502,"Satisfied")&gt;0,4,IF(COUNTIFS(Interactions!$B$3:$B$502,$A38,Interactions!$I$3:$I$502,"Yes",Interactions!$A$3:$A$502,"&gt;="&amp;(S_Today-S_WarmDays))&gt;0,3,IF(T38&lt;&gt;"",2,IF(COUNTIFS(Contacts!$A$3:$A$502,$A38,Contacts!$M$3:$M$502,"Yes",Contacts!$K$3:$K$502,"&lt;&gt;Yes",Contacts!$L$3:$L$502,"&lt;&gt;Yes")&gt;0,1,0)))))</f>
        <v/>
      </c>
      <c r="AE38" s="32" t="str">
        <f aca="false">IF($A38="","",IF(Z38="Yes","Do not contact",IF(AC38="","Research",IF(AND(AC38&gt;=S_FitHigh,AD38&gt;=S_AccessHigh),"Priority",IF(AC38&gt;=S_FitHigh,"Build a Path",IF(AD38&gt;=S_AccessHigh,"Quick Win","Low Priority"))))))</f>
        <v/>
      </c>
      <c r="AF38" s="33" t="str">
        <f aca="false">IF($A38="","",IF(_xlfn.MAXIFS(Interactions!$A$3:$A$502,Interactions!$B$3:$B$502,$A38)=0,"",_xlfn.MAXIFS(Interactions!$A$3:$A$502,Interactions!$B$3:$B$502,$A38)))</f>
        <v/>
      </c>
      <c r="AG38" s="32" t="str">
        <f aca="false">IF($A38="","",COUNTIFS(Opportunities!$A$3:$A$502,$A38,Opportunities!$X$3:$X$502,"Yes"))</f>
        <v/>
      </c>
      <c r="AH38" s="32" t="str">
        <f aca="false">IF($A38="","",_xlfn.TEXTJOIN(", ",TRUE(),IF(COUNTIF($A$3:$A$502,$A38)&gt;1,"Duplicate name",""),IF(OR(AND(G38=2,I38=""),AND(J38=2,L38=""),AND(M38=2,O38=""),AND(P38=2,R38="")),"Source missing for a 2",""),IF(F38="","No owner",IF(COUNTIFS(R_TeamName,F38,R_TeamActive,"No")&gt;0,"Needs new owner","")),IF(AND(V38="Yes",X38&lt;&gt;"",X38&lt;S_SemStart),"Path overdue",""),IF(AND(S38&lt;&gt;"",S38&lt;S_Today-365),"Stale research",""),IF(AND(AE38="Research",COUNTIF('Commercial Evidence'!$A$3:$A$502,$A38)=0),"Add commercial evidence","")))</f>
        <v/>
      </c>
      <c r="AI38" s="34" t="str">
        <f aca="false">IF(OR($A38="",Z38="Yes"),"",IF(AND(AE38="Priority",AG38=0,COUNTIFS(Opportunities!$A$3:$A$502,$A38,Opportunities!$Y$3:$Y$502,"Renewal due")=0),600000+(10-AC38)*1000+(4-AD38)*100+ROW()/100000,IF(V38="Yes",700000+IF(X38="",0,X38-40000)/10+ROW()/100000,IF(AND(AE38="Quick Win",U38&lt;&gt;"",AG38=0),800000+(10-AC38)*1000+ROW()/100000,IF(AND(AE38="Build a Path",COUNTIF($V$3:$V$502,"Yes")&lt;S_PathCap),900000+(10-AC38)*1000+(4-AD38)*100+ROW()/100000,"")))))</f>
        <v/>
      </c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8"/>
      <c r="T39" s="27"/>
      <c r="U39" s="27"/>
      <c r="V39" s="27"/>
      <c r="W39" s="27"/>
      <c r="X39" s="28"/>
      <c r="Y39" s="27"/>
      <c r="Z39" s="27"/>
      <c r="AA39" s="27"/>
      <c r="AB39" s="32" t="str">
        <f aca="false">IF($A39="","",IF(COUNTIF('Commercial Evidence'!$A$3:$A$502,$A39)=0,"",IF(COUNTIFS('Commercial Evidence'!$A$3:$A$502,$A39,'Commercial Evidence'!$B$3:$B$502,"Previous CBS Talks spend")+COUNTIFS('Commercial Evidence'!$A$3:$A$502,$A39,'Commercial Evidence'!$B$3:$B$502,"Sponsors student organisations")&gt;0,2,IF(COUNTIFS('Commercial Evidence'!$A$3:$A$502,$A39,'Commercial Evidence'!$B$3:$B$502,"Sponsors university activities")+COUNTIFS('Commercial Evidence'!$A$3:$A$502,$A39,'Commercial Evidence'!$B$3:$B$502,"Sponsors similar events")+COUNTIFS('Commercial Evidence'!$A$3:$A$502,$A39,'Commercial Evidence'!$B$3:$B$502,"Previous CBS Talks partner")&gt;0,1,0))))</f>
        <v/>
      </c>
      <c r="AC39" s="32" t="str">
        <f aca="false">IF($A39="","",IF(COUNT(G39,J39,M39,P39,AB39)&lt;5,"",G39+J39+M39+P39+AB39))</f>
        <v/>
      </c>
      <c r="AD39" s="32" t="str">
        <f aca="false">IF($A39="","",IF(COUNTIFS(Contacts!$A$3:$A$502,$A39,Contacts!$E$3:$E$502,"Champion",Contacts!$K$3:$K$502,"&lt;&gt;Yes",Contacts!$L$3:$L$502,"&lt;&gt;Yes")+COUNTIFS(Opportunities!$A$3:$A$502,$A39,Opportunities!$C$3:$C$502,"Won",Opportunities!$Q$3:$Q$502,"Satisfied")&gt;0,4,IF(COUNTIFS(Interactions!$B$3:$B$502,$A39,Interactions!$I$3:$I$502,"Yes",Interactions!$A$3:$A$502,"&gt;="&amp;(S_Today-S_WarmDays))&gt;0,3,IF(T39&lt;&gt;"",2,IF(COUNTIFS(Contacts!$A$3:$A$502,$A39,Contacts!$M$3:$M$502,"Yes",Contacts!$K$3:$K$502,"&lt;&gt;Yes",Contacts!$L$3:$L$502,"&lt;&gt;Yes")&gt;0,1,0)))))</f>
        <v/>
      </c>
      <c r="AE39" s="32" t="str">
        <f aca="false">IF($A39="","",IF(Z39="Yes","Do not contact",IF(AC39="","Research",IF(AND(AC39&gt;=S_FitHigh,AD39&gt;=S_AccessHigh),"Priority",IF(AC39&gt;=S_FitHigh,"Build a Path",IF(AD39&gt;=S_AccessHigh,"Quick Win","Low Priority"))))))</f>
        <v/>
      </c>
      <c r="AF39" s="33" t="str">
        <f aca="false">IF($A39="","",IF(_xlfn.MAXIFS(Interactions!$A$3:$A$502,Interactions!$B$3:$B$502,$A39)=0,"",_xlfn.MAXIFS(Interactions!$A$3:$A$502,Interactions!$B$3:$B$502,$A39)))</f>
        <v/>
      </c>
      <c r="AG39" s="32" t="str">
        <f aca="false">IF($A39="","",COUNTIFS(Opportunities!$A$3:$A$502,$A39,Opportunities!$X$3:$X$502,"Yes"))</f>
        <v/>
      </c>
      <c r="AH39" s="32" t="str">
        <f aca="false">IF($A39="","",_xlfn.TEXTJOIN(", ",TRUE(),IF(COUNTIF($A$3:$A$502,$A39)&gt;1,"Duplicate name",""),IF(OR(AND(G39=2,I39=""),AND(J39=2,L39=""),AND(M39=2,O39=""),AND(P39=2,R39="")),"Source missing for a 2",""),IF(F39="","No owner",IF(COUNTIFS(R_TeamName,F39,R_TeamActive,"No")&gt;0,"Needs new owner","")),IF(AND(V39="Yes",X39&lt;&gt;"",X39&lt;S_SemStart),"Path overdue",""),IF(AND(S39&lt;&gt;"",S39&lt;S_Today-365),"Stale research",""),IF(AND(AE39="Research",COUNTIF('Commercial Evidence'!$A$3:$A$502,$A39)=0),"Add commercial evidence","")))</f>
        <v/>
      </c>
      <c r="AI39" s="34" t="str">
        <f aca="false">IF(OR($A39="",Z39="Yes"),"",IF(AND(AE39="Priority",AG39=0,COUNTIFS(Opportunities!$A$3:$A$502,$A39,Opportunities!$Y$3:$Y$502,"Renewal due")=0),600000+(10-AC39)*1000+(4-AD39)*100+ROW()/100000,IF(V39="Yes",700000+IF(X39="",0,X39-40000)/10+ROW()/100000,IF(AND(AE39="Quick Win",U39&lt;&gt;"",AG39=0),800000+(10-AC39)*1000+ROW()/100000,IF(AND(AE39="Build a Path",COUNTIF($V$3:$V$502,"Yes")&lt;S_PathCap),900000+(10-AC39)*1000+(4-AD39)*100+ROW()/100000,"")))))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8"/>
      <c r="T40" s="27"/>
      <c r="U40" s="27"/>
      <c r="V40" s="27"/>
      <c r="W40" s="27"/>
      <c r="X40" s="28"/>
      <c r="Y40" s="27"/>
      <c r="Z40" s="27"/>
      <c r="AA40" s="27"/>
      <c r="AB40" s="32" t="str">
        <f aca="false">IF($A40="","",IF(COUNTIF('Commercial Evidence'!$A$3:$A$502,$A40)=0,"",IF(COUNTIFS('Commercial Evidence'!$A$3:$A$502,$A40,'Commercial Evidence'!$B$3:$B$502,"Previous CBS Talks spend")+COUNTIFS('Commercial Evidence'!$A$3:$A$502,$A40,'Commercial Evidence'!$B$3:$B$502,"Sponsors student organisations")&gt;0,2,IF(COUNTIFS('Commercial Evidence'!$A$3:$A$502,$A40,'Commercial Evidence'!$B$3:$B$502,"Sponsors university activities")+COUNTIFS('Commercial Evidence'!$A$3:$A$502,$A40,'Commercial Evidence'!$B$3:$B$502,"Sponsors similar events")+COUNTIFS('Commercial Evidence'!$A$3:$A$502,$A40,'Commercial Evidence'!$B$3:$B$502,"Previous CBS Talks partner")&gt;0,1,0))))</f>
        <v/>
      </c>
      <c r="AC40" s="32" t="str">
        <f aca="false">IF($A40="","",IF(COUNT(G40,J40,M40,P40,AB40)&lt;5,"",G40+J40+M40+P40+AB40))</f>
        <v/>
      </c>
      <c r="AD40" s="32" t="str">
        <f aca="false">IF($A40="","",IF(COUNTIFS(Contacts!$A$3:$A$502,$A40,Contacts!$E$3:$E$502,"Champion",Contacts!$K$3:$K$502,"&lt;&gt;Yes",Contacts!$L$3:$L$502,"&lt;&gt;Yes")+COUNTIFS(Opportunities!$A$3:$A$502,$A40,Opportunities!$C$3:$C$502,"Won",Opportunities!$Q$3:$Q$502,"Satisfied")&gt;0,4,IF(COUNTIFS(Interactions!$B$3:$B$502,$A40,Interactions!$I$3:$I$502,"Yes",Interactions!$A$3:$A$502,"&gt;="&amp;(S_Today-S_WarmDays))&gt;0,3,IF(T40&lt;&gt;"",2,IF(COUNTIFS(Contacts!$A$3:$A$502,$A40,Contacts!$M$3:$M$502,"Yes",Contacts!$K$3:$K$502,"&lt;&gt;Yes",Contacts!$L$3:$L$502,"&lt;&gt;Yes")&gt;0,1,0)))))</f>
        <v/>
      </c>
      <c r="AE40" s="32" t="str">
        <f aca="false">IF($A40="","",IF(Z40="Yes","Do not contact",IF(AC40="","Research",IF(AND(AC40&gt;=S_FitHigh,AD40&gt;=S_AccessHigh),"Priority",IF(AC40&gt;=S_FitHigh,"Build a Path",IF(AD40&gt;=S_AccessHigh,"Quick Win","Low Priority"))))))</f>
        <v/>
      </c>
      <c r="AF40" s="33" t="str">
        <f aca="false">IF($A40="","",IF(_xlfn.MAXIFS(Interactions!$A$3:$A$502,Interactions!$B$3:$B$502,$A40)=0,"",_xlfn.MAXIFS(Interactions!$A$3:$A$502,Interactions!$B$3:$B$502,$A40)))</f>
        <v/>
      </c>
      <c r="AG40" s="32" t="str">
        <f aca="false">IF($A40="","",COUNTIFS(Opportunities!$A$3:$A$502,$A40,Opportunities!$X$3:$X$502,"Yes"))</f>
        <v/>
      </c>
      <c r="AH40" s="32" t="str">
        <f aca="false">IF($A40="","",_xlfn.TEXTJOIN(", ",TRUE(),IF(COUNTIF($A$3:$A$502,$A40)&gt;1,"Duplicate name",""),IF(OR(AND(G40=2,I40=""),AND(J40=2,L40=""),AND(M40=2,O40=""),AND(P40=2,R40="")),"Source missing for a 2",""),IF(F40="","No owner",IF(COUNTIFS(R_TeamName,F40,R_TeamActive,"No")&gt;0,"Needs new owner","")),IF(AND(V40="Yes",X40&lt;&gt;"",X40&lt;S_SemStart),"Path overdue",""),IF(AND(S40&lt;&gt;"",S40&lt;S_Today-365),"Stale research",""),IF(AND(AE40="Research",COUNTIF('Commercial Evidence'!$A$3:$A$502,$A40)=0),"Add commercial evidence","")))</f>
        <v/>
      </c>
      <c r="AI40" s="34" t="str">
        <f aca="false">IF(OR($A40="",Z40="Yes"),"",IF(AND(AE40="Priority",AG40=0,COUNTIFS(Opportunities!$A$3:$A$502,$A40,Opportunities!$Y$3:$Y$502,"Renewal due")=0),600000+(10-AC40)*1000+(4-AD40)*100+ROW()/100000,IF(V40="Yes",700000+IF(X40="",0,X40-40000)/10+ROW()/100000,IF(AND(AE40="Quick Win",U40&lt;&gt;"",AG40=0),800000+(10-AC40)*1000+ROW()/100000,IF(AND(AE40="Build a Path",COUNTIF($V$3:$V$502,"Yes")&lt;S_PathCap),900000+(10-AC40)*1000+(4-AD40)*100+ROW()/100000,"")))))</f>
        <v/>
      </c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8"/>
      <c r="T41" s="27"/>
      <c r="U41" s="27"/>
      <c r="V41" s="27"/>
      <c r="W41" s="27"/>
      <c r="X41" s="28"/>
      <c r="Y41" s="27"/>
      <c r="Z41" s="27"/>
      <c r="AA41" s="27"/>
      <c r="AB41" s="32" t="str">
        <f aca="false">IF($A41="","",IF(COUNTIF('Commercial Evidence'!$A$3:$A$502,$A41)=0,"",IF(COUNTIFS('Commercial Evidence'!$A$3:$A$502,$A41,'Commercial Evidence'!$B$3:$B$502,"Previous CBS Talks spend")+COUNTIFS('Commercial Evidence'!$A$3:$A$502,$A41,'Commercial Evidence'!$B$3:$B$502,"Sponsors student organisations")&gt;0,2,IF(COUNTIFS('Commercial Evidence'!$A$3:$A$502,$A41,'Commercial Evidence'!$B$3:$B$502,"Sponsors university activities")+COUNTIFS('Commercial Evidence'!$A$3:$A$502,$A41,'Commercial Evidence'!$B$3:$B$502,"Sponsors similar events")+COUNTIFS('Commercial Evidence'!$A$3:$A$502,$A41,'Commercial Evidence'!$B$3:$B$502,"Previous CBS Talks partner")&gt;0,1,0))))</f>
        <v/>
      </c>
      <c r="AC41" s="32" t="str">
        <f aca="false">IF($A41="","",IF(COUNT(G41,J41,M41,P41,AB41)&lt;5,"",G41+J41+M41+P41+AB41))</f>
        <v/>
      </c>
      <c r="AD41" s="32" t="str">
        <f aca="false">IF($A41="","",IF(COUNTIFS(Contacts!$A$3:$A$502,$A41,Contacts!$E$3:$E$502,"Champion",Contacts!$K$3:$K$502,"&lt;&gt;Yes",Contacts!$L$3:$L$502,"&lt;&gt;Yes")+COUNTIFS(Opportunities!$A$3:$A$502,$A41,Opportunities!$C$3:$C$502,"Won",Opportunities!$Q$3:$Q$502,"Satisfied")&gt;0,4,IF(COUNTIFS(Interactions!$B$3:$B$502,$A41,Interactions!$I$3:$I$502,"Yes",Interactions!$A$3:$A$502,"&gt;="&amp;(S_Today-S_WarmDays))&gt;0,3,IF(T41&lt;&gt;"",2,IF(COUNTIFS(Contacts!$A$3:$A$502,$A41,Contacts!$M$3:$M$502,"Yes",Contacts!$K$3:$K$502,"&lt;&gt;Yes",Contacts!$L$3:$L$502,"&lt;&gt;Yes")&gt;0,1,0)))))</f>
        <v/>
      </c>
      <c r="AE41" s="32" t="str">
        <f aca="false">IF($A41="","",IF(Z41="Yes","Do not contact",IF(AC41="","Research",IF(AND(AC41&gt;=S_FitHigh,AD41&gt;=S_AccessHigh),"Priority",IF(AC41&gt;=S_FitHigh,"Build a Path",IF(AD41&gt;=S_AccessHigh,"Quick Win","Low Priority"))))))</f>
        <v/>
      </c>
      <c r="AF41" s="33" t="str">
        <f aca="false">IF($A41="","",IF(_xlfn.MAXIFS(Interactions!$A$3:$A$502,Interactions!$B$3:$B$502,$A41)=0,"",_xlfn.MAXIFS(Interactions!$A$3:$A$502,Interactions!$B$3:$B$502,$A41)))</f>
        <v/>
      </c>
      <c r="AG41" s="32" t="str">
        <f aca="false">IF($A41="","",COUNTIFS(Opportunities!$A$3:$A$502,$A41,Opportunities!$X$3:$X$502,"Yes"))</f>
        <v/>
      </c>
      <c r="AH41" s="32" t="str">
        <f aca="false">IF($A41="","",_xlfn.TEXTJOIN(", ",TRUE(),IF(COUNTIF($A$3:$A$502,$A41)&gt;1,"Duplicate name",""),IF(OR(AND(G41=2,I41=""),AND(J41=2,L41=""),AND(M41=2,O41=""),AND(P41=2,R41="")),"Source missing for a 2",""),IF(F41="","No owner",IF(COUNTIFS(R_TeamName,F41,R_TeamActive,"No")&gt;0,"Needs new owner","")),IF(AND(V41="Yes",X41&lt;&gt;"",X41&lt;S_SemStart),"Path overdue",""),IF(AND(S41&lt;&gt;"",S41&lt;S_Today-365),"Stale research",""),IF(AND(AE41="Research",COUNTIF('Commercial Evidence'!$A$3:$A$502,$A41)=0),"Add commercial evidence","")))</f>
        <v/>
      </c>
      <c r="AI41" s="34" t="str">
        <f aca="false">IF(OR($A41="",Z41="Yes"),"",IF(AND(AE41="Priority",AG41=0,COUNTIFS(Opportunities!$A$3:$A$502,$A41,Opportunities!$Y$3:$Y$502,"Renewal due")=0),600000+(10-AC41)*1000+(4-AD41)*100+ROW()/100000,IF(V41="Yes",700000+IF(X41="",0,X41-40000)/10+ROW()/100000,IF(AND(AE41="Quick Win",U41&lt;&gt;"",AG41=0),800000+(10-AC41)*1000+ROW()/100000,IF(AND(AE41="Build a Path",COUNTIF($V$3:$V$502,"Yes")&lt;S_PathCap),900000+(10-AC41)*1000+(4-AD41)*100+ROW()/100000,"")))))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8"/>
      <c r="T42" s="27"/>
      <c r="U42" s="27"/>
      <c r="V42" s="27"/>
      <c r="W42" s="27"/>
      <c r="X42" s="28"/>
      <c r="Y42" s="27"/>
      <c r="Z42" s="27"/>
      <c r="AA42" s="27"/>
      <c r="AB42" s="32" t="str">
        <f aca="false">IF($A42="","",IF(COUNTIF('Commercial Evidence'!$A$3:$A$502,$A42)=0,"",IF(COUNTIFS('Commercial Evidence'!$A$3:$A$502,$A42,'Commercial Evidence'!$B$3:$B$502,"Previous CBS Talks spend")+COUNTIFS('Commercial Evidence'!$A$3:$A$502,$A42,'Commercial Evidence'!$B$3:$B$502,"Sponsors student organisations")&gt;0,2,IF(COUNTIFS('Commercial Evidence'!$A$3:$A$502,$A42,'Commercial Evidence'!$B$3:$B$502,"Sponsors university activities")+COUNTIFS('Commercial Evidence'!$A$3:$A$502,$A42,'Commercial Evidence'!$B$3:$B$502,"Sponsors similar events")+COUNTIFS('Commercial Evidence'!$A$3:$A$502,$A42,'Commercial Evidence'!$B$3:$B$502,"Previous CBS Talks partner")&gt;0,1,0))))</f>
        <v/>
      </c>
      <c r="AC42" s="32" t="str">
        <f aca="false">IF($A42="","",IF(COUNT(G42,J42,M42,P42,AB42)&lt;5,"",G42+J42+M42+P42+AB42))</f>
        <v/>
      </c>
      <c r="AD42" s="32" t="str">
        <f aca="false">IF($A42="","",IF(COUNTIFS(Contacts!$A$3:$A$502,$A42,Contacts!$E$3:$E$502,"Champion",Contacts!$K$3:$K$502,"&lt;&gt;Yes",Contacts!$L$3:$L$502,"&lt;&gt;Yes")+COUNTIFS(Opportunities!$A$3:$A$502,$A42,Opportunities!$C$3:$C$502,"Won",Opportunities!$Q$3:$Q$502,"Satisfied")&gt;0,4,IF(COUNTIFS(Interactions!$B$3:$B$502,$A42,Interactions!$I$3:$I$502,"Yes",Interactions!$A$3:$A$502,"&gt;="&amp;(S_Today-S_WarmDays))&gt;0,3,IF(T42&lt;&gt;"",2,IF(COUNTIFS(Contacts!$A$3:$A$502,$A42,Contacts!$M$3:$M$502,"Yes",Contacts!$K$3:$K$502,"&lt;&gt;Yes",Contacts!$L$3:$L$502,"&lt;&gt;Yes")&gt;0,1,0)))))</f>
        <v/>
      </c>
      <c r="AE42" s="32" t="str">
        <f aca="false">IF($A42="","",IF(Z42="Yes","Do not contact",IF(AC42="","Research",IF(AND(AC42&gt;=S_FitHigh,AD42&gt;=S_AccessHigh),"Priority",IF(AC42&gt;=S_FitHigh,"Build a Path",IF(AD42&gt;=S_AccessHigh,"Quick Win","Low Priority"))))))</f>
        <v/>
      </c>
      <c r="AF42" s="33" t="str">
        <f aca="false">IF($A42="","",IF(_xlfn.MAXIFS(Interactions!$A$3:$A$502,Interactions!$B$3:$B$502,$A42)=0,"",_xlfn.MAXIFS(Interactions!$A$3:$A$502,Interactions!$B$3:$B$502,$A42)))</f>
        <v/>
      </c>
      <c r="AG42" s="32" t="str">
        <f aca="false">IF($A42="","",COUNTIFS(Opportunities!$A$3:$A$502,$A42,Opportunities!$X$3:$X$502,"Yes"))</f>
        <v/>
      </c>
      <c r="AH42" s="32" t="str">
        <f aca="false">IF($A42="","",_xlfn.TEXTJOIN(", ",TRUE(),IF(COUNTIF($A$3:$A$502,$A42)&gt;1,"Duplicate name",""),IF(OR(AND(G42=2,I42=""),AND(J42=2,L42=""),AND(M42=2,O42=""),AND(P42=2,R42="")),"Source missing for a 2",""),IF(F42="","No owner",IF(COUNTIFS(R_TeamName,F42,R_TeamActive,"No")&gt;0,"Needs new owner","")),IF(AND(V42="Yes",X42&lt;&gt;"",X42&lt;S_SemStart),"Path overdue",""),IF(AND(S42&lt;&gt;"",S42&lt;S_Today-365),"Stale research",""),IF(AND(AE42="Research",COUNTIF('Commercial Evidence'!$A$3:$A$502,$A42)=0),"Add commercial evidence","")))</f>
        <v/>
      </c>
      <c r="AI42" s="34" t="str">
        <f aca="false">IF(OR($A42="",Z42="Yes"),"",IF(AND(AE42="Priority",AG42=0,COUNTIFS(Opportunities!$A$3:$A$502,$A42,Opportunities!$Y$3:$Y$502,"Renewal due")=0),600000+(10-AC42)*1000+(4-AD42)*100+ROW()/100000,IF(V42="Yes",700000+IF(X42="",0,X42-40000)/10+ROW()/100000,IF(AND(AE42="Quick Win",U42&lt;&gt;"",AG42=0),800000+(10-AC42)*1000+ROW()/100000,IF(AND(AE42="Build a Path",COUNTIF($V$3:$V$502,"Yes")&lt;S_PathCap),900000+(10-AC42)*1000+(4-AD42)*100+ROW()/100000,"")))))</f>
        <v/>
      </c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8"/>
      <c r="T43" s="27"/>
      <c r="U43" s="27"/>
      <c r="V43" s="27"/>
      <c r="W43" s="27"/>
      <c r="X43" s="28"/>
      <c r="Y43" s="27"/>
      <c r="Z43" s="27"/>
      <c r="AA43" s="27"/>
      <c r="AB43" s="32" t="str">
        <f aca="false">IF($A43="","",IF(COUNTIF('Commercial Evidence'!$A$3:$A$502,$A43)=0,"",IF(COUNTIFS('Commercial Evidence'!$A$3:$A$502,$A43,'Commercial Evidence'!$B$3:$B$502,"Previous CBS Talks spend")+COUNTIFS('Commercial Evidence'!$A$3:$A$502,$A43,'Commercial Evidence'!$B$3:$B$502,"Sponsors student organisations")&gt;0,2,IF(COUNTIFS('Commercial Evidence'!$A$3:$A$502,$A43,'Commercial Evidence'!$B$3:$B$502,"Sponsors university activities")+COUNTIFS('Commercial Evidence'!$A$3:$A$502,$A43,'Commercial Evidence'!$B$3:$B$502,"Sponsors similar events")+COUNTIFS('Commercial Evidence'!$A$3:$A$502,$A43,'Commercial Evidence'!$B$3:$B$502,"Previous CBS Talks partner")&gt;0,1,0))))</f>
        <v/>
      </c>
      <c r="AC43" s="32" t="str">
        <f aca="false">IF($A43="","",IF(COUNT(G43,J43,M43,P43,AB43)&lt;5,"",G43+J43+M43+P43+AB43))</f>
        <v/>
      </c>
      <c r="AD43" s="32" t="str">
        <f aca="false">IF($A43="","",IF(COUNTIFS(Contacts!$A$3:$A$502,$A43,Contacts!$E$3:$E$502,"Champion",Contacts!$K$3:$K$502,"&lt;&gt;Yes",Contacts!$L$3:$L$502,"&lt;&gt;Yes")+COUNTIFS(Opportunities!$A$3:$A$502,$A43,Opportunities!$C$3:$C$502,"Won",Opportunities!$Q$3:$Q$502,"Satisfied")&gt;0,4,IF(COUNTIFS(Interactions!$B$3:$B$502,$A43,Interactions!$I$3:$I$502,"Yes",Interactions!$A$3:$A$502,"&gt;="&amp;(S_Today-S_WarmDays))&gt;0,3,IF(T43&lt;&gt;"",2,IF(COUNTIFS(Contacts!$A$3:$A$502,$A43,Contacts!$M$3:$M$502,"Yes",Contacts!$K$3:$K$502,"&lt;&gt;Yes",Contacts!$L$3:$L$502,"&lt;&gt;Yes")&gt;0,1,0)))))</f>
        <v/>
      </c>
      <c r="AE43" s="32" t="str">
        <f aca="false">IF($A43="","",IF(Z43="Yes","Do not contact",IF(AC43="","Research",IF(AND(AC43&gt;=S_FitHigh,AD43&gt;=S_AccessHigh),"Priority",IF(AC43&gt;=S_FitHigh,"Build a Path",IF(AD43&gt;=S_AccessHigh,"Quick Win","Low Priority"))))))</f>
        <v/>
      </c>
      <c r="AF43" s="33" t="str">
        <f aca="false">IF($A43="","",IF(_xlfn.MAXIFS(Interactions!$A$3:$A$502,Interactions!$B$3:$B$502,$A43)=0,"",_xlfn.MAXIFS(Interactions!$A$3:$A$502,Interactions!$B$3:$B$502,$A43)))</f>
        <v/>
      </c>
      <c r="AG43" s="32" t="str">
        <f aca="false">IF($A43="","",COUNTIFS(Opportunities!$A$3:$A$502,$A43,Opportunities!$X$3:$X$502,"Yes"))</f>
        <v/>
      </c>
      <c r="AH43" s="32" t="str">
        <f aca="false">IF($A43="","",_xlfn.TEXTJOIN(", ",TRUE(),IF(COUNTIF($A$3:$A$502,$A43)&gt;1,"Duplicate name",""),IF(OR(AND(G43=2,I43=""),AND(J43=2,L43=""),AND(M43=2,O43=""),AND(P43=2,R43="")),"Source missing for a 2",""),IF(F43="","No owner",IF(COUNTIFS(R_TeamName,F43,R_TeamActive,"No")&gt;0,"Needs new owner","")),IF(AND(V43="Yes",X43&lt;&gt;"",X43&lt;S_SemStart),"Path overdue",""),IF(AND(S43&lt;&gt;"",S43&lt;S_Today-365),"Stale research",""),IF(AND(AE43="Research",COUNTIF('Commercial Evidence'!$A$3:$A$502,$A43)=0),"Add commercial evidence","")))</f>
        <v/>
      </c>
      <c r="AI43" s="34" t="str">
        <f aca="false">IF(OR($A43="",Z43="Yes"),"",IF(AND(AE43="Priority",AG43=0,COUNTIFS(Opportunities!$A$3:$A$502,$A43,Opportunities!$Y$3:$Y$502,"Renewal due")=0),600000+(10-AC43)*1000+(4-AD43)*100+ROW()/100000,IF(V43="Yes",700000+IF(X43="",0,X43-40000)/10+ROW()/100000,IF(AND(AE43="Quick Win",U43&lt;&gt;"",AG43=0),800000+(10-AC43)*1000+ROW()/100000,IF(AND(AE43="Build a Path",COUNTIF($V$3:$V$502,"Yes")&lt;S_PathCap),900000+(10-AC43)*1000+(4-AD43)*100+ROW()/100000,"")))))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8"/>
      <c r="T44" s="27"/>
      <c r="U44" s="27"/>
      <c r="V44" s="27"/>
      <c r="W44" s="27"/>
      <c r="X44" s="28"/>
      <c r="Y44" s="27"/>
      <c r="Z44" s="27"/>
      <c r="AA44" s="27"/>
      <c r="AB44" s="32" t="str">
        <f aca="false">IF($A44="","",IF(COUNTIF('Commercial Evidence'!$A$3:$A$502,$A44)=0,"",IF(COUNTIFS('Commercial Evidence'!$A$3:$A$502,$A44,'Commercial Evidence'!$B$3:$B$502,"Previous CBS Talks spend")+COUNTIFS('Commercial Evidence'!$A$3:$A$502,$A44,'Commercial Evidence'!$B$3:$B$502,"Sponsors student organisations")&gt;0,2,IF(COUNTIFS('Commercial Evidence'!$A$3:$A$502,$A44,'Commercial Evidence'!$B$3:$B$502,"Sponsors university activities")+COUNTIFS('Commercial Evidence'!$A$3:$A$502,$A44,'Commercial Evidence'!$B$3:$B$502,"Sponsors similar events")+COUNTIFS('Commercial Evidence'!$A$3:$A$502,$A44,'Commercial Evidence'!$B$3:$B$502,"Previous CBS Talks partner")&gt;0,1,0))))</f>
        <v/>
      </c>
      <c r="AC44" s="32" t="str">
        <f aca="false">IF($A44="","",IF(COUNT(G44,J44,M44,P44,AB44)&lt;5,"",G44+J44+M44+P44+AB44))</f>
        <v/>
      </c>
      <c r="AD44" s="32" t="str">
        <f aca="false">IF($A44="","",IF(COUNTIFS(Contacts!$A$3:$A$502,$A44,Contacts!$E$3:$E$502,"Champion",Contacts!$K$3:$K$502,"&lt;&gt;Yes",Contacts!$L$3:$L$502,"&lt;&gt;Yes")+COUNTIFS(Opportunities!$A$3:$A$502,$A44,Opportunities!$C$3:$C$502,"Won",Opportunities!$Q$3:$Q$502,"Satisfied")&gt;0,4,IF(COUNTIFS(Interactions!$B$3:$B$502,$A44,Interactions!$I$3:$I$502,"Yes",Interactions!$A$3:$A$502,"&gt;="&amp;(S_Today-S_WarmDays))&gt;0,3,IF(T44&lt;&gt;"",2,IF(COUNTIFS(Contacts!$A$3:$A$502,$A44,Contacts!$M$3:$M$502,"Yes",Contacts!$K$3:$K$502,"&lt;&gt;Yes",Contacts!$L$3:$L$502,"&lt;&gt;Yes")&gt;0,1,0)))))</f>
        <v/>
      </c>
      <c r="AE44" s="32" t="str">
        <f aca="false">IF($A44="","",IF(Z44="Yes","Do not contact",IF(AC44="","Research",IF(AND(AC44&gt;=S_FitHigh,AD44&gt;=S_AccessHigh),"Priority",IF(AC44&gt;=S_FitHigh,"Build a Path",IF(AD44&gt;=S_AccessHigh,"Quick Win","Low Priority"))))))</f>
        <v/>
      </c>
      <c r="AF44" s="33" t="str">
        <f aca="false">IF($A44="","",IF(_xlfn.MAXIFS(Interactions!$A$3:$A$502,Interactions!$B$3:$B$502,$A44)=0,"",_xlfn.MAXIFS(Interactions!$A$3:$A$502,Interactions!$B$3:$B$502,$A44)))</f>
        <v/>
      </c>
      <c r="AG44" s="32" t="str">
        <f aca="false">IF($A44="","",COUNTIFS(Opportunities!$A$3:$A$502,$A44,Opportunities!$X$3:$X$502,"Yes"))</f>
        <v/>
      </c>
      <c r="AH44" s="32" t="str">
        <f aca="false">IF($A44="","",_xlfn.TEXTJOIN(", ",TRUE(),IF(COUNTIF($A$3:$A$502,$A44)&gt;1,"Duplicate name",""),IF(OR(AND(G44=2,I44=""),AND(J44=2,L44=""),AND(M44=2,O44=""),AND(P44=2,R44="")),"Source missing for a 2",""),IF(F44="","No owner",IF(COUNTIFS(R_TeamName,F44,R_TeamActive,"No")&gt;0,"Needs new owner","")),IF(AND(V44="Yes",X44&lt;&gt;"",X44&lt;S_SemStart),"Path overdue",""),IF(AND(S44&lt;&gt;"",S44&lt;S_Today-365),"Stale research",""),IF(AND(AE44="Research",COUNTIF('Commercial Evidence'!$A$3:$A$502,$A44)=0),"Add commercial evidence","")))</f>
        <v/>
      </c>
      <c r="AI44" s="34" t="str">
        <f aca="false">IF(OR($A44="",Z44="Yes"),"",IF(AND(AE44="Priority",AG44=0,COUNTIFS(Opportunities!$A$3:$A$502,$A44,Opportunities!$Y$3:$Y$502,"Renewal due")=0),600000+(10-AC44)*1000+(4-AD44)*100+ROW()/100000,IF(V44="Yes",700000+IF(X44="",0,X44-40000)/10+ROW()/100000,IF(AND(AE44="Quick Win",U44&lt;&gt;"",AG44=0),800000+(10-AC44)*1000+ROW()/100000,IF(AND(AE44="Build a Path",COUNTIF($V$3:$V$502,"Yes")&lt;S_PathCap),900000+(10-AC44)*1000+(4-AD44)*100+ROW()/100000,"")))))</f>
        <v/>
      </c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8"/>
      <c r="T45" s="27"/>
      <c r="U45" s="27"/>
      <c r="V45" s="27"/>
      <c r="W45" s="27"/>
      <c r="X45" s="28"/>
      <c r="Y45" s="27"/>
      <c r="Z45" s="27"/>
      <c r="AA45" s="27"/>
      <c r="AB45" s="32" t="str">
        <f aca="false">IF($A45="","",IF(COUNTIF('Commercial Evidence'!$A$3:$A$502,$A45)=0,"",IF(COUNTIFS('Commercial Evidence'!$A$3:$A$502,$A45,'Commercial Evidence'!$B$3:$B$502,"Previous CBS Talks spend")+COUNTIFS('Commercial Evidence'!$A$3:$A$502,$A45,'Commercial Evidence'!$B$3:$B$502,"Sponsors student organisations")&gt;0,2,IF(COUNTIFS('Commercial Evidence'!$A$3:$A$502,$A45,'Commercial Evidence'!$B$3:$B$502,"Sponsors university activities")+COUNTIFS('Commercial Evidence'!$A$3:$A$502,$A45,'Commercial Evidence'!$B$3:$B$502,"Sponsors similar events")+COUNTIFS('Commercial Evidence'!$A$3:$A$502,$A45,'Commercial Evidence'!$B$3:$B$502,"Previous CBS Talks partner")&gt;0,1,0))))</f>
        <v/>
      </c>
      <c r="AC45" s="32" t="str">
        <f aca="false">IF($A45="","",IF(COUNT(G45,J45,M45,P45,AB45)&lt;5,"",G45+J45+M45+P45+AB45))</f>
        <v/>
      </c>
      <c r="AD45" s="32" t="str">
        <f aca="false">IF($A45="","",IF(COUNTIFS(Contacts!$A$3:$A$502,$A45,Contacts!$E$3:$E$502,"Champion",Contacts!$K$3:$K$502,"&lt;&gt;Yes",Contacts!$L$3:$L$502,"&lt;&gt;Yes")+COUNTIFS(Opportunities!$A$3:$A$502,$A45,Opportunities!$C$3:$C$502,"Won",Opportunities!$Q$3:$Q$502,"Satisfied")&gt;0,4,IF(COUNTIFS(Interactions!$B$3:$B$502,$A45,Interactions!$I$3:$I$502,"Yes",Interactions!$A$3:$A$502,"&gt;="&amp;(S_Today-S_WarmDays))&gt;0,3,IF(T45&lt;&gt;"",2,IF(COUNTIFS(Contacts!$A$3:$A$502,$A45,Contacts!$M$3:$M$502,"Yes",Contacts!$K$3:$K$502,"&lt;&gt;Yes",Contacts!$L$3:$L$502,"&lt;&gt;Yes")&gt;0,1,0)))))</f>
        <v/>
      </c>
      <c r="AE45" s="32" t="str">
        <f aca="false">IF($A45="","",IF(Z45="Yes","Do not contact",IF(AC45="","Research",IF(AND(AC45&gt;=S_FitHigh,AD45&gt;=S_AccessHigh),"Priority",IF(AC45&gt;=S_FitHigh,"Build a Path",IF(AD45&gt;=S_AccessHigh,"Quick Win","Low Priority"))))))</f>
        <v/>
      </c>
      <c r="AF45" s="33" t="str">
        <f aca="false">IF($A45="","",IF(_xlfn.MAXIFS(Interactions!$A$3:$A$502,Interactions!$B$3:$B$502,$A45)=0,"",_xlfn.MAXIFS(Interactions!$A$3:$A$502,Interactions!$B$3:$B$502,$A45)))</f>
        <v/>
      </c>
      <c r="AG45" s="32" t="str">
        <f aca="false">IF($A45="","",COUNTIFS(Opportunities!$A$3:$A$502,$A45,Opportunities!$X$3:$X$502,"Yes"))</f>
        <v/>
      </c>
      <c r="AH45" s="32" t="str">
        <f aca="false">IF($A45="","",_xlfn.TEXTJOIN(", ",TRUE(),IF(COUNTIF($A$3:$A$502,$A45)&gt;1,"Duplicate name",""),IF(OR(AND(G45=2,I45=""),AND(J45=2,L45=""),AND(M45=2,O45=""),AND(P45=2,R45="")),"Source missing for a 2",""),IF(F45="","No owner",IF(COUNTIFS(R_TeamName,F45,R_TeamActive,"No")&gt;0,"Needs new owner","")),IF(AND(V45="Yes",X45&lt;&gt;"",X45&lt;S_SemStart),"Path overdue",""),IF(AND(S45&lt;&gt;"",S45&lt;S_Today-365),"Stale research",""),IF(AND(AE45="Research",COUNTIF('Commercial Evidence'!$A$3:$A$502,$A45)=0),"Add commercial evidence","")))</f>
        <v/>
      </c>
      <c r="AI45" s="34" t="str">
        <f aca="false">IF(OR($A45="",Z45="Yes"),"",IF(AND(AE45="Priority",AG45=0,COUNTIFS(Opportunities!$A$3:$A$502,$A45,Opportunities!$Y$3:$Y$502,"Renewal due")=0),600000+(10-AC45)*1000+(4-AD45)*100+ROW()/100000,IF(V45="Yes",700000+IF(X45="",0,X45-40000)/10+ROW()/100000,IF(AND(AE45="Quick Win",U45&lt;&gt;"",AG45=0),800000+(10-AC45)*1000+ROW()/100000,IF(AND(AE45="Build a Path",COUNTIF($V$3:$V$502,"Yes")&lt;S_PathCap),900000+(10-AC45)*1000+(4-AD45)*100+ROW()/100000,"")))))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8"/>
      <c r="T46" s="27"/>
      <c r="U46" s="27"/>
      <c r="V46" s="27"/>
      <c r="W46" s="27"/>
      <c r="X46" s="28"/>
      <c r="Y46" s="27"/>
      <c r="Z46" s="27"/>
      <c r="AA46" s="27"/>
      <c r="AB46" s="32" t="str">
        <f aca="false">IF($A46="","",IF(COUNTIF('Commercial Evidence'!$A$3:$A$502,$A46)=0,"",IF(COUNTIFS('Commercial Evidence'!$A$3:$A$502,$A46,'Commercial Evidence'!$B$3:$B$502,"Previous CBS Talks spend")+COUNTIFS('Commercial Evidence'!$A$3:$A$502,$A46,'Commercial Evidence'!$B$3:$B$502,"Sponsors student organisations")&gt;0,2,IF(COUNTIFS('Commercial Evidence'!$A$3:$A$502,$A46,'Commercial Evidence'!$B$3:$B$502,"Sponsors university activities")+COUNTIFS('Commercial Evidence'!$A$3:$A$502,$A46,'Commercial Evidence'!$B$3:$B$502,"Sponsors similar events")+COUNTIFS('Commercial Evidence'!$A$3:$A$502,$A46,'Commercial Evidence'!$B$3:$B$502,"Previous CBS Talks partner")&gt;0,1,0))))</f>
        <v/>
      </c>
      <c r="AC46" s="32" t="str">
        <f aca="false">IF($A46="","",IF(COUNT(G46,J46,M46,P46,AB46)&lt;5,"",G46+J46+M46+P46+AB46))</f>
        <v/>
      </c>
      <c r="AD46" s="32" t="str">
        <f aca="false">IF($A46="","",IF(COUNTIFS(Contacts!$A$3:$A$502,$A46,Contacts!$E$3:$E$502,"Champion",Contacts!$K$3:$K$502,"&lt;&gt;Yes",Contacts!$L$3:$L$502,"&lt;&gt;Yes")+COUNTIFS(Opportunities!$A$3:$A$502,$A46,Opportunities!$C$3:$C$502,"Won",Opportunities!$Q$3:$Q$502,"Satisfied")&gt;0,4,IF(COUNTIFS(Interactions!$B$3:$B$502,$A46,Interactions!$I$3:$I$502,"Yes",Interactions!$A$3:$A$502,"&gt;="&amp;(S_Today-S_WarmDays))&gt;0,3,IF(T46&lt;&gt;"",2,IF(COUNTIFS(Contacts!$A$3:$A$502,$A46,Contacts!$M$3:$M$502,"Yes",Contacts!$K$3:$K$502,"&lt;&gt;Yes",Contacts!$L$3:$L$502,"&lt;&gt;Yes")&gt;0,1,0)))))</f>
        <v/>
      </c>
      <c r="AE46" s="32" t="str">
        <f aca="false">IF($A46="","",IF(Z46="Yes","Do not contact",IF(AC46="","Research",IF(AND(AC46&gt;=S_FitHigh,AD46&gt;=S_AccessHigh),"Priority",IF(AC46&gt;=S_FitHigh,"Build a Path",IF(AD46&gt;=S_AccessHigh,"Quick Win","Low Priority"))))))</f>
        <v/>
      </c>
      <c r="AF46" s="33" t="str">
        <f aca="false">IF($A46="","",IF(_xlfn.MAXIFS(Interactions!$A$3:$A$502,Interactions!$B$3:$B$502,$A46)=0,"",_xlfn.MAXIFS(Interactions!$A$3:$A$502,Interactions!$B$3:$B$502,$A46)))</f>
        <v/>
      </c>
      <c r="AG46" s="32" t="str">
        <f aca="false">IF($A46="","",COUNTIFS(Opportunities!$A$3:$A$502,$A46,Opportunities!$X$3:$X$502,"Yes"))</f>
        <v/>
      </c>
      <c r="AH46" s="32" t="str">
        <f aca="false">IF($A46="","",_xlfn.TEXTJOIN(", ",TRUE(),IF(COUNTIF($A$3:$A$502,$A46)&gt;1,"Duplicate name",""),IF(OR(AND(G46=2,I46=""),AND(J46=2,L46=""),AND(M46=2,O46=""),AND(P46=2,R46="")),"Source missing for a 2",""),IF(F46="","No owner",IF(COUNTIFS(R_TeamName,F46,R_TeamActive,"No")&gt;0,"Needs new owner","")),IF(AND(V46="Yes",X46&lt;&gt;"",X46&lt;S_SemStart),"Path overdue",""),IF(AND(S46&lt;&gt;"",S46&lt;S_Today-365),"Stale research",""),IF(AND(AE46="Research",COUNTIF('Commercial Evidence'!$A$3:$A$502,$A46)=0),"Add commercial evidence","")))</f>
        <v/>
      </c>
      <c r="AI46" s="34" t="str">
        <f aca="false">IF(OR($A46="",Z46="Yes"),"",IF(AND(AE46="Priority",AG46=0,COUNTIFS(Opportunities!$A$3:$A$502,$A46,Opportunities!$Y$3:$Y$502,"Renewal due")=0),600000+(10-AC46)*1000+(4-AD46)*100+ROW()/100000,IF(V46="Yes",700000+IF(X46="",0,X46-40000)/10+ROW()/100000,IF(AND(AE46="Quick Win",U46&lt;&gt;"",AG46=0),800000+(10-AC46)*1000+ROW()/100000,IF(AND(AE46="Build a Path",COUNTIF($V$3:$V$502,"Yes")&lt;S_PathCap),900000+(10-AC46)*1000+(4-AD46)*100+ROW()/100000,"")))))</f>
        <v/>
      </c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8"/>
      <c r="T47" s="27"/>
      <c r="U47" s="27"/>
      <c r="V47" s="27"/>
      <c r="W47" s="27"/>
      <c r="X47" s="28"/>
      <c r="Y47" s="27"/>
      <c r="Z47" s="27"/>
      <c r="AA47" s="27"/>
      <c r="AB47" s="32" t="str">
        <f aca="false">IF($A47="","",IF(COUNTIF('Commercial Evidence'!$A$3:$A$502,$A47)=0,"",IF(COUNTIFS('Commercial Evidence'!$A$3:$A$502,$A47,'Commercial Evidence'!$B$3:$B$502,"Previous CBS Talks spend")+COUNTIFS('Commercial Evidence'!$A$3:$A$502,$A47,'Commercial Evidence'!$B$3:$B$502,"Sponsors student organisations")&gt;0,2,IF(COUNTIFS('Commercial Evidence'!$A$3:$A$502,$A47,'Commercial Evidence'!$B$3:$B$502,"Sponsors university activities")+COUNTIFS('Commercial Evidence'!$A$3:$A$502,$A47,'Commercial Evidence'!$B$3:$B$502,"Sponsors similar events")+COUNTIFS('Commercial Evidence'!$A$3:$A$502,$A47,'Commercial Evidence'!$B$3:$B$502,"Previous CBS Talks partner")&gt;0,1,0))))</f>
        <v/>
      </c>
      <c r="AC47" s="32" t="str">
        <f aca="false">IF($A47="","",IF(COUNT(G47,J47,M47,P47,AB47)&lt;5,"",G47+J47+M47+P47+AB47))</f>
        <v/>
      </c>
      <c r="AD47" s="32" t="str">
        <f aca="false">IF($A47="","",IF(COUNTIFS(Contacts!$A$3:$A$502,$A47,Contacts!$E$3:$E$502,"Champion",Contacts!$K$3:$K$502,"&lt;&gt;Yes",Contacts!$L$3:$L$502,"&lt;&gt;Yes")+COUNTIFS(Opportunities!$A$3:$A$502,$A47,Opportunities!$C$3:$C$502,"Won",Opportunities!$Q$3:$Q$502,"Satisfied")&gt;0,4,IF(COUNTIFS(Interactions!$B$3:$B$502,$A47,Interactions!$I$3:$I$502,"Yes",Interactions!$A$3:$A$502,"&gt;="&amp;(S_Today-S_WarmDays))&gt;0,3,IF(T47&lt;&gt;"",2,IF(COUNTIFS(Contacts!$A$3:$A$502,$A47,Contacts!$M$3:$M$502,"Yes",Contacts!$K$3:$K$502,"&lt;&gt;Yes",Contacts!$L$3:$L$502,"&lt;&gt;Yes")&gt;0,1,0)))))</f>
        <v/>
      </c>
      <c r="AE47" s="32" t="str">
        <f aca="false">IF($A47="","",IF(Z47="Yes","Do not contact",IF(AC47="","Research",IF(AND(AC47&gt;=S_FitHigh,AD47&gt;=S_AccessHigh),"Priority",IF(AC47&gt;=S_FitHigh,"Build a Path",IF(AD47&gt;=S_AccessHigh,"Quick Win","Low Priority"))))))</f>
        <v/>
      </c>
      <c r="AF47" s="33" t="str">
        <f aca="false">IF($A47="","",IF(_xlfn.MAXIFS(Interactions!$A$3:$A$502,Interactions!$B$3:$B$502,$A47)=0,"",_xlfn.MAXIFS(Interactions!$A$3:$A$502,Interactions!$B$3:$B$502,$A47)))</f>
        <v/>
      </c>
      <c r="AG47" s="32" t="str">
        <f aca="false">IF($A47="","",COUNTIFS(Opportunities!$A$3:$A$502,$A47,Opportunities!$X$3:$X$502,"Yes"))</f>
        <v/>
      </c>
      <c r="AH47" s="32" t="str">
        <f aca="false">IF($A47="","",_xlfn.TEXTJOIN(", ",TRUE(),IF(COUNTIF($A$3:$A$502,$A47)&gt;1,"Duplicate name",""),IF(OR(AND(G47=2,I47=""),AND(J47=2,L47=""),AND(M47=2,O47=""),AND(P47=2,R47="")),"Source missing for a 2",""),IF(F47="","No owner",IF(COUNTIFS(R_TeamName,F47,R_TeamActive,"No")&gt;0,"Needs new owner","")),IF(AND(V47="Yes",X47&lt;&gt;"",X47&lt;S_SemStart),"Path overdue",""),IF(AND(S47&lt;&gt;"",S47&lt;S_Today-365),"Stale research",""),IF(AND(AE47="Research",COUNTIF('Commercial Evidence'!$A$3:$A$502,$A47)=0),"Add commercial evidence","")))</f>
        <v/>
      </c>
      <c r="AI47" s="34" t="str">
        <f aca="false">IF(OR($A47="",Z47="Yes"),"",IF(AND(AE47="Priority",AG47=0,COUNTIFS(Opportunities!$A$3:$A$502,$A47,Opportunities!$Y$3:$Y$502,"Renewal due")=0),600000+(10-AC47)*1000+(4-AD47)*100+ROW()/100000,IF(V47="Yes",700000+IF(X47="",0,X47-40000)/10+ROW()/100000,IF(AND(AE47="Quick Win",U47&lt;&gt;"",AG47=0),800000+(10-AC47)*1000+ROW()/100000,IF(AND(AE47="Build a Path",COUNTIF($V$3:$V$502,"Yes")&lt;S_PathCap),900000+(10-AC47)*1000+(4-AD47)*100+ROW()/100000,"")))))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8"/>
      <c r="T48" s="27"/>
      <c r="U48" s="27"/>
      <c r="V48" s="27"/>
      <c r="W48" s="27"/>
      <c r="X48" s="28"/>
      <c r="Y48" s="27"/>
      <c r="Z48" s="27"/>
      <c r="AA48" s="27"/>
      <c r="AB48" s="32" t="str">
        <f aca="false">IF($A48="","",IF(COUNTIF('Commercial Evidence'!$A$3:$A$502,$A48)=0,"",IF(COUNTIFS('Commercial Evidence'!$A$3:$A$502,$A48,'Commercial Evidence'!$B$3:$B$502,"Previous CBS Talks spend")+COUNTIFS('Commercial Evidence'!$A$3:$A$502,$A48,'Commercial Evidence'!$B$3:$B$502,"Sponsors student organisations")&gt;0,2,IF(COUNTIFS('Commercial Evidence'!$A$3:$A$502,$A48,'Commercial Evidence'!$B$3:$B$502,"Sponsors university activities")+COUNTIFS('Commercial Evidence'!$A$3:$A$502,$A48,'Commercial Evidence'!$B$3:$B$502,"Sponsors similar events")+COUNTIFS('Commercial Evidence'!$A$3:$A$502,$A48,'Commercial Evidence'!$B$3:$B$502,"Previous CBS Talks partner")&gt;0,1,0))))</f>
        <v/>
      </c>
      <c r="AC48" s="32" t="str">
        <f aca="false">IF($A48="","",IF(COUNT(G48,J48,M48,P48,AB48)&lt;5,"",G48+J48+M48+P48+AB48))</f>
        <v/>
      </c>
      <c r="AD48" s="32" t="str">
        <f aca="false">IF($A48="","",IF(COUNTIFS(Contacts!$A$3:$A$502,$A48,Contacts!$E$3:$E$502,"Champion",Contacts!$K$3:$K$502,"&lt;&gt;Yes",Contacts!$L$3:$L$502,"&lt;&gt;Yes")+COUNTIFS(Opportunities!$A$3:$A$502,$A48,Opportunities!$C$3:$C$502,"Won",Opportunities!$Q$3:$Q$502,"Satisfied")&gt;0,4,IF(COUNTIFS(Interactions!$B$3:$B$502,$A48,Interactions!$I$3:$I$502,"Yes",Interactions!$A$3:$A$502,"&gt;="&amp;(S_Today-S_WarmDays))&gt;0,3,IF(T48&lt;&gt;"",2,IF(COUNTIFS(Contacts!$A$3:$A$502,$A48,Contacts!$M$3:$M$502,"Yes",Contacts!$K$3:$K$502,"&lt;&gt;Yes",Contacts!$L$3:$L$502,"&lt;&gt;Yes")&gt;0,1,0)))))</f>
        <v/>
      </c>
      <c r="AE48" s="32" t="str">
        <f aca="false">IF($A48="","",IF(Z48="Yes","Do not contact",IF(AC48="","Research",IF(AND(AC48&gt;=S_FitHigh,AD48&gt;=S_AccessHigh),"Priority",IF(AC48&gt;=S_FitHigh,"Build a Path",IF(AD48&gt;=S_AccessHigh,"Quick Win","Low Priority"))))))</f>
        <v/>
      </c>
      <c r="AF48" s="33" t="str">
        <f aca="false">IF($A48="","",IF(_xlfn.MAXIFS(Interactions!$A$3:$A$502,Interactions!$B$3:$B$502,$A48)=0,"",_xlfn.MAXIFS(Interactions!$A$3:$A$502,Interactions!$B$3:$B$502,$A48)))</f>
        <v/>
      </c>
      <c r="AG48" s="32" t="str">
        <f aca="false">IF($A48="","",COUNTIFS(Opportunities!$A$3:$A$502,$A48,Opportunities!$X$3:$X$502,"Yes"))</f>
        <v/>
      </c>
      <c r="AH48" s="32" t="str">
        <f aca="false">IF($A48="","",_xlfn.TEXTJOIN(", ",TRUE(),IF(COUNTIF($A$3:$A$502,$A48)&gt;1,"Duplicate name",""),IF(OR(AND(G48=2,I48=""),AND(J48=2,L48=""),AND(M48=2,O48=""),AND(P48=2,R48="")),"Source missing for a 2",""),IF(F48="","No owner",IF(COUNTIFS(R_TeamName,F48,R_TeamActive,"No")&gt;0,"Needs new owner","")),IF(AND(V48="Yes",X48&lt;&gt;"",X48&lt;S_SemStart),"Path overdue",""),IF(AND(S48&lt;&gt;"",S48&lt;S_Today-365),"Stale research",""),IF(AND(AE48="Research",COUNTIF('Commercial Evidence'!$A$3:$A$502,$A48)=0),"Add commercial evidence","")))</f>
        <v/>
      </c>
      <c r="AI48" s="34" t="str">
        <f aca="false">IF(OR($A48="",Z48="Yes"),"",IF(AND(AE48="Priority",AG48=0,COUNTIFS(Opportunities!$A$3:$A$502,$A48,Opportunities!$Y$3:$Y$502,"Renewal due")=0),600000+(10-AC48)*1000+(4-AD48)*100+ROW()/100000,IF(V48="Yes",700000+IF(X48="",0,X48-40000)/10+ROW()/100000,IF(AND(AE48="Quick Win",U48&lt;&gt;"",AG48=0),800000+(10-AC48)*1000+ROW()/100000,IF(AND(AE48="Build a Path",COUNTIF($V$3:$V$502,"Yes")&lt;S_PathCap),900000+(10-AC48)*1000+(4-AD48)*100+ROW()/100000,"")))))</f>
        <v/>
      </c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8"/>
      <c r="T49" s="27"/>
      <c r="U49" s="27"/>
      <c r="V49" s="27"/>
      <c r="W49" s="27"/>
      <c r="X49" s="28"/>
      <c r="Y49" s="27"/>
      <c r="Z49" s="27"/>
      <c r="AA49" s="27"/>
      <c r="AB49" s="32" t="str">
        <f aca="false">IF($A49="","",IF(COUNTIF('Commercial Evidence'!$A$3:$A$502,$A49)=0,"",IF(COUNTIFS('Commercial Evidence'!$A$3:$A$502,$A49,'Commercial Evidence'!$B$3:$B$502,"Previous CBS Talks spend")+COUNTIFS('Commercial Evidence'!$A$3:$A$502,$A49,'Commercial Evidence'!$B$3:$B$502,"Sponsors student organisations")&gt;0,2,IF(COUNTIFS('Commercial Evidence'!$A$3:$A$502,$A49,'Commercial Evidence'!$B$3:$B$502,"Sponsors university activities")+COUNTIFS('Commercial Evidence'!$A$3:$A$502,$A49,'Commercial Evidence'!$B$3:$B$502,"Sponsors similar events")+COUNTIFS('Commercial Evidence'!$A$3:$A$502,$A49,'Commercial Evidence'!$B$3:$B$502,"Previous CBS Talks partner")&gt;0,1,0))))</f>
        <v/>
      </c>
      <c r="AC49" s="32" t="str">
        <f aca="false">IF($A49="","",IF(COUNT(G49,J49,M49,P49,AB49)&lt;5,"",G49+J49+M49+P49+AB49))</f>
        <v/>
      </c>
      <c r="AD49" s="32" t="str">
        <f aca="false">IF($A49="","",IF(COUNTIFS(Contacts!$A$3:$A$502,$A49,Contacts!$E$3:$E$502,"Champion",Contacts!$K$3:$K$502,"&lt;&gt;Yes",Contacts!$L$3:$L$502,"&lt;&gt;Yes")+COUNTIFS(Opportunities!$A$3:$A$502,$A49,Opportunities!$C$3:$C$502,"Won",Opportunities!$Q$3:$Q$502,"Satisfied")&gt;0,4,IF(COUNTIFS(Interactions!$B$3:$B$502,$A49,Interactions!$I$3:$I$502,"Yes",Interactions!$A$3:$A$502,"&gt;="&amp;(S_Today-S_WarmDays))&gt;0,3,IF(T49&lt;&gt;"",2,IF(COUNTIFS(Contacts!$A$3:$A$502,$A49,Contacts!$M$3:$M$502,"Yes",Contacts!$K$3:$K$502,"&lt;&gt;Yes",Contacts!$L$3:$L$502,"&lt;&gt;Yes")&gt;0,1,0)))))</f>
        <v/>
      </c>
      <c r="AE49" s="32" t="str">
        <f aca="false">IF($A49="","",IF(Z49="Yes","Do not contact",IF(AC49="","Research",IF(AND(AC49&gt;=S_FitHigh,AD49&gt;=S_AccessHigh),"Priority",IF(AC49&gt;=S_FitHigh,"Build a Path",IF(AD49&gt;=S_AccessHigh,"Quick Win","Low Priority"))))))</f>
        <v/>
      </c>
      <c r="AF49" s="33" t="str">
        <f aca="false">IF($A49="","",IF(_xlfn.MAXIFS(Interactions!$A$3:$A$502,Interactions!$B$3:$B$502,$A49)=0,"",_xlfn.MAXIFS(Interactions!$A$3:$A$502,Interactions!$B$3:$B$502,$A49)))</f>
        <v/>
      </c>
      <c r="AG49" s="32" t="str">
        <f aca="false">IF($A49="","",COUNTIFS(Opportunities!$A$3:$A$502,$A49,Opportunities!$X$3:$X$502,"Yes"))</f>
        <v/>
      </c>
      <c r="AH49" s="32" t="str">
        <f aca="false">IF($A49="","",_xlfn.TEXTJOIN(", ",TRUE(),IF(COUNTIF($A$3:$A$502,$A49)&gt;1,"Duplicate name",""),IF(OR(AND(G49=2,I49=""),AND(J49=2,L49=""),AND(M49=2,O49=""),AND(P49=2,R49="")),"Source missing for a 2",""),IF(F49="","No owner",IF(COUNTIFS(R_TeamName,F49,R_TeamActive,"No")&gt;0,"Needs new owner","")),IF(AND(V49="Yes",X49&lt;&gt;"",X49&lt;S_SemStart),"Path overdue",""),IF(AND(S49&lt;&gt;"",S49&lt;S_Today-365),"Stale research",""),IF(AND(AE49="Research",COUNTIF('Commercial Evidence'!$A$3:$A$502,$A49)=0),"Add commercial evidence","")))</f>
        <v/>
      </c>
      <c r="AI49" s="34" t="str">
        <f aca="false">IF(OR($A49="",Z49="Yes"),"",IF(AND(AE49="Priority",AG49=0,COUNTIFS(Opportunities!$A$3:$A$502,$A49,Opportunities!$Y$3:$Y$502,"Renewal due")=0),600000+(10-AC49)*1000+(4-AD49)*100+ROW()/100000,IF(V49="Yes",700000+IF(X49="",0,X49-40000)/10+ROW()/100000,IF(AND(AE49="Quick Win",U49&lt;&gt;"",AG49=0),800000+(10-AC49)*1000+ROW()/100000,IF(AND(AE49="Build a Path",COUNTIF($V$3:$V$502,"Yes")&lt;S_PathCap),900000+(10-AC49)*1000+(4-AD49)*100+ROW()/100000,"")))))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8"/>
      <c r="T50" s="27"/>
      <c r="U50" s="27"/>
      <c r="V50" s="27"/>
      <c r="W50" s="27"/>
      <c r="X50" s="28"/>
      <c r="Y50" s="27"/>
      <c r="Z50" s="27"/>
      <c r="AA50" s="27"/>
      <c r="AB50" s="32" t="str">
        <f aca="false">IF($A50="","",IF(COUNTIF('Commercial Evidence'!$A$3:$A$502,$A50)=0,"",IF(COUNTIFS('Commercial Evidence'!$A$3:$A$502,$A50,'Commercial Evidence'!$B$3:$B$502,"Previous CBS Talks spend")+COUNTIFS('Commercial Evidence'!$A$3:$A$502,$A50,'Commercial Evidence'!$B$3:$B$502,"Sponsors student organisations")&gt;0,2,IF(COUNTIFS('Commercial Evidence'!$A$3:$A$502,$A50,'Commercial Evidence'!$B$3:$B$502,"Sponsors university activities")+COUNTIFS('Commercial Evidence'!$A$3:$A$502,$A50,'Commercial Evidence'!$B$3:$B$502,"Sponsors similar events")+COUNTIFS('Commercial Evidence'!$A$3:$A$502,$A50,'Commercial Evidence'!$B$3:$B$502,"Previous CBS Talks partner")&gt;0,1,0))))</f>
        <v/>
      </c>
      <c r="AC50" s="32" t="str">
        <f aca="false">IF($A50="","",IF(COUNT(G50,J50,M50,P50,AB50)&lt;5,"",G50+J50+M50+P50+AB50))</f>
        <v/>
      </c>
      <c r="AD50" s="32" t="str">
        <f aca="false">IF($A50="","",IF(COUNTIFS(Contacts!$A$3:$A$502,$A50,Contacts!$E$3:$E$502,"Champion",Contacts!$K$3:$K$502,"&lt;&gt;Yes",Contacts!$L$3:$L$502,"&lt;&gt;Yes")+COUNTIFS(Opportunities!$A$3:$A$502,$A50,Opportunities!$C$3:$C$502,"Won",Opportunities!$Q$3:$Q$502,"Satisfied")&gt;0,4,IF(COUNTIFS(Interactions!$B$3:$B$502,$A50,Interactions!$I$3:$I$502,"Yes",Interactions!$A$3:$A$502,"&gt;="&amp;(S_Today-S_WarmDays))&gt;0,3,IF(T50&lt;&gt;"",2,IF(COUNTIFS(Contacts!$A$3:$A$502,$A50,Contacts!$M$3:$M$502,"Yes",Contacts!$K$3:$K$502,"&lt;&gt;Yes",Contacts!$L$3:$L$502,"&lt;&gt;Yes")&gt;0,1,0)))))</f>
        <v/>
      </c>
      <c r="AE50" s="32" t="str">
        <f aca="false">IF($A50="","",IF(Z50="Yes","Do not contact",IF(AC50="","Research",IF(AND(AC50&gt;=S_FitHigh,AD50&gt;=S_AccessHigh),"Priority",IF(AC50&gt;=S_FitHigh,"Build a Path",IF(AD50&gt;=S_AccessHigh,"Quick Win","Low Priority"))))))</f>
        <v/>
      </c>
      <c r="AF50" s="33" t="str">
        <f aca="false">IF($A50="","",IF(_xlfn.MAXIFS(Interactions!$A$3:$A$502,Interactions!$B$3:$B$502,$A50)=0,"",_xlfn.MAXIFS(Interactions!$A$3:$A$502,Interactions!$B$3:$B$502,$A50)))</f>
        <v/>
      </c>
      <c r="AG50" s="32" t="str">
        <f aca="false">IF($A50="","",COUNTIFS(Opportunities!$A$3:$A$502,$A50,Opportunities!$X$3:$X$502,"Yes"))</f>
        <v/>
      </c>
      <c r="AH50" s="32" t="str">
        <f aca="false">IF($A50="","",_xlfn.TEXTJOIN(", ",TRUE(),IF(COUNTIF($A$3:$A$502,$A50)&gt;1,"Duplicate name",""),IF(OR(AND(G50=2,I50=""),AND(J50=2,L50=""),AND(M50=2,O50=""),AND(P50=2,R50="")),"Source missing for a 2",""),IF(F50="","No owner",IF(COUNTIFS(R_TeamName,F50,R_TeamActive,"No")&gt;0,"Needs new owner","")),IF(AND(V50="Yes",X50&lt;&gt;"",X50&lt;S_SemStart),"Path overdue",""),IF(AND(S50&lt;&gt;"",S50&lt;S_Today-365),"Stale research",""),IF(AND(AE50="Research",COUNTIF('Commercial Evidence'!$A$3:$A$502,$A50)=0),"Add commercial evidence","")))</f>
        <v/>
      </c>
      <c r="AI50" s="34" t="str">
        <f aca="false">IF(OR($A50="",Z50="Yes"),"",IF(AND(AE50="Priority",AG50=0,COUNTIFS(Opportunities!$A$3:$A$502,$A50,Opportunities!$Y$3:$Y$502,"Renewal due")=0),600000+(10-AC50)*1000+(4-AD50)*100+ROW()/100000,IF(V50="Yes",700000+IF(X50="",0,X50-40000)/10+ROW()/100000,IF(AND(AE50="Quick Win",U50&lt;&gt;"",AG50=0),800000+(10-AC50)*1000+ROW()/100000,IF(AND(AE50="Build a Path",COUNTIF($V$3:$V$502,"Yes")&lt;S_PathCap),900000+(10-AC50)*1000+(4-AD50)*100+ROW()/100000,"")))))</f>
        <v/>
      </c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8"/>
      <c r="T51" s="27"/>
      <c r="U51" s="27"/>
      <c r="V51" s="27"/>
      <c r="W51" s="27"/>
      <c r="X51" s="28"/>
      <c r="Y51" s="27"/>
      <c r="Z51" s="27"/>
      <c r="AA51" s="27"/>
      <c r="AB51" s="32" t="str">
        <f aca="false">IF($A51="","",IF(COUNTIF('Commercial Evidence'!$A$3:$A$502,$A51)=0,"",IF(COUNTIFS('Commercial Evidence'!$A$3:$A$502,$A51,'Commercial Evidence'!$B$3:$B$502,"Previous CBS Talks spend")+COUNTIFS('Commercial Evidence'!$A$3:$A$502,$A51,'Commercial Evidence'!$B$3:$B$502,"Sponsors student organisations")&gt;0,2,IF(COUNTIFS('Commercial Evidence'!$A$3:$A$502,$A51,'Commercial Evidence'!$B$3:$B$502,"Sponsors university activities")+COUNTIFS('Commercial Evidence'!$A$3:$A$502,$A51,'Commercial Evidence'!$B$3:$B$502,"Sponsors similar events")+COUNTIFS('Commercial Evidence'!$A$3:$A$502,$A51,'Commercial Evidence'!$B$3:$B$502,"Previous CBS Talks partner")&gt;0,1,0))))</f>
        <v/>
      </c>
      <c r="AC51" s="32" t="str">
        <f aca="false">IF($A51="","",IF(COUNT(G51,J51,M51,P51,AB51)&lt;5,"",G51+J51+M51+P51+AB51))</f>
        <v/>
      </c>
      <c r="AD51" s="32" t="str">
        <f aca="false">IF($A51="","",IF(COUNTIFS(Contacts!$A$3:$A$502,$A51,Contacts!$E$3:$E$502,"Champion",Contacts!$K$3:$K$502,"&lt;&gt;Yes",Contacts!$L$3:$L$502,"&lt;&gt;Yes")+COUNTIFS(Opportunities!$A$3:$A$502,$A51,Opportunities!$C$3:$C$502,"Won",Opportunities!$Q$3:$Q$502,"Satisfied")&gt;0,4,IF(COUNTIFS(Interactions!$B$3:$B$502,$A51,Interactions!$I$3:$I$502,"Yes",Interactions!$A$3:$A$502,"&gt;="&amp;(S_Today-S_WarmDays))&gt;0,3,IF(T51&lt;&gt;"",2,IF(COUNTIFS(Contacts!$A$3:$A$502,$A51,Contacts!$M$3:$M$502,"Yes",Contacts!$K$3:$K$502,"&lt;&gt;Yes",Contacts!$L$3:$L$502,"&lt;&gt;Yes")&gt;0,1,0)))))</f>
        <v/>
      </c>
      <c r="AE51" s="32" t="str">
        <f aca="false">IF($A51="","",IF(Z51="Yes","Do not contact",IF(AC51="","Research",IF(AND(AC51&gt;=S_FitHigh,AD51&gt;=S_AccessHigh),"Priority",IF(AC51&gt;=S_FitHigh,"Build a Path",IF(AD51&gt;=S_AccessHigh,"Quick Win","Low Priority"))))))</f>
        <v/>
      </c>
      <c r="AF51" s="33" t="str">
        <f aca="false">IF($A51="","",IF(_xlfn.MAXIFS(Interactions!$A$3:$A$502,Interactions!$B$3:$B$502,$A51)=0,"",_xlfn.MAXIFS(Interactions!$A$3:$A$502,Interactions!$B$3:$B$502,$A51)))</f>
        <v/>
      </c>
      <c r="AG51" s="32" t="str">
        <f aca="false">IF($A51="","",COUNTIFS(Opportunities!$A$3:$A$502,$A51,Opportunities!$X$3:$X$502,"Yes"))</f>
        <v/>
      </c>
      <c r="AH51" s="32" t="str">
        <f aca="false">IF($A51="","",_xlfn.TEXTJOIN(", ",TRUE(),IF(COUNTIF($A$3:$A$502,$A51)&gt;1,"Duplicate name",""),IF(OR(AND(G51=2,I51=""),AND(J51=2,L51=""),AND(M51=2,O51=""),AND(P51=2,R51="")),"Source missing for a 2",""),IF(F51="","No owner",IF(COUNTIFS(R_TeamName,F51,R_TeamActive,"No")&gt;0,"Needs new owner","")),IF(AND(V51="Yes",X51&lt;&gt;"",X51&lt;S_SemStart),"Path overdue",""),IF(AND(S51&lt;&gt;"",S51&lt;S_Today-365),"Stale research",""),IF(AND(AE51="Research",COUNTIF('Commercial Evidence'!$A$3:$A$502,$A51)=0),"Add commercial evidence","")))</f>
        <v/>
      </c>
      <c r="AI51" s="34" t="str">
        <f aca="false">IF(OR($A51="",Z51="Yes"),"",IF(AND(AE51="Priority",AG51=0,COUNTIFS(Opportunities!$A$3:$A$502,$A51,Opportunities!$Y$3:$Y$502,"Renewal due")=0),600000+(10-AC51)*1000+(4-AD51)*100+ROW()/100000,IF(V51="Yes",700000+IF(X51="",0,X51-40000)/10+ROW()/100000,IF(AND(AE51="Quick Win",U51&lt;&gt;"",AG51=0),800000+(10-AC51)*1000+ROW()/100000,IF(AND(AE51="Build a Path",COUNTIF($V$3:$V$502,"Yes")&lt;S_PathCap),900000+(10-AC51)*1000+(4-AD51)*100+ROW()/100000,"")))))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8"/>
      <c r="T52" s="27"/>
      <c r="U52" s="27"/>
      <c r="V52" s="27"/>
      <c r="W52" s="27"/>
      <c r="X52" s="28"/>
      <c r="Y52" s="27"/>
      <c r="Z52" s="27"/>
      <c r="AA52" s="27"/>
      <c r="AB52" s="32" t="str">
        <f aca="false">IF($A52="","",IF(COUNTIF('Commercial Evidence'!$A$3:$A$502,$A52)=0,"",IF(COUNTIFS('Commercial Evidence'!$A$3:$A$502,$A52,'Commercial Evidence'!$B$3:$B$502,"Previous CBS Talks spend")+COUNTIFS('Commercial Evidence'!$A$3:$A$502,$A52,'Commercial Evidence'!$B$3:$B$502,"Sponsors student organisations")&gt;0,2,IF(COUNTIFS('Commercial Evidence'!$A$3:$A$502,$A52,'Commercial Evidence'!$B$3:$B$502,"Sponsors university activities")+COUNTIFS('Commercial Evidence'!$A$3:$A$502,$A52,'Commercial Evidence'!$B$3:$B$502,"Sponsors similar events")+COUNTIFS('Commercial Evidence'!$A$3:$A$502,$A52,'Commercial Evidence'!$B$3:$B$502,"Previous CBS Talks partner")&gt;0,1,0))))</f>
        <v/>
      </c>
      <c r="AC52" s="32" t="str">
        <f aca="false">IF($A52="","",IF(COUNT(G52,J52,M52,P52,AB52)&lt;5,"",G52+J52+M52+P52+AB52))</f>
        <v/>
      </c>
      <c r="AD52" s="32" t="str">
        <f aca="false">IF($A52="","",IF(COUNTIFS(Contacts!$A$3:$A$502,$A52,Contacts!$E$3:$E$502,"Champion",Contacts!$K$3:$K$502,"&lt;&gt;Yes",Contacts!$L$3:$L$502,"&lt;&gt;Yes")+COUNTIFS(Opportunities!$A$3:$A$502,$A52,Opportunities!$C$3:$C$502,"Won",Opportunities!$Q$3:$Q$502,"Satisfied")&gt;0,4,IF(COUNTIFS(Interactions!$B$3:$B$502,$A52,Interactions!$I$3:$I$502,"Yes",Interactions!$A$3:$A$502,"&gt;="&amp;(S_Today-S_WarmDays))&gt;0,3,IF(T52&lt;&gt;"",2,IF(COUNTIFS(Contacts!$A$3:$A$502,$A52,Contacts!$M$3:$M$502,"Yes",Contacts!$K$3:$K$502,"&lt;&gt;Yes",Contacts!$L$3:$L$502,"&lt;&gt;Yes")&gt;0,1,0)))))</f>
        <v/>
      </c>
      <c r="AE52" s="32" t="str">
        <f aca="false">IF($A52="","",IF(Z52="Yes","Do not contact",IF(AC52="","Research",IF(AND(AC52&gt;=S_FitHigh,AD52&gt;=S_AccessHigh),"Priority",IF(AC52&gt;=S_FitHigh,"Build a Path",IF(AD52&gt;=S_AccessHigh,"Quick Win","Low Priority"))))))</f>
        <v/>
      </c>
      <c r="AF52" s="33" t="str">
        <f aca="false">IF($A52="","",IF(_xlfn.MAXIFS(Interactions!$A$3:$A$502,Interactions!$B$3:$B$502,$A52)=0,"",_xlfn.MAXIFS(Interactions!$A$3:$A$502,Interactions!$B$3:$B$502,$A52)))</f>
        <v/>
      </c>
      <c r="AG52" s="32" t="str">
        <f aca="false">IF($A52="","",COUNTIFS(Opportunities!$A$3:$A$502,$A52,Opportunities!$X$3:$X$502,"Yes"))</f>
        <v/>
      </c>
      <c r="AH52" s="32" t="str">
        <f aca="false">IF($A52="","",_xlfn.TEXTJOIN(", ",TRUE(),IF(COUNTIF($A$3:$A$502,$A52)&gt;1,"Duplicate name",""),IF(OR(AND(G52=2,I52=""),AND(J52=2,L52=""),AND(M52=2,O52=""),AND(P52=2,R52="")),"Source missing for a 2",""),IF(F52="","No owner",IF(COUNTIFS(R_TeamName,F52,R_TeamActive,"No")&gt;0,"Needs new owner","")),IF(AND(V52="Yes",X52&lt;&gt;"",X52&lt;S_SemStart),"Path overdue",""),IF(AND(S52&lt;&gt;"",S52&lt;S_Today-365),"Stale research",""),IF(AND(AE52="Research",COUNTIF('Commercial Evidence'!$A$3:$A$502,$A52)=0),"Add commercial evidence","")))</f>
        <v/>
      </c>
      <c r="AI52" s="34" t="str">
        <f aca="false">IF(OR($A52="",Z52="Yes"),"",IF(AND(AE52="Priority",AG52=0,COUNTIFS(Opportunities!$A$3:$A$502,$A52,Opportunities!$Y$3:$Y$502,"Renewal due")=0),600000+(10-AC52)*1000+(4-AD52)*100+ROW()/100000,IF(V52="Yes",700000+IF(X52="",0,X52-40000)/10+ROW()/100000,IF(AND(AE52="Quick Win",U52&lt;&gt;"",AG52=0),800000+(10-AC52)*1000+ROW()/100000,IF(AND(AE52="Build a Path",COUNTIF($V$3:$V$502,"Yes")&lt;S_PathCap),900000+(10-AC52)*1000+(4-AD52)*100+ROW()/100000,"")))))</f>
        <v/>
      </c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8"/>
      <c r="T53" s="27"/>
      <c r="U53" s="27"/>
      <c r="V53" s="27"/>
      <c r="W53" s="27"/>
      <c r="X53" s="28"/>
      <c r="Y53" s="27"/>
      <c r="Z53" s="27"/>
      <c r="AA53" s="27"/>
      <c r="AB53" s="32" t="str">
        <f aca="false">IF($A53="","",IF(COUNTIF('Commercial Evidence'!$A$3:$A$502,$A53)=0,"",IF(COUNTIFS('Commercial Evidence'!$A$3:$A$502,$A53,'Commercial Evidence'!$B$3:$B$502,"Previous CBS Talks spend")+COUNTIFS('Commercial Evidence'!$A$3:$A$502,$A53,'Commercial Evidence'!$B$3:$B$502,"Sponsors student organisations")&gt;0,2,IF(COUNTIFS('Commercial Evidence'!$A$3:$A$502,$A53,'Commercial Evidence'!$B$3:$B$502,"Sponsors university activities")+COUNTIFS('Commercial Evidence'!$A$3:$A$502,$A53,'Commercial Evidence'!$B$3:$B$502,"Sponsors similar events")+COUNTIFS('Commercial Evidence'!$A$3:$A$502,$A53,'Commercial Evidence'!$B$3:$B$502,"Previous CBS Talks partner")&gt;0,1,0))))</f>
        <v/>
      </c>
      <c r="AC53" s="32" t="str">
        <f aca="false">IF($A53="","",IF(COUNT(G53,J53,M53,P53,AB53)&lt;5,"",G53+J53+M53+P53+AB53))</f>
        <v/>
      </c>
      <c r="AD53" s="32" t="str">
        <f aca="false">IF($A53="","",IF(COUNTIFS(Contacts!$A$3:$A$502,$A53,Contacts!$E$3:$E$502,"Champion",Contacts!$K$3:$K$502,"&lt;&gt;Yes",Contacts!$L$3:$L$502,"&lt;&gt;Yes")+COUNTIFS(Opportunities!$A$3:$A$502,$A53,Opportunities!$C$3:$C$502,"Won",Opportunities!$Q$3:$Q$502,"Satisfied")&gt;0,4,IF(COUNTIFS(Interactions!$B$3:$B$502,$A53,Interactions!$I$3:$I$502,"Yes",Interactions!$A$3:$A$502,"&gt;="&amp;(S_Today-S_WarmDays))&gt;0,3,IF(T53&lt;&gt;"",2,IF(COUNTIFS(Contacts!$A$3:$A$502,$A53,Contacts!$M$3:$M$502,"Yes",Contacts!$K$3:$K$502,"&lt;&gt;Yes",Contacts!$L$3:$L$502,"&lt;&gt;Yes")&gt;0,1,0)))))</f>
        <v/>
      </c>
      <c r="AE53" s="32" t="str">
        <f aca="false">IF($A53="","",IF(Z53="Yes","Do not contact",IF(AC53="","Research",IF(AND(AC53&gt;=S_FitHigh,AD53&gt;=S_AccessHigh),"Priority",IF(AC53&gt;=S_FitHigh,"Build a Path",IF(AD53&gt;=S_AccessHigh,"Quick Win","Low Priority"))))))</f>
        <v/>
      </c>
      <c r="AF53" s="33" t="str">
        <f aca="false">IF($A53="","",IF(_xlfn.MAXIFS(Interactions!$A$3:$A$502,Interactions!$B$3:$B$502,$A53)=0,"",_xlfn.MAXIFS(Interactions!$A$3:$A$502,Interactions!$B$3:$B$502,$A53)))</f>
        <v/>
      </c>
      <c r="AG53" s="32" t="str">
        <f aca="false">IF($A53="","",COUNTIFS(Opportunities!$A$3:$A$502,$A53,Opportunities!$X$3:$X$502,"Yes"))</f>
        <v/>
      </c>
      <c r="AH53" s="32" t="str">
        <f aca="false">IF($A53="","",_xlfn.TEXTJOIN(", ",TRUE(),IF(COUNTIF($A$3:$A$502,$A53)&gt;1,"Duplicate name",""),IF(OR(AND(G53=2,I53=""),AND(J53=2,L53=""),AND(M53=2,O53=""),AND(P53=2,R53="")),"Source missing for a 2",""),IF(F53="","No owner",IF(COUNTIFS(R_TeamName,F53,R_TeamActive,"No")&gt;0,"Needs new owner","")),IF(AND(V53="Yes",X53&lt;&gt;"",X53&lt;S_SemStart),"Path overdue",""),IF(AND(S53&lt;&gt;"",S53&lt;S_Today-365),"Stale research",""),IF(AND(AE53="Research",COUNTIF('Commercial Evidence'!$A$3:$A$502,$A53)=0),"Add commercial evidence","")))</f>
        <v/>
      </c>
      <c r="AI53" s="34" t="str">
        <f aca="false">IF(OR($A53="",Z53="Yes"),"",IF(AND(AE53="Priority",AG53=0,COUNTIFS(Opportunities!$A$3:$A$502,$A53,Opportunities!$Y$3:$Y$502,"Renewal due")=0),600000+(10-AC53)*1000+(4-AD53)*100+ROW()/100000,IF(V53="Yes",700000+IF(X53="",0,X53-40000)/10+ROW()/100000,IF(AND(AE53="Quick Win",U53&lt;&gt;"",AG53=0),800000+(10-AC53)*1000+ROW()/100000,IF(AND(AE53="Build a Path",COUNTIF($V$3:$V$502,"Yes")&lt;S_PathCap),900000+(10-AC53)*1000+(4-AD53)*100+ROW()/100000,"")))))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8"/>
      <c r="T54" s="27"/>
      <c r="U54" s="27"/>
      <c r="V54" s="27"/>
      <c r="W54" s="27"/>
      <c r="X54" s="28"/>
      <c r="Y54" s="27"/>
      <c r="Z54" s="27"/>
      <c r="AA54" s="27"/>
      <c r="AB54" s="32" t="str">
        <f aca="false">IF($A54="","",IF(COUNTIF('Commercial Evidence'!$A$3:$A$502,$A54)=0,"",IF(COUNTIFS('Commercial Evidence'!$A$3:$A$502,$A54,'Commercial Evidence'!$B$3:$B$502,"Previous CBS Talks spend")+COUNTIFS('Commercial Evidence'!$A$3:$A$502,$A54,'Commercial Evidence'!$B$3:$B$502,"Sponsors student organisations")&gt;0,2,IF(COUNTIFS('Commercial Evidence'!$A$3:$A$502,$A54,'Commercial Evidence'!$B$3:$B$502,"Sponsors university activities")+COUNTIFS('Commercial Evidence'!$A$3:$A$502,$A54,'Commercial Evidence'!$B$3:$B$502,"Sponsors similar events")+COUNTIFS('Commercial Evidence'!$A$3:$A$502,$A54,'Commercial Evidence'!$B$3:$B$502,"Previous CBS Talks partner")&gt;0,1,0))))</f>
        <v/>
      </c>
      <c r="AC54" s="32" t="str">
        <f aca="false">IF($A54="","",IF(COUNT(G54,J54,M54,P54,AB54)&lt;5,"",G54+J54+M54+P54+AB54))</f>
        <v/>
      </c>
      <c r="AD54" s="32" t="str">
        <f aca="false">IF($A54="","",IF(COUNTIFS(Contacts!$A$3:$A$502,$A54,Contacts!$E$3:$E$502,"Champion",Contacts!$K$3:$K$502,"&lt;&gt;Yes",Contacts!$L$3:$L$502,"&lt;&gt;Yes")+COUNTIFS(Opportunities!$A$3:$A$502,$A54,Opportunities!$C$3:$C$502,"Won",Opportunities!$Q$3:$Q$502,"Satisfied")&gt;0,4,IF(COUNTIFS(Interactions!$B$3:$B$502,$A54,Interactions!$I$3:$I$502,"Yes",Interactions!$A$3:$A$502,"&gt;="&amp;(S_Today-S_WarmDays))&gt;0,3,IF(T54&lt;&gt;"",2,IF(COUNTIFS(Contacts!$A$3:$A$502,$A54,Contacts!$M$3:$M$502,"Yes",Contacts!$K$3:$K$502,"&lt;&gt;Yes",Contacts!$L$3:$L$502,"&lt;&gt;Yes")&gt;0,1,0)))))</f>
        <v/>
      </c>
      <c r="AE54" s="32" t="str">
        <f aca="false">IF($A54="","",IF(Z54="Yes","Do not contact",IF(AC54="","Research",IF(AND(AC54&gt;=S_FitHigh,AD54&gt;=S_AccessHigh),"Priority",IF(AC54&gt;=S_FitHigh,"Build a Path",IF(AD54&gt;=S_AccessHigh,"Quick Win","Low Priority"))))))</f>
        <v/>
      </c>
      <c r="AF54" s="33" t="str">
        <f aca="false">IF($A54="","",IF(_xlfn.MAXIFS(Interactions!$A$3:$A$502,Interactions!$B$3:$B$502,$A54)=0,"",_xlfn.MAXIFS(Interactions!$A$3:$A$502,Interactions!$B$3:$B$502,$A54)))</f>
        <v/>
      </c>
      <c r="AG54" s="32" t="str">
        <f aca="false">IF($A54="","",COUNTIFS(Opportunities!$A$3:$A$502,$A54,Opportunities!$X$3:$X$502,"Yes"))</f>
        <v/>
      </c>
      <c r="AH54" s="32" t="str">
        <f aca="false">IF($A54="","",_xlfn.TEXTJOIN(", ",TRUE(),IF(COUNTIF($A$3:$A$502,$A54)&gt;1,"Duplicate name",""),IF(OR(AND(G54=2,I54=""),AND(J54=2,L54=""),AND(M54=2,O54=""),AND(P54=2,R54="")),"Source missing for a 2",""),IF(F54="","No owner",IF(COUNTIFS(R_TeamName,F54,R_TeamActive,"No")&gt;0,"Needs new owner","")),IF(AND(V54="Yes",X54&lt;&gt;"",X54&lt;S_SemStart),"Path overdue",""),IF(AND(S54&lt;&gt;"",S54&lt;S_Today-365),"Stale research",""),IF(AND(AE54="Research",COUNTIF('Commercial Evidence'!$A$3:$A$502,$A54)=0),"Add commercial evidence","")))</f>
        <v/>
      </c>
      <c r="AI54" s="34" t="str">
        <f aca="false">IF(OR($A54="",Z54="Yes"),"",IF(AND(AE54="Priority",AG54=0,COUNTIFS(Opportunities!$A$3:$A$502,$A54,Opportunities!$Y$3:$Y$502,"Renewal due")=0),600000+(10-AC54)*1000+(4-AD54)*100+ROW()/100000,IF(V54="Yes",700000+IF(X54="",0,X54-40000)/10+ROW()/100000,IF(AND(AE54="Quick Win",U54&lt;&gt;"",AG54=0),800000+(10-AC54)*1000+ROW()/100000,IF(AND(AE54="Build a Path",COUNTIF($V$3:$V$502,"Yes")&lt;S_PathCap),900000+(10-AC54)*1000+(4-AD54)*100+ROW()/100000,"")))))</f>
        <v/>
      </c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8"/>
      <c r="T55" s="27"/>
      <c r="U55" s="27"/>
      <c r="V55" s="27"/>
      <c r="W55" s="27"/>
      <c r="X55" s="28"/>
      <c r="Y55" s="27"/>
      <c r="Z55" s="27"/>
      <c r="AA55" s="27"/>
      <c r="AB55" s="32" t="str">
        <f aca="false">IF($A55="","",IF(COUNTIF('Commercial Evidence'!$A$3:$A$502,$A55)=0,"",IF(COUNTIFS('Commercial Evidence'!$A$3:$A$502,$A55,'Commercial Evidence'!$B$3:$B$502,"Previous CBS Talks spend")+COUNTIFS('Commercial Evidence'!$A$3:$A$502,$A55,'Commercial Evidence'!$B$3:$B$502,"Sponsors student organisations")&gt;0,2,IF(COUNTIFS('Commercial Evidence'!$A$3:$A$502,$A55,'Commercial Evidence'!$B$3:$B$502,"Sponsors university activities")+COUNTIFS('Commercial Evidence'!$A$3:$A$502,$A55,'Commercial Evidence'!$B$3:$B$502,"Sponsors similar events")+COUNTIFS('Commercial Evidence'!$A$3:$A$502,$A55,'Commercial Evidence'!$B$3:$B$502,"Previous CBS Talks partner")&gt;0,1,0))))</f>
        <v/>
      </c>
      <c r="AC55" s="32" t="str">
        <f aca="false">IF($A55="","",IF(COUNT(G55,J55,M55,P55,AB55)&lt;5,"",G55+J55+M55+P55+AB55))</f>
        <v/>
      </c>
      <c r="AD55" s="32" t="str">
        <f aca="false">IF($A55="","",IF(COUNTIFS(Contacts!$A$3:$A$502,$A55,Contacts!$E$3:$E$502,"Champion",Contacts!$K$3:$K$502,"&lt;&gt;Yes",Contacts!$L$3:$L$502,"&lt;&gt;Yes")+COUNTIFS(Opportunities!$A$3:$A$502,$A55,Opportunities!$C$3:$C$502,"Won",Opportunities!$Q$3:$Q$502,"Satisfied")&gt;0,4,IF(COUNTIFS(Interactions!$B$3:$B$502,$A55,Interactions!$I$3:$I$502,"Yes",Interactions!$A$3:$A$502,"&gt;="&amp;(S_Today-S_WarmDays))&gt;0,3,IF(T55&lt;&gt;"",2,IF(COUNTIFS(Contacts!$A$3:$A$502,$A55,Contacts!$M$3:$M$502,"Yes",Contacts!$K$3:$K$502,"&lt;&gt;Yes",Contacts!$L$3:$L$502,"&lt;&gt;Yes")&gt;0,1,0)))))</f>
        <v/>
      </c>
      <c r="AE55" s="32" t="str">
        <f aca="false">IF($A55="","",IF(Z55="Yes","Do not contact",IF(AC55="","Research",IF(AND(AC55&gt;=S_FitHigh,AD55&gt;=S_AccessHigh),"Priority",IF(AC55&gt;=S_FitHigh,"Build a Path",IF(AD55&gt;=S_AccessHigh,"Quick Win","Low Priority"))))))</f>
        <v/>
      </c>
      <c r="AF55" s="33" t="str">
        <f aca="false">IF($A55="","",IF(_xlfn.MAXIFS(Interactions!$A$3:$A$502,Interactions!$B$3:$B$502,$A55)=0,"",_xlfn.MAXIFS(Interactions!$A$3:$A$502,Interactions!$B$3:$B$502,$A55)))</f>
        <v/>
      </c>
      <c r="AG55" s="32" t="str">
        <f aca="false">IF($A55="","",COUNTIFS(Opportunities!$A$3:$A$502,$A55,Opportunities!$X$3:$X$502,"Yes"))</f>
        <v/>
      </c>
      <c r="AH55" s="32" t="str">
        <f aca="false">IF($A55="","",_xlfn.TEXTJOIN(", ",TRUE(),IF(COUNTIF($A$3:$A$502,$A55)&gt;1,"Duplicate name",""),IF(OR(AND(G55=2,I55=""),AND(J55=2,L55=""),AND(M55=2,O55=""),AND(P55=2,R55="")),"Source missing for a 2",""),IF(F55="","No owner",IF(COUNTIFS(R_TeamName,F55,R_TeamActive,"No")&gt;0,"Needs new owner","")),IF(AND(V55="Yes",X55&lt;&gt;"",X55&lt;S_SemStart),"Path overdue",""),IF(AND(S55&lt;&gt;"",S55&lt;S_Today-365),"Stale research",""),IF(AND(AE55="Research",COUNTIF('Commercial Evidence'!$A$3:$A$502,$A55)=0),"Add commercial evidence","")))</f>
        <v/>
      </c>
      <c r="AI55" s="34" t="str">
        <f aca="false">IF(OR($A55="",Z55="Yes"),"",IF(AND(AE55="Priority",AG55=0,COUNTIFS(Opportunities!$A$3:$A$502,$A55,Opportunities!$Y$3:$Y$502,"Renewal due")=0),600000+(10-AC55)*1000+(4-AD55)*100+ROW()/100000,IF(V55="Yes",700000+IF(X55="",0,X55-40000)/10+ROW()/100000,IF(AND(AE55="Quick Win",U55&lt;&gt;"",AG55=0),800000+(10-AC55)*1000+ROW()/100000,IF(AND(AE55="Build a Path",COUNTIF($V$3:$V$502,"Yes")&lt;S_PathCap),900000+(10-AC55)*1000+(4-AD55)*100+ROW()/100000,"")))))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8"/>
      <c r="T56" s="27"/>
      <c r="U56" s="27"/>
      <c r="V56" s="27"/>
      <c r="W56" s="27"/>
      <c r="X56" s="28"/>
      <c r="Y56" s="27"/>
      <c r="Z56" s="27"/>
      <c r="AA56" s="27"/>
      <c r="AB56" s="32" t="str">
        <f aca="false">IF($A56="","",IF(COUNTIF('Commercial Evidence'!$A$3:$A$502,$A56)=0,"",IF(COUNTIFS('Commercial Evidence'!$A$3:$A$502,$A56,'Commercial Evidence'!$B$3:$B$502,"Previous CBS Talks spend")+COUNTIFS('Commercial Evidence'!$A$3:$A$502,$A56,'Commercial Evidence'!$B$3:$B$502,"Sponsors student organisations")&gt;0,2,IF(COUNTIFS('Commercial Evidence'!$A$3:$A$502,$A56,'Commercial Evidence'!$B$3:$B$502,"Sponsors university activities")+COUNTIFS('Commercial Evidence'!$A$3:$A$502,$A56,'Commercial Evidence'!$B$3:$B$502,"Sponsors similar events")+COUNTIFS('Commercial Evidence'!$A$3:$A$502,$A56,'Commercial Evidence'!$B$3:$B$502,"Previous CBS Talks partner")&gt;0,1,0))))</f>
        <v/>
      </c>
      <c r="AC56" s="32" t="str">
        <f aca="false">IF($A56="","",IF(COUNT(G56,J56,M56,P56,AB56)&lt;5,"",G56+J56+M56+P56+AB56))</f>
        <v/>
      </c>
      <c r="AD56" s="32" t="str">
        <f aca="false">IF($A56="","",IF(COUNTIFS(Contacts!$A$3:$A$502,$A56,Contacts!$E$3:$E$502,"Champion",Contacts!$K$3:$K$502,"&lt;&gt;Yes",Contacts!$L$3:$L$502,"&lt;&gt;Yes")+COUNTIFS(Opportunities!$A$3:$A$502,$A56,Opportunities!$C$3:$C$502,"Won",Opportunities!$Q$3:$Q$502,"Satisfied")&gt;0,4,IF(COUNTIFS(Interactions!$B$3:$B$502,$A56,Interactions!$I$3:$I$502,"Yes",Interactions!$A$3:$A$502,"&gt;="&amp;(S_Today-S_WarmDays))&gt;0,3,IF(T56&lt;&gt;"",2,IF(COUNTIFS(Contacts!$A$3:$A$502,$A56,Contacts!$M$3:$M$502,"Yes",Contacts!$K$3:$K$502,"&lt;&gt;Yes",Contacts!$L$3:$L$502,"&lt;&gt;Yes")&gt;0,1,0)))))</f>
        <v/>
      </c>
      <c r="AE56" s="32" t="str">
        <f aca="false">IF($A56="","",IF(Z56="Yes","Do not contact",IF(AC56="","Research",IF(AND(AC56&gt;=S_FitHigh,AD56&gt;=S_AccessHigh),"Priority",IF(AC56&gt;=S_FitHigh,"Build a Path",IF(AD56&gt;=S_AccessHigh,"Quick Win","Low Priority"))))))</f>
        <v/>
      </c>
      <c r="AF56" s="33" t="str">
        <f aca="false">IF($A56="","",IF(_xlfn.MAXIFS(Interactions!$A$3:$A$502,Interactions!$B$3:$B$502,$A56)=0,"",_xlfn.MAXIFS(Interactions!$A$3:$A$502,Interactions!$B$3:$B$502,$A56)))</f>
        <v/>
      </c>
      <c r="AG56" s="32" t="str">
        <f aca="false">IF($A56="","",COUNTIFS(Opportunities!$A$3:$A$502,$A56,Opportunities!$X$3:$X$502,"Yes"))</f>
        <v/>
      </c>
      <c r="AH56" s="32" t="str">
        <f aca="false">IF($A56="","",_xlfn.TEXTJOIN(", ",TRUE(),IF(COUNTIF($A$3:$A$502,$A56)&gt;1,"Duplicate name",""),IF(OR(AND(G56=2,I56=""),AND(J56=2,L56=""),AND(M56=2,O56=""),AND(P56=2,R56="")),"Source missing for a 2",""),IF(F56="","No owner",IF(COUNTIFS(R_TeamName,F56,R_TeamActive,"No")&gt;0,"Needs new owner","")),IF(AND(V56="Yes",X56&lt;&gt;"",X56&lt;S_SemStart),"Path overdue",""),IF(AND(S56&lt;&gt;"",S56&lt;S_Today-365),"Stale research",""),IF(AND(AE56="Research",COUNTIF('Commercial Evidence'!$A$3:$A$502,$A56)=0),"Add commercial evidence","")))</f>
        <v/>
      </c>
      <c r="AI56" s="34" t="str">
        <f aca="false">IF(OR($A56="",Z56="Yes"),"",IF(AND(AE56="Priority",AG56=0,COUNTIFS(Opportunities!$A$3:$A$502,$A56,Opportunities!$Y$3:$Y$502,"Renewal due")=0),600000+(10-AC56)*1000+(4-AD56)*100+ROW()/100000,IF(V56="Yes",700000+IF(X56="",0,X56-40000)/10+ROW()/100000,IF(AND(AE56="Quick Win",U56&lt;&gt;"",AG56=0),800000+(10-AC56)*1000+ROW()/100000,IF(AND(AE56="Build a Path",COUNTIF($V$3:$V$502,"Yes")&lt;S_PathCap),900000+(10-AC56)*1000+(4-AD56)*100+ROW()/100000,"")))))</f>
        <v/>
      </c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8"/>
      <c r="T57" s="27"/>
      <c r="U57" s="27"/>
      <c r="V57" s="27"/>
      <c r="W57" s="27"/>
      <c r="X57" s="28"/>
      <c r="Y57" s="27"/>
      <c r="Z57" s="27"/>
      <c r="AA57" s="27"/>
      <c r="AB57" s="32" t="str">
        <f aca="false">IF($A57="","",IF(COUNTIF('Commercial Evidence'!$A$3:$A$502,$A57)=0,"",IF(COUNTIFS('Commercial Evidence'!$A$3:$A$502,$A57,'Commercial Evidence'!$B$3:$B$502,"Previous CBS Talks spend")+COUNTIFS('Commercial Evidence'!$A$3:$A$502,$A57,'Commercial Evidence'!$B$3:$B$502,"Sponsors student organisations")&gt;0,2,IF(COUNTIFS('Commercial Evidence'!$A$3:$A$502,$A57,'Commercial Evidence'!$B$3:$B$502,"Sponsors university activities")+COUNTIFS('Commercial Evidence'!$A$3:$A$502,$A57,'Commercial Evidence'!$B$3:$B$502,"Sponsors similar events")+COUNTIFS('Commercial Evidence'!$A$3:$A$502,$A57,'Commercial Evidence'!$B$3:$B$502,"Previous CBS Talks partner")&gt;0,1,0))))</f>
        <v/>
      </c>
      <c r="AC57" s="32" t="str">
        <f aca="false">IF($A57="","",IF(COUNT(G57,J57,M57,P57,AB57)&lt;5,"",G57+J57+M57+P57+AB57))</f>
        <v/>
      </c>
      <c r="AD57" s="32" t="str">
        <f aca="false">IF($A57="","",IF(COUNTIFS(Contacts!$A$3:$A$502,$A57,Contacts!$E$3:$E$502,"Champion",Contacts!$K$3:$K$502,"&lt;&gt;Yes",Contacts!$L$3:$L$502,"&lt;&gt;Yes")+COUNTIFS(Opportunities!$A$3:$A$502,$A57,Opportunities!$C$3:$C$502,"Won",Opportunities!$Q$3:$Q$502,"Satisfied")&gt;0,4,IF(COUNTIFS(Interactions!$B$3:$B$502,$A57,Interactions!$I$3:$I$502,"Yes",Interactions!$A$3:$A$502,"&gt;="&amp;(S_Today-S_WarmDays))&gt;0,3,IF(T57&lt;&gt;"",2,IF(COUNTIFS(Contacts!$A$3:$A$502,$A57,Contacts!$M$3:$M$502,"Yes",Contacts!$K$3:$K$502,"&lt;&gt;Yes",Contacts!$L$3:$L$502,"&lt;&gt;Yes")&gt;0,1,0)))))</f>
        <v/>
      </c>
      <c r="AE57" s="32" t="str">
        <f aca="false">IF($A57="","",IF(Z57="Yes","Do not contact",IF(AC57="","Research",IF(AND(AC57&gt;=S_FitHigh,AD57&gt;=S_AccessHigh),"Priority",IF(AC57&gt;=S_FitHigh,"Build a Path",IF(AD57&gt;=S_AccessHigh,"Quick Win","Low Priority"))))))</f>
        <v/>
      </c>
      <c r="AF57" s="33" t="str">
        <f aca="false">IF($A57="","",IF(_xlfn.MAXIFS(Interactions!$A$3:$A$502,Interactions!$B$3:$B$502,$A57)=0,"",_xlfn.MAXIFS(Interactions!$A$3:$A$502,Interactions!$B$3:$B$502,$A57)))</f>
        <v/>
      </c>
      <c r="AG57" s="32" t="str">
        <f aca="false">IF($A57="","",COUNTIFS(Opportunities!$A$3:$A$502,$A57,Opportunities!$X$3:$X$502,"Yes"))</f>
        <v/>
      </c>
      <c r="AH57" s="32" t="str">
        <f aca="false">IF($A57="","",_xlfn.TEXTJOIN(", ",TRUE(),IF(COUNTIF($A$3:$A$502,$A57)&gt;1,"Duplicate name",""),IF(OR(AND(G57=2,I57=""),AND(J57=2,L57=""),AND(M57=2,O57=""),AND(P57=2,R57="")),"Source missing for a 2",""),IF(F57="","No owner",IF(COUNTIFS(R_TeamName,F57,R_TeamActive,"No")&gt;0,"Needs new owner","")),IF(AND(V57="Yes",X57&lt;&gt;"",X57&lt;S_SemStart),"Path overdue",""),IF(AND(S57&lt;&gt;"",S57&lt;S_Today-365),"Stale research",""),IF(AND(AE57="Research",COUNTIF('Commercial Evidence'!$A$3:$A$502,$A57)=0),"Add commercial evidence","")))</f>
        <v/>
      </c>
      <c r="AI57" s="34" t="str">
        <f aca="false">IF(OR($A57="",Z57="Yes"),"",IF(AND(AE57="Priority",AG57=0,COUNTIFS(Opportunities!$A$3:$A$502,$A57,Opportunities!$Y$3:$Y$502,"Renewal due")=0),600000+(10-AC57)*1000+(4-AD57)*100+ROW()/100000,IF(V57="Yes",700000+IF(X57="",0,X57-40000)/10+ROW()/100000,IF(AND(AE57="Quick Win",U57&lt;&gt;"",AG57=0),800000+(10-AC57)*1000+ROW()/100000,IF(AND(AE57="Build a Path",COUNTIF($V$3:$V$502,"Yes")&lt;S_PathCap),900000+(10-AC57)*1000+(4-AD57)*100+ROW()/100000,"")))))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8"/>
      <c r="T58" s="27"/>
      <c r="U58" s="27"/>
      <c r="V58" s="27"/>
      <c r="W58" s="27"/>
      <c r="X58" s="28"/>
      <c r="Y58" s="27"/>
      <c r="Z58" s="27"/>
      <c r="AA58" s="27"/>
      <c r="AB58" s="32" t="str">
        <f aca="false">IF($A58="","",IF(COUNTIF('Commercial Evidence'!$A$3:$A$502,$A58)=0,"",IF(COUNTIFS('Commercial Evidence'!$A$3:$A$502,$A58,'Commercial Evidence'!$B$3:$B$502,"Previous CBS Talks spend")+COUNTIFS('Commercial Evidence'!$A$3:$A$502,$A58,'Commercial Evidence'!$B$3:$B$502,"Sponsors student organisations")&gt;0,2,IF(COUNTIFS('Commercial Evidence'!$A$3:$A$502,$A58,'Commercial Evidence'!$B$3:$B$502,"Sponsors university activities")+COUNTIFS('Commercial Evidence'!$A$3:$A$502,$A58,'Commercial Evidence'!$B$3:$B$502,"Sponsors similar events")+COUNTIFS('Commercial Evidence'!$A$3:$A$502,$A58,'Commercial Evidence'!$B$3:$B$502,"Previous CBS Talks partner")&gt;0,1,0))))</f>
        <v/>
      </c>
      <c r="AC58" s="32" t="str">
        <f aca="false">IF($A58="","",IF(COUNT(G58,J58,M58,P58,AB58)&lt;5,"",G58+J58+M58+P58+AB58))</f>
        <v/>
      </c>
      <c r="AD58" s="32" t="str">
        <f aca="false">IF($A58="","",IF(COUNTIFS(Contacts!$A$3:$A$502,$A58,Contacts!$E$3:$E$502,"Champion",Contacts!$K$3:$K$502,"&lt;&gt;Yes",Contacts!$L$3:$L$502,"&lt;&gt;Yes")+COUNTIFS(Opportunities!$A$3:$A$502,$A58,Opportunities!$C$3:$C$502,"Won",Opportunities!$Q$3:$Q$502,"Satisfied")&gt;0,4,IF(COUNTIFS(Interactions!$B$3:$B$502,$A58,Interactions!$I$3:$I$502,"Yes",Interactions!$A$3:$A$502,"&gt;="&amp;(S_Today-S_WarmDays))&gt;0,3,IF(T58&lt;&gt;"",2,IF(COUNTIFS(Contacts!$A$3:$A$502,$A58,Contacts!$M$3:$M$502,"Yes",Contacts!$K$3:$K$502,"&lt;&gt;Yes",Contacts!$L$3:$L$502,"&lt;&gt;Yes")&gt;0,1,0)))))</f>
        <v/>
      </c>
      <c r="AE58" s="32" t="str">
        <f aca="false">IF($A58="","",IF(Z58="Yes","Do not contact",IF(AC58="","Research",IF(AND(AC58&gt;=S_FitHigh,AD58&gt;=S_AccessHigh),"Priority",IF(AC58&gt;=S_FitHigh,"Build a Path",IF(AD58&gt;=S_AccessHigh,"Quick Win","Low Priority"))))))</f>
        <v/>
      </c>
      <c r="AF58" s="33" t="str">
        <f aca="false">IF($A58="","",IF(_xlfn.MAXIFS(Interactions!$A$3:$A$502,Interactions!$B$3:$B$502,$A58)=0,"",_xlfn.MAXIFS(Interactions!$A$3:$A$502,Interactions!$B$3:$B$502,$A58)))</f>
        <v/>
      </c>
      <c r="AG58" s="32" t="str">
        <f aca="false">IF($A58="","",COUNTIFS(Opportunities!$A$3:$A$502,$A58,Opportunities!$X$3:$X$502,"Yes"))</f>
        <v/>
      </c>
      <c r="AH58" s="32" t="str">
        <f aca="false">IF($A58="","",_xlfn.TEXTJOIN(", ",TRUE(),IF(COUNTIF($A$3:$A$502,$A58)&gt;1,"Duplicate name",""),IF(OR(AND(G58=2,I58=""),AND(J58=2,L58=""),AND(M58=2,O58=""),AND(P58=2,R58="")),"Source missing for a 2",""),IF(F58="","No owner",IF(COUNTIFS(R_TeamName,F58,R_TeamActive,"No")&gt;0,"Needs new owner","")),IF(AND(V58="Yes",X58&lt;&gt;"",X58&lt;S_SemStart),"Path overdue",""),IF(AND(S58&lt;&gt;"",S58&lt;S_Today-365),"Stale research",""),IF(AND(AE58="Research",COUNTIF('Commercial Evidence'!$A$3:$A$502,$A58)=0),"Add commercial evidence","")))</f>
        <v/>
      </c>
      <c r="AI58" s="34" t="str">
        <f aca="false">IF(OR($A58="",Z58="Yes"),"",IF(AND(AE58="Priority",AG58=0,COUNTIFS(Opportunities!$A$3:$A$502,$A58,Opportunities!$Y$3:$Y$502,"Renewal due")=0),600000+(10-AC58)*1000+(4-AD58)*100+ROW()/100000,IF(V58="Yes",700000+IF(X58="",0,X58-40000)/10+ROW()/100000,IF(AND(AE58="Quick Win",U58&lt;&gt;"",AG58=0),800000+(10-AC58)*1000+ROW()/100000,IF(AND(AE58="Build a Path",COUNTIF($V$3:$V$502,"Yes")&lt;S_PathCap),900000+(10-AC58)*1000+(4-AD58)*100+ROW()/100000,"")))))</f>
        <v/>
      </c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8"/>
      <c r="T59" s="27"/>
      <c r="U59" s="27"/>
      <c r="V59" s="27"/>
      <c r="W59" s="27"/>
      <c r="X59" s="28"/>
      <c r="Y59" s="27"/>
      <c r="Z59" s="27"/>
      <c r="AA59" s="27"/>
      <c r="AB59" s="32" t="str">
        <f aca="false">IF($A59="","",IF(COUNTIF('Commercial Evidence'!$A$3:$A$502,$A59)=0,"",IF(COUNTIFS('Commercial Evidence'!$A$3:$A$502,$A59,'Commercial Evidence'!$B$3:$B$502,"Previous CBS Talks spend")+COUNTIFS('Commercial Evidence'!$A$3:$A$502,$A59,'Commercial Evidence'!$B$3:$B$502,"Sponsors student organisations")&gt;0,2,IF(COUNTIFS('Commercial Evidence'!$A$3:$A$502,$A59,'Commercial Evidence'!$B$3:$B$502,"Sponsors university activities")+COUNTIFS('Commercial Evidence'!$A$3:$A$502,$A59,'Commercial Evidence'!$B$3:$B$502,"Sponsors similar events")+COUNTIFS('Commercial Evidence'!$A$3:$A$502,$A59,'Commercial Evidence'!$B$3:$B$502,"Previous CBS Talks partner")&gt;0,1,0))))</f>
        <v/>
      </c>
      <c r="AC59" s="32" t="str">
        <f aca="false">IF($A59="","",IF(COUNT(G59,J59,M59,P59,AB59)&lt;5,"",G59+J59+M59+P59+AB59))</f>
        <v/>
      </c>
      <c r="AD59" s="32" t="str">
        <f aca="false">IF($A59="","",IF(COUNTIFS(Contacts!$A$3:$A$502,$A59,Contacts!$E$3:$E$502,"Champion",Contacts!$K$3:$K$502,"&lt;&gt;Yes",Contacts!$L$3:$L$502,"&lt;&gt;Yes")+COUNTIFS(Opportunities!$A$3:$A$502,$A59,Opportunities!$C$3:$C$502,"Won",Opportunities!$Q$3:$Q$502,"Satisfied")&gt;0,4,IF(COUNTIFS(Interactions!$B$3:$B$502,$A59,Interactions!$I$3:$I$502,"Yes",Interactions!$A$3:$A$502,"&gt;="&amp;(S_Today-S_WarmDays))&gt;0,3,IF(T59&lt;&gt;"",2,IF(COUNTIFS(Contacts!$A$3:$A$502,$A59,Contacts!$M$3:$M$502,"Yes",Contacts!$K$3:$K$502,"&lt;&gt;Yes",Contacts!$L$3:$L$502,"&lt;&gt;Yes")&gt;0,1,0)))))</f>
        <v/>
      </c>
      <c r="AE59" s="32" t="str">
        <f aca="false">IF($A59="","",IF(Z59="Yes","Do not contact",IF(AC59="","Research",IF(AND(AC59&gt;=S_FitHigh,AD59&gt;=S_AccessHigh),"Priority",IF(AC59&gt;=S_FitHigh,"Build a Path",IF(AD59&gt;=S_AccessHigh,"Quick Win","Low Priority"))))))</f>
        <v/>
      </c>
      <c r="AF59" s="33" t="str">
        <f aca="false">IF($A59="","",IF(_xlfn.MAXIFS(Interactions!$A$3:$A$502,Interactions!$B$3:$B$502,$A59)=0,"",_xlfn.MAXIFS(Interactions!$A$3:$A$502,Interactions!$B$3:$B$502,$A59)))</f>
        <v/>
      </c>
      <c r="AG59" s="32" t="str">
        <f aca="false">IF($A59="","",COUNTIFS(Opportunities!$A$3:$A$502,$A59,Opportunities!$X$3:$X$502,"Yes"))</f>
        <v/>
      </c>
      <c r="AH59" s="32" t="str">
        <f aca="false">IF($A59="","",_xlfn.TEXTJOIN(", ",TRUE(),IF(COUNTIF($A$3:$A$502,$A59)&gt;1,"Duplicate name",""),IF(OR(AND(G59=2,I59=""),AND(J59=2,L59=""),AND(M59=2,O59=""),AND(P59=2,R59="")),"Source missing for a 2",""),IF(F59="","No owner",IF(COUNTIFS(R_TeamName,F59,R_TeamActive,"No")&gt;0,"Needs new owner","")),IF(AND(V59="Yes",X59&lt;&gt;"",X59&lt;S_SemStart),"Path overdue",""),IF(AND(S59&lt;&gt;"",S59&lt;S_Today-365),"Stale research",""),IF(AND(AE59="Research",COUNTIF('Commercial Evidence'!$A$3:$A$502,$A59)=0),"Add commercial evidence","")))</f>
        <v/>
      </c>
      <c r="AI59" s="34" t="str">
        <f aca="false">IF(OR($A59="",Z59="Yes"),"",IF(AND(AE59="Priority",AG59=0,COUNTIFS(Opportunities!$A$3:$A$502,$A59,Opportunities!$Y$3:$Y$502,"Renewal due")=0),600000+(10-AC59)*1000+(4-AD59)*100+ROW()/100000,IF(V59="Yes",700000+IF(X59="",0,X59-40000)/10+ROW()/100000,IF(AND(AE59="Quick Win",U59&lt;&gt;"",AG59=0),800000+(10-AC59)*1000+ROW()/100000,IF(AND(AE59="Build a Path",COUNTIF($V$3:$V$502,"Yes")&lt;S_PathCap),900000+(10-AC59)*1000+(4-AD59)*100+ROW()/100000,"")))))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8"/>
      <c r="T60" s="27"/>
      <c r="U60" s="27"/>
      <c r="V60" s="27"/>
      <c r="W60" s="27"/>
      <c r="X60" s="28"/>
      <c r="Y60" s="27"/>
      <c r="Z60" s="27"/>
      <c r="AA60" s="27"/>
      <c r="AB60" s="32" t="str">
        <f aca="false">IF($A60="","",IF(COUNTIF('Commercial Evidence'!$A$3:$A$502,$A60)=0,"",IF(COUNTIFS('Commercial Evidence'!$A$3:$A$502,$A60,'Commercial Evidence'!$B$3:$B$502,"Previous CBS Talks spend")+COUNTIFS('Commercial Evidence'!$A$3:$A$502,$A60,'Commercial Evidence'!$B$3:$B$502,"Sponsors student organisations")&gt;0,2,IF(COUNTIFS('Commercial Evidence'!$A$3:$A$502,$A60,'Commercial Evidence'!$B$3:$B$502,"Sponsors university activities")+COUNTIFS('Commercial Evidence'!$A$3:$A$502,$A60,'Commercial Evidence'!$B$3:$B$502,"Sponsors similar events")+COUNTIFS('Commercial Evidence'!$A$3:$A$502,$A60,'Commercial Evidence'!$B$3:$B$502,"Previous CBS Talks partner")&gt;0,1,0))))</f>
        <v/>
      </c>
      <c r="AC60" s="32" t="str">
        <f aca="false">IF($A60="","",IF(COUNT(G60,J60,M60,P60,AB60)&lt;5,"",G60+J60+M60+P60+AB60))</f>
        <v/>
      </c>
      <c r="AD60" s="32" t="str">
        <f aca="false">IF($A60="","",IF(COUNTIFS(Contacts!$A$3:$A$502,$A60,Contacts!$E$3:$E$502,"Champion",Contacts!$K$3:$K$502,"&lt;&gt;Yes",Contacts!$L$3:$L$502,"&lt;&gt;Yes")+COUNTIFS(Opportunities!$A$3:$A$502,$A60,Opportunities!$C$3:$C$502,"Won",Opportunities!$Q$3:$Q$502,"Satisfied")&gt;0,4,IF(COUNTIFS(Interactions!$B$3:$B$502,$A60,Interactions!$I$3:$I$502,"Yes",Interactions!$A$3:$A$502,"&gt;="&amp;(S_Today-S_WarmDays))&gt;0,3,IF(T60&lt;&gt;"",2,IF(COUNTIFS(Contacts!$A$3:$A$502,$A60,Contacts!$M$3:$M$502,"Yes",Contacts!$K$3:$K$502,"&lt;&gt;Yes",Contacts!$L$3:$L$502,"&lt;&gt;Yes")&gt;0,1,0)))))</f>
        <v/>
      </c>
      <c r="AE60" s="32" t="str">
        <f aca="false">IF($A60="","",IF(Z60="Yes","Do not contact",IF(AC60="","Research",IF(AND(AC60&gt;=S_FitHigh,AD60&gt;=S_AccessHigh),"Priority",IF(AC60&gt;=S_FitHigh,"Build a Path",IF(AD60&gt;=S_AccessHigh,"Quick Win","Low Priority"))))))</f>
        <v/>
      </c>
      <c r="AF60" s="33" t="str">
        <f aca="false">IF($A60="","",IF(_xlfn.MAXIFS(Interactions!$A$3:$A$502,Interactions!$B$3:$B$502,$A60)=0,"",_xlfn.MAXIFS(Interactions!$A$3:$A$502,Interactions!$B$3:$B$502,$A60)))</f>
        <v/>
      </c>
      <c r="AG60" s="32" t="str">
        <f aca="false">IF($A60="","",COUNTIFS(Opportunities!$A$3:$A$502,$A60,Opportunities!$X$3:$X$502,"Yes"))</f>
        <v/>
      </c>
      <c r="AH60" s="32" t="str">
        <f aca="false">IF($A60="","",_xlfn.TEXTJOIN(", ",TRUE(),IF(COUNTIF($A$3:$A$502,$A60)&gt;1,"Duplicate name",""),IF(OR(AND(G60=2,I60=""),AND(J60=2,L60=""),AND(M60=2,O60=""),AND(P60=2,R60="")),"Source missing for a 2",""),IF(F60="","No owner",IF(COUNTIFS(R_TeamName,F60,R_TeamActive,"No")&gt;0,"Needs new owner","")),IF(AND(V60="Yes",X60&lt;&gt;"",X60&lt;S_SemStart),"Path overdue",""),IF(AND(S60&lt;&gt;"",S60&lt;S_Today-365),"Stale research",""),IF(AND(AE60="Research",COUNTIF('Commercial Evidence'!$A$3:$A$502,$A60)=0),"Add commercial evidence","")))</f>
        <v/>
      </c>
      <c r="AI60" s="34" t="str">
        <f aca="false">IF(OR($A60="",Z60="Yes"),"",IF(AND(AE60="Priority",AG60=0,COUNTIFS(Opportunities!$A$3:$A$502,$A60,Opportunities!$Y$3:$Y$502,"Renewal due")=0),600000+(10-AC60)*1000+(4-AD60)*100+ROW()/100000,IF(V60="Yes",700000+IF(X60="",0,X60-40000)/10+ROW()/100000,IF(AND(AE60="Quick Win",U60&lt;&gt;"",AG60=0),800000+(10-AC60)*1000+ROW()/100000,IF(AND(AE60="Build a Path",COUNTIF($V$3:$V$502,"Yes")&lt;S_PathCap),900000+(10-AC60)*1000+(4-AD60)*100+ROW()/100000,"")))))</f>
        <v/>
      </c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8"/>
      <c r="T61" s="27"/>
      <c r="U61" s="27"/>
      <c r="V61" s="27"/>
      <c r="W61" s="27"/>
      <c r="X61" s="28"/>
      <c r="Y61" s="27"/>
      <c r="Z61" s="27"/>
      <c r="AA61" s="27"/>
      <c r="AB61" s="32" t="str">
        <f aca="false">IF($A61="","",IF(COUNTIF('Commercial Evidence'!$A$3:$A$502,$A61)=0,"",IF(COUNTIFS('Commercial Evidence'!$A$3:$A$502,$A61,'Commercial Evidence'!$B$3:$B$502,"Previous CBS Talks spend")+COUNTIFS('Commercial Evidence'!$A$3:$A$502,$A61,'Commercial Evidence'!$B$3:$B$502,"Sponsors student organisations")&gt;0,2,IF(COUNTIFS('Commercial Evidence'!$A$3:$A$502,$A61,'Commercial Evidence'!$B$3:$B$502,"Sponsors university activities")+COUNTIFS('Commercial Evidence'!$A$3:$A$502,$A61,'Commercial Evidence'!$B$3:$B$502,"Sponsors similar events")+COUNTIFS('Commercial Evidence'!$A$3:$A$502,$A61,'Commercial Evidence'!$B$3:$B$502,"Previous CBS Talks partner")&gt;0,1,0))))</f>
        <v/>
      </c>
      <c r="AC61" s="32" t="str">
        <f aca="false">IF($A61="","",IF(COUNT(G61,J61,M61,P61,AB61)&lt;5,"",G61+J61+M61+P61+AB61))</f>
        <v/>
      </c>
      <c r="AD61" s="32" t="str">
        <f aca="false">IF($A61="","",IF(COUNTIFS(Contacts!$A$3:$A$502,$A61,Contacts!$E$3:$E$502,"Champion",Contacts!$K$3:$K$502,"&lt;&gt;Yes",Contacts!$L$3:$L$502,"&lt;&gt;Yes")+COUNTIFS(Opportunities!$A$3:$A$502,$A61,Opportunities!$C$3:$C$502,"Won",Opportunities!$Q$3:$Q$502,"Satisfied")&gt;0,4,IF(COUNTIFS(Interactions!$B$3:$B$502,$A61,Interactions!$I$3:$I$502,"Yes",Interactions!$A$3:$A$502,"&gt;="&amp;(S_Today-S_WarmDays))&gt;0,3,IF(T61&lt;&gt;"",2,IF(COUNTIFS(Contacts!$A$3:$A$502,$A61,Contacts!$M$3:$M$502,"Yes",Contacts!$K$3:$K$502,"&lt;&gt;Yes",Contacts!$L$3:$L$502,"&lt;&gt;Yes")&gt;0,1,0)))))</f>
        <v/>
      </c>
      <c r="AE61" s="32" t="str">
        <f aca="false">IF($A61="","",IF(Z61="Yes","Do not contact",IF(AC61="","Research",IF(AND(AC61&gt;=S_FitHigh,AD61&gt;=S_AccessHigh),"Priority",IF(AC61&gt;=S_FitHigh,"Build a Path",IF(AD61&gt;=S_AccessHigh,"Quick Win","Low Priority"))))))</f>
        <v/>
      </c>
      <c r="AF61" s="33" t="str">
        <f aca="false">IF($A61="","",IF(_xlfn.MAXIFS(Interactions!$A$3:$A$502,Interactions!$B$3:$B$502,$A61)=0,"",_xlfn.MAXIFS(Interactions!$A$3:$A$502,Interactions!$B$3:$B$502,$A61)))</f>
        <v/>
      </c>
      <c r="AG61" s="32" t="str">
        <f aca="false">IF($A61="","",COUNTIFS(Opportunities!$A$3:$A$502,$A61,Opportunities!$X$3:$X$502,"Yes"))</f>
        <v/>
      </c>
      <c r="AH61" s="32" t="str">
        <f aca="false">IF($A61="","",_xlfn.TEXTJOIN(", ",TRUE(),IF(COUNTIF($A$3:$A$502,$A61)&gt;1,"Duplicate name",""),IF(OR(AND(G61=2,I61=""),AND(J61=2,L61=""),AND(M61=2,O61=""),AND(P61=2,R61="")),"Source missing for a 2",""),IF(F61="","No owner",IF(COUNTIFS(R_TeamName,F61,R_TeamActive,"No")&gt;0,"Needs new owner","")),IF(AND(V61="Yes",X61&lt;&gt;"",X61&lt;S_SemStart),"Path overdue",""),IF(AND(S61&lt;&gt;"",S61&lt;S_Today-365),"Stale research",""),IF(AND(AE61="Research",COUNTIF('Commercial Evidence'!$A$3:$A$502,$A61)=0),"Add commercial evidence","")))</f>
        <v/>
      </c>
      <c r="AI61" s="34" t="str">
        <f aca="false">IF(OR($A61="",Z61="Yes"),"",IF(AND(AE61="Priority",AG61=0,COUNTIFS(Opportunities!$A$3:$A$502,$A61,Opportunities!$Y$3:$Y$502,"Renewal due")=0),600000+(10-AC61)*1000+(4-AD61)*100+ROW()/100000,IF(V61="Yes",700000+IF(X61="",0,X61-40000)/10+ROW()/100000,IF(AND(AE61="Quick Win",U61&lt;&gt;"",AG61=0),800000+(10-AC61)*1000+ROW()/100000,IF(AND(AE61="Build a Path",COUNTIF($V$3:$V$502,"Yes")&lt;S_PathCap),900000+(10-AC61)*1000+(4-AD61)*100+ROW()/100000,"")))))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8"/>
      <c r="T62" s="27"/>
      <c r="U62" s="27"/>
      <c r="V62" s="27"/>
      <c r="W62" s="27"/>
      <c r="X62" s="28"/>
      <c r="Y62" s="27"/>
      <c r="Z62" s="27"/>
      <c r="AA62" s="27"/>
      <c r="AB62" s="32" t="str">
        <f aca="false">IF($A62="","",IF(COUNTIF('Commercial Evidence'!$A$3:$A$502,$A62)=0,"",IF(COUNTIFS('Commercial Evidence'!$A$3:$A$502,$A62,'Commercial Evidence'!$B$3:$B$502,"Previous CBS Talks spend")+COUNTIFS('Commercial Evidence'!$A$3:$A$502,$A62,'Commercial Evidence'!$B$3:$B$502,"Sponsors student organisations")&gt;0,2,IF(COUNTIFS('Commercial Evidence'!$A$3:$A$502,$A62,'Commercial Evidence'!$B$3:$B$502,"Sponsors university activities")+COUNTIFS('Commercial Evidence'!$A$3:$A$502,$A62,'Commercial Evidence'!$B$3:$B$502,"Sponsors similar events")+COUNTIFS('Commercial Evidence'!$A$3:$A$502,$A62,'Commercial Evidence'!$B$3:$B$502,"Previous CBS Talks partner")&gt;0,1,0))))</f>
        <v/>
      </c>
      <c r="AC62" s="32" t="str">
        <f aca="false">IF($A62="","",IF(COUNT(G62,J62,M62,P62,AB62)&lt;5,"",G62+J62+M62+P62+AB62))</f>
        <v/>
      </c>
      <c r="AD62" s="32" t="str">
        <f aca="false">IF($A62="","",IF(COUNTIFS(Contacts!$A$3:$A$502,$A62,Contacts!$E$3:$E$502,"Champion",Contacts!$K$3:$K$502,"&lt;&gt;Yes",Contacts!$L$3:$L$502,"&lt;&gt;Yes")+COUNTIFS(Opportunities!$A$3:$A$502,$A62,Opportunities!$C$3:$C$502,"Won",Opportunities!$Q$3:$Q$502,"Satisfied")&gt;0,4,IF(COUNTIFS(Interactions!$B$3:$B$502,$A62,Interactions!$I$3:$I$502,"Yes",Interactions!$A$3:$A$502,"&gt;="&amp;(S_Today-S_WarmDays))&gt;0,3,IF(T62&lt;&gt;"",2,IF(COUNTIFS(Contacts!$A$3:$A$502,$A62,Contacts!$M$3:$M$502,"Yes",Contacts!$K$3:$K$502,"&lt;&gt;Yes",Contacts!$L$3:$L$502,"&lt;&gt;Yes")&gt;0,1,0)))))</f>
        <v/>
      </c>
      <c r="AE62" s="32" t="str">
        <f aca="false">IF($A62="","",IF(Z62="Yes","Do not contact",IF(AC62="","Research",IF(AND(AC62&gt;=S_FitHigh,AD62&gt;=S_AccessHigh),"Priority",IF(AC62&gt;=S_FitHigh,"Build a Path",IF(AD62&gt;=S_AccessHigh,"Quick Win","Low Priority"))))))</f>
        <v/>
      </c>
      <c r="AF62" s="33" t="str">
        <f aca="false">IF($A62="","",IF(_xlfn.MAXIFS(Interactions!$A$3:$A$502,Interactions!$B$3:$B$502,$A62)=0,"",_xlfn.MAXIFS(Interactions!$A$3:$A$502,Interactions!$B$3:$B$502,$A62)))</f>
        <v/>
      </c>
      <c r="AG62" s="32" t="str">
        <f aca="false">IF($A62="","",COUNTIFS(Opportunities!$A$3:$A$502,$A62,Opportunities!$X$3:$X$502,"Yes"))</f>
        <v/>
      </c>
      <c r="AH62" s="32" t="str">
        <f aca="false">IF($A62="","",_xlfn.TEXTJOIN(", ",TRUE(),IF(COUNTIF($A$3:$A$502,$A62)&gt;1,"Duplicate name",""),IF(OR(AND(G62=2,I62=""),AND(J62=2,L62=""),AND(M62=2,O62=""),AND(P62=2,R62="")),"Source missing for a 2",""),IF(F62="","No owner",IF(COUNTIFS(R_TeamName,F62,R_TeamActive,"No")&gt;0,"Needs new owner","")),IF(AND(V62="Yes",X62&lt;&gt;"",X62&lt;S_SemStart),"Path overdue",""),IF(AND(S62&lt;&gt;"",S62&lt;S_Today-365),"Stale research",""),IF(AND(AE62="Research",COUNTIF('Commercial Evidence'!$A$3:$A$502,$A62)=0),"Add commercial evidence","")))</f>
        <v/>
      </c>
      <c r="AI62" s="34" t="str">
        <f aca="false">IF(OR($A62="",Z62="Yes"),"",IF(AND(AE62="Priority",AG62=0,COUNTIFS(Opportunities!$A$3:$A$502,$A62,Opportunities!$Y$3:$Y$502,"Renewal due")=0),600000+(10-AC62)*1000+(4-AD62)*100+ROW()/100000,IF(V62="Yes",700000+IF(X62="",0,X62-40000)/10+ROW()/100000,IF(AND(AE62="Quick Win",U62&lt;&gt;"",AG62=0),800000+(10-AC62)*1000+ROW()/100000,IF(AND(AE62="Build a Path",COUNTIF($V$3:$V$502,"Yes")&lt;S_PathCap),900000+(10-AC62)*1000+(4-AD62)*100+ROW()/100000,"")))))</f>
        <v/>
      </c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8"/>
      <c r="T63" s="27"/>
      <c r="U63" s="27"/>
      <c r="V63" s="27"/>
      <c r="W63" s="27"/>
      <c r="X63" s="28"/>
      <c r="Y63" s="27"/>
      <c r="Z63" s="27"/>
      <c r="AA63" s="27"/>
      <c r="AB63" s="32" t="str">
        <f aca="false">IF($A63="","",IF(COUNTIF('Commercial Evidence'!$A$3:$A$502,$A63)=0,"",IF(COUNTIFS('Commercial Evidence'!$A$3:$A$502,$A63,'Commercial Evidence'!$B$3:$B$502,"Previous CBS Talks spend")+COUNTIFS('Commercial Evidence'!$A$3:$A$502,$A63,'Commercial Evidence'!$B$3:$B$502,"Sponsors student organisations")&gt;0,2,IF(COUNTIFS('Commercial Evidence'!$A$3:$A$502,$A63,'Commercial Evidence'!$B$3:$B$502,"Sponsors university activities")+COUNTIFS('Commercial Evidence'!$A$3:$A$502,$A63,'Commercial Evidence'!$B$3:$B$502,"Sponsors similar events")+COUNTIFS('Commercial Evidence'!$A$3:$A$502,$A63,'Commercial Evidence'!$B$3:$B$502,"Previous CBS Talks partner")&gt;0,1,0))))</f>
        <v/>
      </c>
      <c r="AC63" s="32" t="str">
        <f aca="false">IF($A63="","",IF(COUNT(G63,J63,M63,P63,AB63)&lt;5,"",G63+J63+M63+P63+AB63))</f>
        <v/>
      </c>
      <c r="AD63" s="32" t="str">
        <f aca="false">IF($A63="","",IF(COUNTIFS(Contacts!$A$3:$A$502,$A63,Contacts!$E$3:$E$502,"Champion",Contacts!$K$3:$K$502,"&lt;&gt;Yes",Contacts!$L$3:$L$502,"&lt;&gt;Yes")+COUNTIFS(Opportunities!$A$3:$A$502,$A63,Opportunities!$C$3:$C$502,"Won",Opportunities!$Q$3:$Q$502,"Satisfied")&gt;0,4,IF(COUNTIFS(Interactions!$B$3:$B$502,$A63,Interactions!$I$3:$I$502,"Yes",Interactions!$A$3:$A$502,"&gt;="&amp;(S_Today-S_WarmDays))&gt;0,3,IF(T63&lt;&gt;"",2,IF(COUNTIFS(Contacts!$A$3:$A$502,$A63,Contacts!$M$3:$M$502,"Yes",Contacts!$K$3:$K$502,"&lt;&gt;Yes",Contacts!$L$3:$L$502,"&lt;&gt;Yes")&gt;0,1,0)))))</f>
        <v/>
      </c>
      <c r="AE63" s="32" t="str">
        <f aca="false">IF($A63="","",IF(Z63="Yes","Do not contact",IF(AC63="","Research",IF(AND(AC63&gt;=S_FitHigh,AD63&gt;=S_AccessHigh),"Priority",IF(AC63&gt;=S_FitHigh,"Build a Path",IF(AD63&gt;=S_AccessHigh,"Quick Win","Low Priority"))))))</f>
        <v/>
      </c>
      <c r="AF63" s="33" t="str">
        <f aca="false">IF($A63="","",IF(_xlfn.MAXIFS(Interactions!$A$3:$A$502,Interactions!$B$3:$B$502,$A63)=0,"",_xlfn.MAXIFS(Interactions!$A$3:$A$502,Interactions!$B$3:$B$502,$A63)))</f>
        <v/>
      </c>
      <c r="AG63" s="32" t="str">
        <f aca="false">IF($A63="","",COUNTIFS(Opportunities!$A$3:$A$502,$A63,Opportunities!$X$3:$X$502,"Yes"))</f>
        <v/>
      </c>
      <c r="AH63" s="32" t="str">
        <f aca="false">IF($A63="","",_xlfn.TEXTJOIN(", ",TRUE(),IF(COUNTIF($A$3:$A$502,$A63)&gt;1,"Duplicate name",""),IF(OR(AND(G63=2,I63=""),AND(J63=2,L63=""),AND(M63=2,O63=""),AND(P63=2,R63="")),"Source missing for a 2",""),IF(F63="","No owner",IF(COUNTIFS(R_TeamName,F63,R_TeamActive,"No")&gt;0,"Needs new owner","")),IF(AND(V63="Yes",X63&lt;&gt;"",X63&lt;S_SemStart),"Path overdue",""),IF(AND(S63&lt;&gt;"",S63&lt;S_Today-365),"Stale research",""),IF(AND(AE63="Research",COUNTIF('Commercial Evidence'!$A$3:$A$502,$A63)=0),"Add commercial evidence","")))</f>
        <v/>
      </c>
      <c r="AI63" s="34" t="str">
        <f aca="false">IF(OR($A63="",Z63="Yes"),"",IF(AND(AE63="Priority",AG63=0,COUNTIFS(Opportunities!$A$3:$A$502,$A63,Opportunities!$Y$3:$Y$502,"Renewal due")=0),600000+(10-AC63)*1000+(4-AD63)*100+ROW()/100000,IF(V63="Yes",700000+IF(X63="",0,X63-40000)/10+ROW()/100000,IF(AND(AE63="Quick Win",U63&lt;&gt;"",AG63=0),800000+(10-AC63)*1000+ROW()/100000,IF(AND(AE63="Build a Path",COUNTIF($V$3:$V$502,"Yes")&lt;S_PathCap),900000+(10-AC63)*1000+(4-AD63)*100+ROW()/100000,"")))))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8"/>
      <c r="T64" s="27"/>
      <c r="U64" s="27"/>
      <c r="V64" s="27"/>
      <c r="W64" s="27"/>
      <c r="X64" s="28"/>
      <c r="Y64" s="27"/>
      <c r="Z64" s="27"/>
      <c r="AA64" s="27"/>
      <c r="AB64" s="32" t="str">
        <f aca="false">IF($A64="","",IF(COUNTIF('Commercial Evidence'!$A$3:$A$502,$A64)=0,"",IF(COUNTIFS('Commercial Evidence'!$A$3:$A$502,$A64,'Commercial Evidence'!$B$3:$B$502,"Previous CBS Talks spend")+COUNTIFS('Commercial Evidence'!$A$3:$A$502,$A64,'Commercial Evidence'!$B$3:$B$502,"Sponsors student organisations")&gt;0,2,IF(COUNTIFS('Commercial Evidence'!$A$3:$A$502,$A64,'Commercial Evidence'!$B$3:$B$502,"Sponsors university activities")+COUNTIFS('Commercial Evidence'!$A$3:$A$502,$A64,'Commercial Evidence'!$B$3:$B$502,"Sponsors similar events")+COUNTIFS('Commercial Evidence'!$A$3:$A$502,$A64,'Commercial Evidence'!$B$3:$B$502,"Previous CBS Talks partner")&gt;0,1,0))))</f>
        <v/>
      </c>
      <c r="AC64" s="32" t="str">
        <f aca="false">IF($A64="","",IF(COUNT(G64,J64,M64,P64,AB64)&lt;5,"",G64+J64+M64+P64+AB64))</f>
        <v/>
      </c>
      <c r="AD64" s="32" t="str">
        <f aca="false">IF($A64="","",IF(COUNTIFS(Contacts!$A$3:$A$502,$A64,Contacts!$E$3:$E$502,"Champion",Contacts!$K$3:$K$502,"&lt;&gt;Yes",Contacts!$L$3:$L$502,"&lt;&gt;Yes")+COUNTIFS(Opportunities!$A$3:$A$502,$A64,Opportunities!$C$3:$C$502,"Won",Opportunities!$Q$3:$Q$502,"Satisfied")&gt;0,4,IF(COUNTIFS(Interactions!$B$3:$B$502,$A64,Interactions!$I$3:$I$502,"Yes",Interactions!$A$3:$A$502,"&gt;="&amp;(S_Today-S_WarmDays))&gt;0,3,IF(T64&lt;&gt;"",2,IF(COUNTIFS(Contacts!$A$3:$A$502,$A64,Contacts!$M$3:$M$502,"Yes",Contacts!$K$3:$K$502,"&lt;&gt;Yes",Contacts!$L$3:$L$502,"&lt;&gt;Yes")&gt;0,1,0)))))</f>
        <v/>
      </c>
      <c r="AE64" s="32" t="str">
        <f aca="false">IF($A64="","",IF(Z64="Yes","Do not contact",IF(AC64="","Research",IF(AND(AC64&gt;=S_FitHigh,AD64&gt;=S_AccessHigh),"Priority",IF(AC64&gt;=S_FitHigh,"Build a Path",IF(AD64&gt;=S_AccessHigh,"Quick Win","Low Priority"))))))</f>
        <v/>
      </c>
      <c r="AF64" s="33" t="str">
        <f aca="false">IF($A64="","",IF(_xlfn.MAXIFS(Interactions!$A$3:$A$502,Interactions!$B$3:$B$502,$A64)=0,"",_xlfn.MAXIFS(Interactions!$A$3:$A$502,Interactions!$B$3:$B$502,$A64)))</f>
        <v/>
      </c>
      <c r="AG64" s="32" t="str">
        <f aca="false">IF($A64="","",COUNTIFS(Opportunities!$A$3:$A$502,$A64,Opportunities!$X$3:$X$502,"Yes"))</f>
        <v/>
      </c>
      <c r="AH64" s="32" t="str">
        <f aca="false">IF($A64="","",_xlfn.TEXTJOIN(", ",TRUE(),IF(COUNTIF($A$3:$A$502,$A64)&gt;1,"Duplicate name",""),IF(OR(AND(G64=2,I64=""),AND(J64=2,L64=""),AND(M64=2,O64=""),AND(P64=2,R64="")),"Source missing for a 2",""),IF(F64="","No owner",IF(COUNTIFS(R_TeamName,F64,R_TeamActive,"No")&gt;0,"Needs new owner","")),IF(AND(V64="Yes",X64&lt;&gt;"",X64&lt;S_SemStart),"Path overdue",""),IF(AND(S64&lt;&gt;"",S64&lt;S_Today-365),"Stale research",""),IF(AND(AE64="Research",COUNTIF('Commercial Evidence'!$A$3:$A$502,$A64)=0),"Add commercial evidence","")))</f>
        <v/>
      </c>
      <c r="AI64" s="34" t="str">
        <f aca="false">IF(OR($A64="",Z64="Yes"),"",IF(AND(AE64="Priority",AG64=0,COUNTIFS(Opportunities!$A$3:$A$502,$A64,Opportunities!$Y$3:$Y$502,"Renewal due")=0),600000+(10-AC64)*1000+(4-AD64)*100+ROW()/100000,IF(V64="Yes",700000+IF(X64="",0,X64-40000)/10+ROW()/100000,IF(AND(AE64="Quick Win",U64&lt;&gt;"",AG64=0),800000+(10-AC64)*1000+ROW()/100000,IF(AND(AE64="Build a Path",COUNTIF($V$3:$V$502,"Yes")&lt;S_PathCap),900000+(10-AC64)*1000+(4-AD64)*100+ROW()/100000,"")))))</f>
        <v/>
      </c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8"/>
      <c r="T65" s="27"/>
      <c r="U65" s="27"/>
      <c r="V65" s="27"/>
      <c r="W65" s="27"/>
      <c r="X65" s="28"/>
      <c r="Y65" s="27"/>
      <c r="Z65" s="27"/>
      <c r="AA65" s="27"/>
      <c r="AB65" s="32" t="str">
        <f aca="false">IF($A65="","",IF(COUNTIF('Commercial Evidence'!$A$3:$A$502,$A65)=0,"",IF(COUNTIFS('Commercial Evidence'!$A$3:$A$502,$A65,'Commercial Evidence'!$B$3:$B$502,"Previous CBS Talks spend")+COUNTIFS('Commercial Evidence'!$A$3:$A$502,$A65,'Commercial Evidence'!$B$3:$B$502,"Sponsors student organisations")&gt;0,2,IF(COUNTIFS('Commercial Evidence'!$A$3:$A$502,$A65,'Commercial Evidence'!$B$3:$B$502,"Sponsors university activities")+COUNTIFS('Commercial Evidence'!$A$3:$A$502,$A65,'Commercial Evidence'!$B$3:$B$502,"Sponsors similar events")+COUNTIFS('Commercial Evidence'!$A$3:$A$502,$A65,'Commercial Evidence'!$B$3:$B$502,"Previous CBS Talks partner")&gt;0,1,0))))</f>
        <v/>
      </c>
      <c r="AC65" s="32" t="str">
        <f aca="false">IF($A65="","",IF(COUNT(G65,J65,M65,P65,AB65)&lt;5,"",G65+J65+M65+P65+AB65))</f>
        <v/>
      </c>
      <c r="AD65" s="32" t="str">
        <f aca="false">IF($A65="","",IF(COUNTIFS(Contacts!$A$3:$A$502,$A65,Contacts!$E$3:$E$502,"Champion",Contacts!$K$3:$K$502,"&lt;&gt;Yes",Contacts!$L$3:$L$502,"&lt;&gt;Yes")+COUNTIFS(Opportunities!$A$3:$A$502,$A65,Opportunities!$C$3:$C$502,"Won",Opportunities!$Q$3:$Q$502,"Satisfied")&gt;0,4,IF(COUNTIFS(Interactions!$B$3:$B$502,$A65,Interactions!$I$3:$I$502,"Yes",Interactions!$A$3:$A$502,"&gt;="&amp;(S_Today-S_WarmDays))&gt;0,3,IF(T65&lt;&gt;"",2,IF(COUNTIFS(Contacts!$A$3:$A$502,$A65,Contacts!$M$3:$M$502,"Yes",Contacts!$K$3:$K$502,"&lt;&gt;Yes",Contacts!$L$3:$L$502,"&lt;&gt;Yes")&gt;0,1,0)))))</f>
        <v/>
      </c>
      <c r="AE65" s="32" t="str">
        <f aca="false">IF($A65="","",IF(Z65="Yes","Do not contact",IF(AC65="","Research",IF(AND(AC65&gt;=S_FitHigh,AD65&gt;=S_AccessHigh),"Priority",IF(AC65&gt;=S_FitHigh,"Build a Path",IF(AD65&gt;=S_AccessHigh,"Quick Win","Low Priority"))))))</f>
        <v/>
      </c>
      <c r="AF65" s="33" t="str">
        <f aca="false">IF($A65="","",IF(_xlfn.MAXIFS(Interactions!$A$3:$A$502,Interactions!$B$3:$B$502,$A65)=0,"",_xlfn.MAXIFS(Interactions!$A$3:$A$502,Interactions!$B$3:$B$502,$A65)))</f>
        <v/>
      </c>
      <c r="AG65" s="32" t="str">
        <f aca="false">IF($A65="","",COUNTIFS(Opportunities!$A$3:$A$502,$A65,Opportunities!$X$3:$X$502,"Yes"))</f>
        <v/>
      </c>
      <c r="AH65" s="32" t="str">
        <f aca="false">IF($A65="","",_xlfn.TEXTJOIN(", ",TRUE(),IF(COUNTIF($A$3:$A$502,$A65)&gt;1,"Duplicate name",""),IF(OR(AND(G65=2,I65=""),AND(J65=2,L65=""),AND(M65=2,O65=""),AND(P65=2,R65="")),"Source missing for a 2",""),IF(F65="","No owner",IF(COUNTIFS(R_TeamName,F65,R_TeamActive,"No")&gt;0,"Needs new owner","")),IF(AND(V65="Yes",X65&lt;&gt;"",X65&lt;S_SemStart),"Path overdue",""),IF(AND(S65&lt;&gt;"",S65&lt;S_Today-365),"Stale research",""),IF(AND(AE65="Research",COUNTIF('Commercial Evidence'!$A$3:$A$502,$A65)=0),"Add commercial evidence","")))</f>
        <v/>
      </c>
      <c r="AI65" s="34" t="str">
        <f aca="false">IF(OR($A65="",Z65="Yes"),"",IF(AND(AE65="Priority",AG65=0,COUNTIFS(Opportunities!$A$3:$A$502,$A65,Opportunities!$Y$3:$Y$502,"Renewal due")=0),600000+(10-AC65)*1000+(4-AD65)*100+ROW()/100000,IF(V65="Yes",700000+IF(X65="",0,X65-40000)/10+ROW()/100000,IF(AND(AE65="Quick Win",U65&lt;&gt;"",AG65=0),800000+(10-AC65)*1000+ROW()/100000,IF(AND(AE65="Build a Path",COUNTIF($V$3:$V$502,"Yes")&lt;S_PathCap),900000+(10-AC65)*1000+(4-AD65)*100+ROW()/100000,"")))))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8"/>
      <c r="T66" s="27"/>
      <c r="U66" s="27"/>
      <c r="V66" s="27"/>
      <c r="W66" s="27"/>
      <c r="X66" s="28"/>
      <c r="Y66" s="27"/>
      <c r="Z66" s="27"/>
      <c r="AA66" s="27"/>
      <c r="AB66" s="32" t="str">
        <f aca="false">IF($A66="","",IF(COUNTIF('Commercial Evidence'!$A$3:$A$502,$A66)=0,"",IF(COUNTIFS('Commercial Evidence'!$A$3:$A$502,$A66,'Commercial Evidence'!$B$3:$B$502,"Previous CBS Talks spend")+COUNTIFS('Commercial Evidence'!$A$3:$A$502,$A66,'Commercial Evidence'!$B$3:$B$502,"Sponsors student organisations")&gt;0,2,IF(COUNTIFS('Commercial Evidence'!$A$3:$A$502,$A66,'Commercial Evidence'!$B$3:$B$502,"Sponsors university activities")+COUNTIFS('Commercial Evidence'!$A$3:$A$502,$A66,'Commercial Evidence'!$B$3:$B$502,"Sponsors similar events")+COUNTIFS('Commercial Evidence'!$A$3:$A$502,$A66,'Commercial Evidence'!$B$3:$B$502,"Previous CBS Talks partner")&gt;0,1,0))))</f>
        <v/>
      </c>
      <c r="AC66" s="32" t="str">
        <f aca="false">IF($A66="","",IF(COUNT(G66,J66,M66,P66,AB66)&lt;5,"",G66+J66+M66+P66+AB66))</f>
        <v/>
      </c>
      <c r="AD66" s="32" t="str">
        <f aca="false">IF($A66="","",IF(COUNTIFS(Contacts!$A$3:$A$502,$A66,Contacts!$E$3:$E$502,"Champion",Contacts!$K$3:$K$502,"&lt;&gt;Yes",Contacts!$L$3:$L$502,"&lt;&gt;Yes")+COUNTIFS(Opportunities!$A$3:$A$502,$A66,Opportunities!$C$3:$C$502,"Won",Opportunities!$Q$3:$Q$502,"Satisfied")&gt;0,4,IF(COUNTIFS(Interactions!$B$3:$B$502,$A66,Interactions!$I$3:$I$502,"Yes",Interactions!$A$3:$A$502,"&gt;="&amp;(S_Today-S_WarmDays))&gt;0,3,IF(T66&lt;&gt;"",2,IF(COUNTIFS(Contacts!$A$3:$A$502,$A66,Contacts!$M$3:$M$502,"Yes",Contacts!$K$3:$K$502,"&lt;&gt;Yes",Contacts!$L$3:$L$502,"&lt;&gt;Yes")&gt;0,1,0)))))</f>
        <v/>
      </c>
      <c r="AE66" s="32" t="str">
        <f aca="false">IF($A66="","",IF(Z66="Yes","Do not contact",IF(AC66="","Research",IF(AND(AC66&gt;=S_FitHigh,AD66&gt;=S_AccessHigh),"Priority",IF(AC66&gt;=S_FitHigh,"Build a Path",IF(AD66&gt;=S_AccessHigh,"Quick Win","Low Priority"))))))</f>
        <v/>
      </c>
      <c r="AF66" s="33" t="str">
        <f aca="false">IF($A66="","",IF(_xlfn.MAXIFS(Interactions!$A$3:$A$502,Interactions!$B$3:$B$502,$A66)=0,"",_xlfn.MAXIFS(Interactions!$A$3:$A$502,Interactions!$B$3:$B$502,$A66)))</f>
        <v/>
      </c>
      <c r="AG66" s="32" t="str">
        <f aca="false">IF($A66="","",COUNTIFS(Opportunities!$A$3:$A$502,$A66,Opportunities!$X$3:$X$502,"Yes"))</f>
        <v/>
      </c>
      <c r="AH66" s="32" t="str">
        <f aca="false">IF($A66="","",_xlfn.TEXTJOIN(", ",TRUE(),IF(COUNTIF($A$3:$A$502,$A66)&gt;1,"Duplicate name",""),IF(OR(AND(G66=2,I66=""),AND(J66=2,L66=""),AND(M66=2,O66=""),AND(P66=2,R66="")),"Source missing for a 2",""),IF(F66="","No owner",IF(COUNTIFS(R_TeamName,F66,R_TeamActive,"No")&gt;0,"Needs new owner","")),IF(AND(V66="Yes",X66&lt;&gt;"",X66&lt;S_SemStart),"Path overdue",""),IF(AND(S66&lt;&gt;"",S66&lt;S_Today-365),"Stale research",""),IF(AND(AE66="Research",COUNTIF('Commercial Evidence'!$A$3:$A$502,$A66)=0),"Add commercial evidence","")))</f>
        <v/>
      </c>
      <c r="AI66" s="34" t="str">
        <f aca="false">IF(OR($A66="",Z66="Yes"),"",IF(AND(AE66="Priority",AG66=0,COUNTIFS(Opportunities!$A$3:$A$502,$A66,Opportunities!$Y$3:$Y$502,"Renewal due")=0),600000+(10-AC66)*1000+(4-AD66)*100+ROW()/100000,IF(V66="Yes",700000+IF(X66="",0,X66-40000)/10+ROW()/100000,IF(AND(AE66="Quick Win",U66&lt;&gt;"",AG66=0),800000+(10-AC66)*1000+ROW()/100000,IF(AND(AE66="Build a Path",COUNTIF($V$3:$V$502,"Yes")&lt;S_PathCap),900000+(10-AC66)*1000+(4-AD66)*100+ROW()/100000,"")))))</f>
        <v/>
      </c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8"/>
      <c r="T67" s="27"/>
      <c r="U67" s="27"/>
      <c r="V67" s="27"/>
      <c r="W67" s="27"/>
      <c r="X67" s="28"/>
      <c r="Y67" s="27"/>
      <c r="Z67" s="27"/>
      <c r="AA67" s="27"/>
      <c r="AB67" s="32" t="str">
        <f aca="false">IF($A67="","",IF(COUNTIF('Commercial Evidence'!$A$3:$A$502,$A67)=0,"",IF(COUNTIFS('Commercial Evidence'!$A$3:$A$502,$A67,'Commercial Evidence'!$B$3:$B$502,"Previous CBS Talks spend")+COUNTIFS('Commercial Evidence'!$A$3:$A$502,$A67,'Commercial Evidence'!$B$3:$B$502,"Sponsors student organisations")&gt;0,2,IF(COUNTIFS('Commercial Evidence'!$A$3:$A$502,$A67,'Commercial Evidence'!$B$3:$B$502,"Sponsors university activities")+COUNTIFS('Commercial Evidence'!$A$3:$A$502,$A67,'Commercial Evidence'!$B$3:$B$502,"Sponsors similar events")+COUNTIFS('Commercial Evidence'!$A$3:$A$502,$A67,'Commercial Evidence'!$B$3:$B$502,"Previous CBS Talks partner")&gt;0,1,0))))</f>
        <v/>
      </c>
      <c r="AC67" s="32" t="str">
        <f aca="false">IF($A67="","",IF(COUNT(G67,J67,M67,P67,AB67)&lt;5,"",G67+J67+M67+P67+AB67))</f>
        <v/>
      </c>
      <c r="AD67" s="32" t="str">
        <f aca="false">IF($A67="","",IF(COUNTIFS(Contacts!$A$3:$A$502,$A67,Contacts!$E$3:$E$502,"Champion",Contacts!$K$3:$K$502,"&lt;&gt;Yes",Contacts!$L$3:$L$502,"&lt;&gt;Yes")+COUNTIFS(Opportunities!$A$3:$A$502,$A67,Opportunities!$C$3:$C$502,"Won",Opportunities!$Q$3:$Q$502,"Satisfied")&gt;0,4,IF(COUNTIFS(Interactions!$B$3:$B$502,$A67,Interactions!$I$3:$I$502,"Yes",Interactions!$A$3:$A$502,"&gt;="&amp;(S_Today-S_WarmDays))&gt;0,3,IF(T67&lt;&gt;"",2,IF(COUNTIFS(Contacts!$A$3:$A$502,$A67,Contacts!$M$3:$M$502,"Yes",Contacts!$K$3:$K$502,"&lt;&gt;Yes",Contacts!$L$3:$L$502,"&lt;&gt;Yes")&gt;0,1,0)))))</f>
        <v/>
      </c>
      <c r="AE67" s="32" t="str">
        <f aca="false">IF($A67="","",IF(Z67="Yes","Do not contact",IF(AC67="","Research",IF(AND(AC67&gt;=S_FitHigh,AD67&gt;=S_AccessHigh),"Priority",IF(AC67&gt;=S_FitHigh,"Build a Path",IF(AD67&gt;=S_AccessHigh,"Quick Win","Low Priority"))))))</f>
        <v/>
      </c>
      <c r="AF67" s="33" t="str">
        <f aca="false">IF($A67="","",IF(_xlfn.MAXIFS(Interactions!$A$3:$A$502,Interactions!$B$3:$B$502,$A67)=0,"",_xlfn.MAXIFS(Interactions!$A$3:$A$502,Interactions!$B$3:$B$502,$A67)))</f>
        <v/>
      </c>
      <c r="AG67" s="32" t="str">
        <f aca="false">IF($A67="","",COUNTIFS(Opportunities!$A$3:$A$502,$A67,Opportunities!$X$3:$X$502,"Yes"))</f>
        <v/>
      </c>
      <c r="AH67" s="32" t="str">
        <f aca="false">IF($A67="","",_xlfn.TEXTJOIN(", ",TRUE(),IF(COUNTIF($A$3:$A$502,$A67)&gt;1,"Duplicate name",""),IF(OR(AND(G67=2,I67=""),AND(J67=2,L67=""),AND(M67=2,O67=""),AND(P67=2,R67="")),"Source missing for a 2",""),IF(F67="","No owner",IF(COUNTIFS(R_TeamName,F67,R_TeamActive,"No")&gt;0,"Needs new owner","")),IF(AND(V67="Yes",X67&lt;&gt;"",X67&lt;S_SemStart),"Path overdue",""),IF(AND(S67&lt;&gt;"",S67&lt;S_Today-365),"Stale research",""),IF(AND(AE67="Research",COUNTIF('Commercial Evidence'!$A$3:$A$502,$A67)=0),"Add commercial evidence","")))</f>
        <v/>
      </c>
      <c r="AI67" s="34" t="str">
        <f aca="false">IF(OR($A67="",Z67="Yes"),"",IF(AND(AE67="Priority",AG67=0,COUNTIFS(Opportunities!$A$3:$A$502,$A67,Opportunities!$Y$3:$Y$502,"Renewal due")=0),600000+(10-AC67)*1000+(4-AD67)*100+ROW()/100000,IF(V67="Yes",700000+IF(X67="",0,X67-40000)/10+ROW()/100000,IF(AND(AE67="Quick Win",U67&lt;&gt;"",AG67=0),800000+(10-AC67)*1000+ROW()/100000,IF(AND(AE67="Build a Path",COUNTIF($V$3:$V$502,"Yes")&lt;S_PathCap),900000+(10-AC67)*1000+(4-AD67)*100+ROW()/100000,"")))))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8"/>
      <c r="T68" s="27"/>
      <c r="U68" s="27"/>
      <c r="V68" s="27"/>
      <c r="W68" s="27"/>
      <c r="X68" s="28"/>
      <c r="Y68" s="27"/>
      <c r="Z68" s="27"/>
      <c r="AA68" s="27"/>
      <c r="AB68" s="32" t="str">
        <f aca="false">IF($A68="","",IF(COUNTIF('Commercial Evidence'!$A$3:$A$502,$A68)=0,"",IF(COUNTIFS('Commercial Evidence'!$A$3:$A$502,$A68,'Commercial Evidence'!$B$3:$B$502,"Previous CBS Talks spend")+COUNTIFS('Commercial Evidence'!$A$3:$A$502,$A68,'Commercial Evidence'!$B$3:$B$502,"Sponsors student organisations")&gt;0,2,IF(COUNTIFS('Commercial Evidence'!$A$3:$A$502,$A68,'Commercial Evidence'!$B$3:$B$502,"Sponsors university activities")+COUNTIFS('Commercial Evidence'!$A$3:$A$502,$A68,'Commercial Evidence'!$B$3:$B$502,"Sponsors similar events")+COUNTIFS('Commercial Evidence'!$A$3:$A$502,$A68,'Commercial Evidence'!$B$3:$B$502,"Previous CBS Talks partner")&gt;0,1,0))))</f>
        <v/>
      </c>
      <c r="AC68" s="32" t="str">
        <f aca="false">IF($A68="","",IF(COUNT(G68,J68,M68,P68,AB68)&lt;5,"",G68+J68+M68+P68+AB68))</f>
        <v/>
      </c>
      <c r="AD68" s="32" t="str">
        <f aca="false">IF($A68="","",IF(COUNTIFS(Contacts!$A$3:$A$502,$A68,Contacts!$E$3:$E$502,"Champion",Contacts!$K$3:$K$502,"&lt;&gt;Yes",Contacts!$L$3:$L$502,"&lt;&gt;Yes")+COUNTIFS(Opportunities!$A$3:$A$502,$A68,Opportunities!$C$3:$C$502,"Won",Opportunities!$Q$3:$Q$502,"Satisfied")&gt;0,4,IF(COUNTIFS(Interactions!$B$3:$B$502,$A68,Interactions!$I$3:$I$502,"Yes",Interactions!$A$3:$A$502,"&gt;="&amp;(S_Today-S_WarmDays))&gt;0,3,IF(T68&lt;&gt;"",2,IF(COUNTIFS(Contacts!$A$3:$A$502,$A68,Contacts!$M$3:$M$502,"Yes",Contacts!$K$3:$K$502,"&lt;&gt;Yes",Contacts!$L$3:$L$502,"&lt;&gt;Yes")&gt;0,1,0)))))</f>
        <v/>
      </c>
      <c r="AE68" s="32" t="str">
        <f aca="false">IF($A68="","",IF(Z68="Yes","Do not contact",IF(AC68="","Research",IF(AND(AC68&gt;=S_FitHigh,AD68&gt;=S_AccessHigh),"Priority",IF(AC68&gt;=S_FitHigh,"Build a Path",IF(AD68&gt;=S_AccessHigh,"Quick Win","Low Priority"))))))</f>
        <v/>
      </c>
      <c r="AF68" s="33" t="str">
        <f aca="false">IF($A68="","",IF(_xlfn.MAXIFS(Interactions!$A$3:$A$502,Interactions!$B$3:$B$502,$A68)=0,"",_xlfn.MAXIFS(Interactions!$A$3:$A$502,Interactions!$B$3:$B$502,$A68)))</f>
        <v/>
      </c>
      <c r="AG68" s="32" t="str">
        <f aca="false">IF($A68="","",COUNTIFS(Opportunities!$A$3:$A$502,$A68,Opportunities!$X$3:$X$502,"Yes"))</f>
        <v/>
      </c>
      <c r="AH68" s="32" t="str">
        <f aca="false">IF($A68="","",_xlfn.TEXTJOIN(", ",TRUE(),IF(COUNTIF($A$3:$A$502,$A68)&gt;1,"Duplicate name",""),IF(OR(AND(G68=2,I68=""),AND(J68=2,L68=""),AND(M68=2,O68=""),AND(P68=2,R68="")),"Source missing for a 2",""),IF(F68="","No owner",IF(COUNTIFS(R_TeamName,F68,R_TeamActive,"No")&gt;0,"Needs new owner","")),IF(AND(V68="Yes",X68&lt;&gt;"",X68&lt;S_SemStart),"Path overdue",""),IF(AND(S68&lt;&gt;"",S68&lt;S_Today-365),"Stale research",""),IF(AND(AE68="Research",COUNTIF('Commercial Evidence'!$A$3:$A$502,$A68)=0),"Add commercial evidence","")))</f>
        <v/>
      </c>
      <c r="AI68" s="34" t="str">
        <f aca="false">IF(OR($A68="",Z68="Yes"),"",IF(AND(AE68="Priority",AG68=0,COUNTIFS(Opportunities!$A$3:$A$502,$A68,Opportunities!$Y$3:$Y$502,"Renewal due")=0),600000+(10-AC68)*1000+(4-AD68)*100+ROW()/100000,IF(V68="Yes",700000+IF(X68="",0,X68-40000)/10+ROW()/100000,IF(AND(AE68="Quick Win",U68&lt;&gt;"",AG68=0),800000+(10-AC68)*1000+ROW()/100000,IF(AND(AE68="Build a Path",COUNTIF($V$3:$V$502,"Yes")&lt;S_PathCap),900000+(10-AC68)*1000+(4-AD68)*100+ROW()/100000,"")))))</f>
        <v/>
      </c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8"/>
      <c r="T69" s="27"/>
      <c r="U69" s="27"/>
      <c r="V69" s="27"/>
      <c r="W69" s="27"/>
      <c r="X69" s="28"/>
      <c r="Y69" s="27"/>
      <c r="Z69" s="27"/>
      <c r="AA69" s="27"/>
      <c r="AB69" s="32" t="str">
        <f aca="false">IF($A69="","",IF(COUNTIF('Commercial Evidence'!$A$3:$A$502,$A69)=0,"",IF(COUNTIFS('Commercial Evidence'!$A$3:$A$502,$A69,'Commercial Evidence'!$B$3:$B$502,"Previous CBS Talks spend")+COUNTIFS('Commercial Evidence'!$A$3:$A$502,$A69,'Commercial Evidence'!$B$3:$B$502,"Sponsors student organisations")&gt;0,2,IF(COUNTIFS('Commercial Evidence'!$A$3:$A$502,$A69,'Commercial Evidence'!$B$3:$B$502,"Sponsors university activities")+COUNTIFS('Commercial Evidence'!$A$3:$A$502,$A69,'Commercial Evidence'!$B$3:$B$502,"Sponsors similar events")+COUNTIFS('Commercial Evidence'!$A$3:$A$502,$A69,'Commercial Evidence'!$B$3:$B$502,"Previous CBS Talks partner")&gt;0,1,0))))</f>
        <v/>
      </c>
      <c r="AC69" s="32" t="str">
        <f aca="false">IF($A69="","",IF(COUNT(G69,J69,M69,P69,AB69)&lt;5,"",G69+J69+M69+P69+AB69))</f>
        <v/>
      </c>
      <c r="AD69" s="32" t="str">
        <f aca="false">IF($A69="","",IF(COUNTIFS(Contacts!$A$3:$A$502,$A69,Contacts!$E$3:$E$502,"Champion",Contacts!$K$3:$K$502,"&lt;&gt;Yes",Contacts!$L$3:$L$502,"&lt;&gt;Yes")+COUNTIFS(Opportunities!$A$3:$A$502,$A69,Opportunities!$C$3:$C$502,"Won",Opportunities!$Q$3:$Q$502,"Satisfied")&gt;0,4,IF(COUNTIFS(Interactions!$B$3:$B$502,$A69,Interactions!$I$3:$I$502,"Yes",Interactions!$A$3:$A$502,"&gt;="&amp;(S_Today-S_WarmDays))&gt;0,3,IF(T69&lt;&gt;"",2,IF(COUNTIFS(Contacts!$A$3:$A$502,$A69,Contacts!$M$3:$M$502,"Yes",Contacts!$K$3:$K$502,"&lt;&gt;Yes",Contacts!$L$3:$L$502,"&lt;&gt;Yes")&gt;0,1,0)))))</f>
        <v/>
      </c>
      <c r="AE69" s="32" t="str">
        <f aca="false">IF($A69="","",IF(Z69="Yes","Do not contact",IF(AC69="","Research",IF(AND(AC69&gt;=S_FitHigh,AD69&gt;=S_AccessHigh),"Priority",IF(AC69&gt;=S_FitHigh,"Build a Path",IF(AD69&gt;=S_AccessHigh,"Quick Win","Low Priority"))))))</f>
        <v/>
      </c>
      <c r="AF69" s="33" t="str">
        <f aca="false">IF($A69="","",IF(_xlfn.MAXIFS(Interactions!$A$3:$A$502,Interactions!$B$3:$B$502,$A69)=0,"",_xlfn.MAXIFS(Interactions!$A$3:$A$502,Interactions!$B$3:$B$502,$A69)))</f>
        <v/>
      </c>
      <c r="AG69" s="32" t="str">
        <f aca="false">IF($A69="","",COUNTIFS(Opportunities!$A$3:$A$502,$A69,Opportunities!$X$3:$X$502,"Yes"))</f>
        <v/>
      </c>
      <c r="AH69" s="32" t="str">
        <f aca="false">IF($A69="","",_xlfn.TEXTJOIN(", ",TRUE(),IF(COUNTIF($A$3:$A$502,$A69)&gt;1,"Duplicate name",""),IF(OR(AND(G69=2,I69=""),AND(J69=2,L69=""),AND(M69=2,O69=""),AND(P69=2,R69="")),"Source missing for a 2",""),IF(F69="","No owner",IF(COUNTIFS(R_TeamName,F69,R_TeamActive,"No")&gt;0,"Needs new owner","")),IF(AND(V69="Yes",X69&lt;&gt;"",X69&lt;S_SemStart),"Path overdue",""),IF(AND(S69&lt;&gt;"",S69&lt;S_Today-365),"Stale research",""),IF(AND(AE69="Research",COUNTIF('Commercial Evidence'!$A$3:$A$502,$A69)=0),"Add commercial evidence","")))</f>
        <v/>
      </c>
      <c r="AI69" s="34" t="str">
        <f aca="false">IF(OR($A69="",Z69="Yes"),"",IF(AND(AE69="Priority",AG69=0,COUNTIFS(Opportunities!$A$3:$A$502,$A69,Opportunities!$Y$3:$Y$502,"Renewal due")=0),600000+(10-AC69)*1000+(4-AD69)*100+ROW()/100000,IF(V69="Yes",700000+IF(X69="",0,X69-40000)/10+ROW()/100000,IF(AND(AE69="Quick Win",U69&lt;&gt;"",AG69=0),800000+(10-AC69)*1000+ROW()/100000,IF(AND(AE69="Build a Path",COUNTIF($V$3:$V$502,"Yes")&lt;S_PathCap),900000+(10-AC69)*1000+(4-AD69)*100+ROW()/100000,"")))))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8"/>
      <c r="T70" s="27"/>
      <c r="U70" s="27"/>
      <c r="V70" s="27"/>
      <c r="W70" s="27"/>
      <c r="X70" s="28"/>
      <c r="Y70" s="27"/>
      <c r="Z70" s="27"/>
      <c r="AA70" s="27"/>
      <c r="AB70" s="32" t="str">
        <f aca="false">IF($A70="","",IF(COUNTIF('Commercial Evidence'!$A$3:$A$502,$A70)=0,"",IF(COUNTIFS('Commercial Evidence'!$A$3:$A$502,$A70,'Commercial Evidence'!$B$3:$B$502,"Previous CBS Talks spend")+COUNTIFS('Commercial Evidence'!$A$3:$A$502,$A70,'Commercial Evidence'!$B$3:$B$502,"Sponsors student organisations")&gt;0,2,IF(COUNTIFS('Commercial Evidence'!$A$3:$A$502,$A70,'Commercial Evidence'!$B$3:$B$502,"Sponsors university activities")+COUNTIFS('Commercial Evidence'!$A$3:$A$502,$A70,'Commercial Evidence'!$B$3:$B$502,"Sponsors similar events")+COUNTIFS('Commercial Evidence'!$A$3:$A$502,$A70,'Commercial Evidence'!$B$3:$B$502,"Previous CBS Talks partner")&gt;0,1,0))))</f>
        <v/>
      </c>
      <c r="AC70" s="32" t="str">
        <f aca="false">IF($A70="","",IF(COUNT(G70,J70,M70,P70,AB70)&lt;5,"",G70+J70+M70+P70+AB70))</f>
        <v/>
      </c>
      <c r="AD70" s="32" t="str">
        <f aca="false">IF($A70="","",IF(COUNTIFS(Contacts!$A$3:$A$502,$A70,Contacts!$E$3:$E$502,"Champion",Contacts!$K$3:$K$502,"&lt;&gt;Yes",Contacts!$L$3:$L$502,"&lt;&gt;Yes")+COUNTIFS(Opportunities!$A$3:$A$502,$A70,Opportunities!$C$3:$C$502,"Won",Opportunities!$Q$3:$Q$502,"Satisfied")&gt;0,4,IF(COUNTIFS(Interactions!$B$3:$B$502,$A70,Interactions!$I$3:$I$502,"Yes",Interactions!$A$3:$A$502,"&gt;="&amp;(S_Today-S_WarmDays))&gt;0,3,IF(T70&lt;&gt;"",2,IF(COUNTIFS(Contacts!$A$3:$A$502,$A70,Contacts!$M$3:$M$502,"Yes",Contacts!$K$3:$K$502,"&lt;&gt;Yes",Contacts!$L$3:$L$502,"&lt;&gt;Yes")&gt;0,1,0)))))</f>
        <v/>
      </c>
      <c r="AE70" s="32" t="str">
        <f aca="false">IF($A70="","",IF(Z70="Yes","Do not contact",IF(AC70="","Research",IF(AND(AC70&gt;=S_FitHigh,AD70&gt;=S_AccessHigh),"Priority",IF(AC70&gt;=S_FitHigh,"Build a Path",IF(AD70&gt;=S_AccessHigh,"Quick Win","Low Priority"))))))</f>
        <v/>
      </c>
      <c r="AF70" s="33" t="str">
        <f aca="false">IF($A70="","",IF(_xlfn.MAXIFS(Interactions!$A$3:$A$502,Interactions!$B$3:$B$502,$A70)=0,"",_xlfn.MAXIFS(Interactions!$A$3:$A$502,Interactions!$B$3:$B$502,$A70)))</f>
        <v/>
      </c>
      <c r="AG70" s="32" t="str">
        <f aca="false">IF($A70="","",COUNTIFS(Opportunities!$A$3:$A$502,$A70,Opportunities!$X$3:$X$502,"Yes"))</f>
        <v/>
      </c>
      <c r="AH70" s="32" t="str">
        <f aca="false">IF($A70="","",_xlfn.TEXTJOIN(", ",TRUE(),IF(COUNTIF($A$3:$A$502,$A70)&gt;1,"Duplicate name",""),IF(OR(AND(G70=2,I70=""),AND(J70=2,L70=""),AND(M70=2,O70=""),AND(P70=2,R70="")),"Source missing for a 2",""),IF(F70="","No owner",IF(COUNTIFS(R_TeamName,F70,R_TeamActive,"No")&gt;0,"Needs new owner","")),IF(AND(V70="Yes",X70&lt;&gt;"",X70&lt;S_SemStart),"Path overdue",""),IF(AND(S70&lt;&gt;"",S70&lt;S_Today-365),"Stale research",""),IF(AND(AE70="Research",COUNTIF('Commercial Evidence'!$A$3:$A$502,$A70)=0),"Add commercial evidence","")))</f>
        <v/>
      </c>
      <c r="AI70" s="34" t="str">
        <f aca="false">IF(OR($A70="",Z70="Yes"),"",IF(AND(AE70="Priority",AG70=0,COUNTIFS(Opportunities!$A$3:$A$502,$A70,Opportunities!$Y$3:$Y$502,"Renewal due")=0),600000+(10-AC70)*1000+(4-AD70)*100+ROW()/100000,IF(V70="Yes",700000+IF(X70="",0,X70-40000)/10+ROW()/100000,IF(AND(AE70="Quick Win",U70&lt;&gt;"",AG70=0),800000+(10-AC70)*1000+ROW()/100000,IF(AND(AE70="Build a Path",COUNTIF($V$3:$V$502,"Yes")&lt;S_PathCap),900000+(10-AC70)*1000+(4-AD70)*100+ROW()/100000,"")))))</f>
        <v/>
      </c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8"/>
      <c r="T71" s="27"/>
      <c r="U71" s="27"/>
      <c r="V71" s="27"/>
      <c r="W71" s="27"/>
      <c r="X71" s="28"/>
      <c r="Y71" s="27"/>
      <c r="Z71" s="27"/>
      <c r="AA71" s="27"/>
      <c r="AB71" s="32" t="str">
        <f aca="false">IF($A71="","",IF(COUNTIF('Commercial Evidence'!$A$3:$A$502,$A71)=0,"",IF(COUNTIFS('Commercial Evidence'!$A$3:$A$502,$A71,'Commercial Evidence'!$B$3:$B$502,"Previous CBS Talks spend")+COUNTIFS('Commercial Evidence'!$A$3:$A$502,$A71,'Commercial Evidence'!$B$3:$B$502,"Sponsors student organisations")&gt;0,2,IF(COUNTIFS('Commercial Evidence'!$A$3:$A$502,$A71,'Commercial Evidence'!$B$3:$B$502,"Sponsors university activities")+COUNTIFS('Commercial Evidence'!$A$3:$A$502,$A71,'Commercial Evidence'!$B$3:$B$502,"Sponsors similar events")+COUNTIFS('Commercial Evidence'!$A$3:$A$502,$A71,'Commercial Evidence'!$B$3:$B$502,"Previous CBS Talks partner")&gt;0,1,0))))</f>
        <v/>
      </c>
      <c r="AC71" s="32" t="str">
        <f aca="false">IF($A71="","",IF(COUNT(G71,J71,M71,P71,AB71)&lt;5,"",G71+J71+M71+P71+AB71))</f>
        <v/>
      </c>
      <c r="AD71" s="32" t="str">
        <f aca="false">IF($A71="","",IF(COUNTIFS(Contacts!$A$3:$A$502,$A71,Contacts!$E$3:$E$502,"Champion",Contacts!$K$3:$K$502,"&lt;&gt;Yes",Contacts!$L$3:$L$502,"&lt;&gt;Yes")+COUNTIFS(Opportunities!$A$3:$A$502,$A71,Opportunities!$C$3:$C$502,"Won",Opportunities!$Q$3:$Q$502,"Satisfied")&gt;0,4,IF(COUNTIFS(Interactions!$B$3:$B$502,$A71,Interactions!$I$3:$I$502,"Yes",Interactions!$A$3:$A$502,"&gt;="&amp;(S_Today-S_WarmDays))&gt;0,3,IF(T71&lt;&gt;"",2,IF(COUNTIFS(Contacts!$A$3:$A$502,$A71,Contacts!$M$3:$M$502,"Yes",Contacts!$K$3:$K$502,"&lt;&gt;Yes",Contacts!$L$3:$L$502,"&lt;&gt;Yes")&gt;0,1,0)))))</f>
        <v/>
      </c>
      <c r="AE71" s="32" t="str">
        <f aca="false">IF($A71="","",IF(Z71="Yes","Do not contact",IF(AC71="","Research",IF(AND(AC71&gt;=S_FitHigh,AD71&gt;=S_AccessHigh),"Priority",IF(AC71&gt;=S_FitHigh,"Build a Path",IF(AD71&gt;=S_AccessHigh,"Quick Win","Low Priority"))))))</f>
        <v/>
      </c>
      <c r="AF71" s="33" t="str">
        <f aca="false">IF($A71="","",IF(_xlfn.MAXIFS(Interactions!$A$3:$A$502,Interactions!$B$3:$B$502,$A71)=0,"",_xlfn.MAXIFS(Interactions!$A$3:$A$502,Interactions!$B$3:$B$502,$A71)))</f>
        <v/>
      </c>
      <c r="AG71" s="32" t="str">
        <f aca="false">IF($A71="","",COUNTIFS(Opportunities!$A$3:$A$502,$A71,Opportunities!$X$3:$X$502,"Yes"))</f>
        <v/>
      </c>
      <c r="AH71" s="32" t="str">
        <f aca="false">IF($A71="","",_xlfn.TEXTJOIN(", ",TRUE(),IF(COUNTIF($A$3:$A$502,$A71)&gt;1,"Duplicate name",""),IF(OR(AND(G71=2,I71=""),AND(J71=2,L71=""),AND(M71=2,O71=""),AND(P71=2,R71="")),"Source missing for a 2",""),IF(F71="","No owner",IF(COUNTIFS(R_TeamName,F71,R_TeamActive,"No")&gt;0,"Needs new owner","")),IF(AND(V71="Yes",X71&lt;&gt;"",X71&lt;S_SemStart),"Path overdue",""),IF(AND(S71&lt;&gt;"",S71&lt;S_Today-365),"Stale research",""),IF(AND(AE71="Research",COUNTIF('Commercial Evidence'!$A$3:$A$502,$A71)=0),"Add commercial evidence","")))</f>
        <v/>
      </c>
      <c r="AI71" s="34" t="str">
        <f aca="false">IF(OR($A71="",Z71="Yes"),"",IF(AND(AE71="Priority",AG71=0,COUNTIFS(Opportunities!$A$3:$A$502,$A71,Opportunities!$Y$3:$Y$502,"Renewal due")=0),600000+(10-AC71)*1000+(4-AD71)*100+ROW()/100000,IF(V71="Yes",700000+IF(X71="",0,X71-40000)/10+ROW()/100000,IF(AND(AE71="Quick Win",U71&lt;&gt;"",AG71=0),800000+(10-AC71)*1000+ROW()/100000,IF(AND(AE71="Build a Path",COUNTIF($V$3:$V$502,"Yes")&lt;S_PathCap),900000+(10-AC71)*1000+(4-AD71)*100+ROW()/100000,"")))))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8"/>
      <c r="T72" s="27"/>
      <c r="U72" s="27"/>
      <c r="V72" s="27"/>
      <c r="W72" s="27"/>
      <c r="X72" s="28"/>
      <c r="Y72" s="27"/>
      <c r="Z72" s="27"/>
      <c r="AA72" s="27"/>
      <c r="AB72" s="32" t="str">
        <f aca="false">IF($A72="","",IF(COUNTIF('Commercial Evidence'!$A$3:$A$502,$A72)=0,"",IF(COUNTIFS('Commercial Evidence'!$A$3:$A$502,$A72,'Commercial Evidence'!$B$3:$B$502,"Previous CBS Talks spend")+COUNTIFS('Commercial Evidence'!$A$3:$A$502,$A72,'Commercial Evidence'!$B$3:$B$502,"Sponsors student organisations")&gt;0,2,IF(COUNTIFS('Commercial Evidence'!$A$3:$A$502,$A72,'Commercial Evidence'!$B$3:$B$502,"Sponsors university activities")+COUNTIFS('Commercial Evidence'!$A$3:$A$502,$A72,'Commercial Evidence'!$B$3:$B$502,"Sponsors similar events")+COUNTIFS('Commercial Evidence'!$A$3:$A$502,$A72,'Commercial Evidence'!$B$3:$B$502,"Previous CBS Talks partner")&gt;0,1,0))))</f>
        <v/>
      </c>
      <c r="AC72" s="32" t="str">
        <f aca="false">IF($A72="","",IF(COUNT(G72,J72,M72,P72,AB72)&lt;5,"",G72+J72+M72+P72+AB72))</f>
        <v/>
      </c>
      <c r="AD72" s="32" t="str">
        <f aca="false">IF($A72="","",IF(COUNTIFS(Contacts!$A$3:$A$502,$A72,Contacts!$E$3:$E$502,"Champion",Contacts!$K$3:$K$502,"&lt;&gt;Yes",Contacts!$L$3:$L$502,"&lt;&gt;Yes")+COUNTIFS(Opportunities!$A$3:$A$502,$A72,Opportunities!$C$3:$C$502,"Won",Opportunities!$Q$3:$Q$502,"Satisfied")&gt;0,4,IF(COUNTIFS(Interactions!$B$3:$B$502,$A72,Interactions!$I$3:$I$502,"Yes",Interactions!$A$3:$A$502,"&gt;="&amp;(S_Today-S_WarmDays))&gt;0,3,IF(T72&lt;&gt;"",2,IF(COUNTIFS(Contacts!$A$3:$A$502,$A72,Contacts!$M$3:$M$502,"Yes",Contacts!$K$3:$K$502,"&lt;&gt;Yes",Contacts!$L$3:$L$502,"&lt;&gt;Yes")&gt;0,1,0)))))</f>
        <v/>
      </c>
      <c r="AE72" s="32" t="str">
        <f aca="false">IF($A72="","",IF(Z72="Yes","Do not contact",IF(AC72="","Research",IF(AND(AC72&gt;=S_FitHigh,AD72&gt;=S_AccessHigh),"Priority",IF(AC72&gt;=S_FitHigh,"Build a Path",IF(AD72&gt;=S_AccessHigh,"Quick Win","Low Priority"))))))</f>
        <v/>
      </c>
      <c r="AF72" s="33" t="str">
        <f aca="false">IF($A72="","",IF(_xlfn.MAXIFS(Interactions!$A$3:$A$502,Interactions!$B$3:$B$502,$A72)=0,"",_xlfn.MAXIFS(Interactions!$A$3:$A$502,Interactions!$B$3:$B$502,$A72)))</f>
        <v/>
      </c>
      <c r="AG72" s="32" t="str">
        <f aca="false">IF($A72="","",COUNTIFS(Opportunities!$A$3:$A$502,$A72,Opportunities!$X$3:$X$502,"Yes"))</f>
        <v/>
      </c>
      <c r="AH72" s="32" t="str">
        <f aca="false">IF($A72="","",_xlfn.TEXTJOIN(", ",TRUE(),IF(COUNTIF($A$3:$A$502,$A72)&gt;1,"Duplicate name",""),IF(OR(AND(G72=2,I72=""),AND(J72=2,L72=""),AND(M72=2,O72=""),AND(P72=2,R72="")),"Source missing for a 2",""),IF(F72="","No owner",IF(COUNTIFS(R_TeamName,F72,R_TeamActive,"No")&gt;0,"Needs new owner","")),IF(AND(V72="Yes",X72&lt;&gt;"",X72&lt;S_SemStart),"Path overdue",""),IF(AND(S72&lt;&gt;"",S72&lt;S_Today-365),"Stale research",""),IF(AND(AE72="Research",COUNTIF('Commercial Evidence'!$A$3:$A$502,$A72)=0),"Add commercial evidence","")))</f>
        <v/>
      </c>
      <c r="AI72" s="34" t="str">
        <f aca="false">IF(OR($A72="",Z72="Yes"),"",IF(AND(AE72="Priority",AG72=0,COUNTIFS(Opportunities!$A$3:$A$502,$A72,Opportunities!$Y$3:$Y$502,"Renewal due")=0),600000+(10-AC72)*1000+(4-AD72)*100+ROW()/100000,IF(V72="Yes",700000+IF(X72="",0,X72-40000)/10+ROW()/100000,IF(AND(AE72="Quick Win",U72&lt;&gt;"",AG72=0),800000+(10-AC72)*1000+ROW()/100000,IF(AND(AE72="Build a Path",COUNTIF($V$3:$V$502,"Yes")&lt;S_PathCap),900000+(10-AC72)*1000+(4-AD72)*100+ROW()/100000,"")))))</f>
        <v/>
      </c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8"/>
      <c r="T73" s="27"/>
      <c r="U73" s="27"/>
      <c r="V73" s="27"/>
      <c r="W73" s="27"/>
      <c r="X73" s="28"/>
      <c r="Y73" s="27"/>
      <c r="Z73" s="27"/>
      <c r="AA73" s="27"/>
      <c r="AB73" s="32" t="str">
        <f aca="false">IF($A73="","",IF(COUNTIF('Commercial Evidence'!$A$3:$A$502,$A73)=0,"",IF(COUNTIFS('Commercial Evidence'!$A$3:$A$502,$A73,'Commercial Evidence'!$B$3:$B$502,"Previous CBS Talks spend")+COUNTIFS('Commercial Evidence'!$A$3:$A$502,$A73,'Commercial Evidence'!$B$3:$B$502,"Sponsors student organisations")&gt;0,2,IF(COUNTIFS('Commercial Evidence'!$A$3:$A$502,$A73,'Commercial Evidence'!$B$3:$B$502,"Sponsors university activities")+COUNTIFS('Commercial Evidence'!$A$3:$A$502,$A73,'Commercial Evidence'!$B$3:$B$502,"Sponsors similar events")+COUNTIFS('Commercial Evidence'!$A$3:$A$502,$A73,'Commercial Evidence'!$B$3:$B$502,"Previous CBS Talks partner")&gt;0,1,0))))</f>
        <v/>
      </c>
      <c r="AC73" s="32" t="str">
        <f aca="false">IF($A73="","",IF(COUNT(G73,J73,M73,P73,AB73)&lt;5,"",G73+J73+M73+P73+AB73))</f>
        <v/>
      </c>
      <c r="AD73" s="32" t="str">
        <f aca="false">IF($A73="","",IF(COUNTIFS(Contacts!$A$3:$A$502,$A73,Contacts!$E$3:$E$502,"Champion",Contacts!$K$3:$K$502,"&lt;&gt;Yes",Contacts!$L$3:$L$502,"&lt;&gt;Yes")+COUNTIFS(Opportunities!$A$3:$A$502,$A73,Opportunities!$C$3:$C$502,"Won",Opportunities!$Q$3:$Q$502,"Satisfied")&gt;0,4,IF(COUNTIFS(Interactions!$B$3:$B$502,$A73,Interactions!$I$3:$I$502,"Yes",Interactions!$A$3:$A$502,"&gt;="&amp;(S_Today-S_WarmDays))&gt;0,3,IF(T73&lt;&gt;"",2,IF(COUNTIFS(Contacts!$A$3:$A$502,$A73,Contacts!$M$3:$M$502,"Yes",Contacts!$K$3:$K$502,"&lt;&gt;Yes",Contacts!$L$3:$L$502,"&lt;&gt;Yes")&gt;0,1,0)))))</f>
        <v/>
      </c>
      <c r="AE73" s="32" t="str">
        <f aca="false">IF($A73="","",IF(Z73="Yes","Do not contact",IF(AC73="","Research",IF(AND(AC73&gt;=S_FitHigh,AD73&gt;=S_AccessHigh),"Priority",IF(AC73&gt;=S_FitHigh,"Build a Path",IF(AD73&gt;=S_AccessHigh,"Quick Win","Low Priority"))))))</f>
        <v/>
      </c>
      <c r="AF73" s="33" t="str">
        <f aca="false">IF($A73="","",IF(_xlfn.MAXIFS(Interactions!$A$3:$A$502,Interactions!$B$3:$B$502,$A73)=0,"",_xlfn.MAXIFS(Interactions!$A$3:$A$502,Interactions!$B$3:$B$502,$A73)))</f>
        <v/>
      </c>
      <c r="AG73" s="32" t="str">
        <f aca="false">IF($A73="","",COUNTIFS(Opportunities!$A$3:$A$502,$A73,Opportunities!$X$3:$X$502,"Yes"))</f>
        <v/>
      </c>
      <c r="AH73" s="32" t="str">
        <f aca="false">IF($A73="","",_xlfn.TEXTJOIN(", ",TRUE(),IF(COUNTIF($A$3:$A$502,$A73)&gt;1,"Duplicate name",""),IF(OR(AND(G73=2,I73=""),AND(J73=2,L73=""),AND(M73=2,O73=""),AND(P73=2,R73="")),"Source missing for a 2",""),IF(F73="","No owner",IF(COUNTIFS(R_TeamName,F73,R_TeamActive,"No")&gt;0,"Needs new owner","")),IF(AND(V73="Yes",X73&lt;&gt;"",X73&lt;S_SemStart),"Path overdue",""),IF(AND(S73&lt;&gt;"",S73&lt;S_Today-365),"Stale research",""),IF(AND(AE73="Research",COUNTIF('Commercial Evidence'!$A$3:$A$502,$A73)=0),"Add commercial evidence","")))</f>
        <v/>
      </c>
      <c r="AI73" s="34" t="str">
        <f aca="false">IF(OR($A73="",Z73="Yes"),"",IF(AND(AE73="Priority",AG73=0,COUNTIFS(Opportunities!$A$3:$A$502,$A73,Opportunities!$Y$3:$Y$502,"Renewal due")=0),600000+(10-AC73)*1000+(4-AD73)*100+ROW()/100000,IF(V73="Yes",700000+IF(X73="",0,X73-40000)/10+ROW()/100000,IF(AND(AE73="Quick Win",U73&lt;&gt;"",AG73=0),800000+(10-AC73)*1000+ROW()/100000,IF(AND(AE73="Build a Path",COUNTIF($V$3:$V$502,"Yes")&lt;S_PathCap),900000+(10-AC73)*1000+(4-AD73)*100+ROW()/100000,"")))))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8"/>
      <c r="T74" s="27"/>
      <c r="U74" s="27"/>
      <c r="V74" s="27"/>
      <c r="W74" s="27"/>
      <c r="X74" s="28"/>
      <c r="Y74" s="27"/>
      <c r="Z74" s="27"/>
      <c r="AA74" s="27"/>
      <c r="AB74" s="32" t="str">
        <f aca="false">IF($A74="","",IF(COUNTIF('Commercial Evidence'!$A$3:$A$502,$A74)=0,"",IF(COUNTIFS('Commercial Evidence'!$A$3:$A$502,$A74,'Commercial Evidence'!$B$3:$B$502,"Previous CBS Talks spend")+COUNTIFS('Commercial Evidence'!$A$3:$A$502,$A74,'Commercial Evidence'!$B$3:$B$502,"Sponsors student organisations")&gt;0,2,IF(COUNTIFS('Commercial Evidence'!$A$3:$A$502,$A74,'Commercial Evidence'!$B$3:$B$502,"Sponsors university activities")+COUNTIFS('Commercial Evidence'!$A$3:$A$502,$A74,'Commercial Evidence'!$B$3:$B$502,"Sponsors similar events")+COUNTIFS('Commercial Evidence'!$A$3:$A$502,$A74,'Commercial Evidence'!$B$3:$B$502,"Previous CBS Talks partner")&gt;0,1,0))))</f>
        <v/>
      </c>
      <c r="AC74" s="32" t="str">
        <f aca="false">IF($A74="","",IF(COUNT(G74,J74,M74,P74,AB74)&lt;5,"",G74+J74+M74+P74+AB74))</f>
        <v/>
      </c>
      <c r="AD74" s="32" t="str">
        <f aca="false">IF($A74="","",IF(COUNTIFS(Contacts!$A$3:$A$502,$A74,Contacts!$E$3:$E$502,"Champion",Contacts!$K$3:$K$502,"&lt;&gt;Yes",Contacts!$L$3:$L$502,"&lt;&gt;Yes")+COUNTIFS(Opportunities!$A$3:$A$502,$A74,Opportunities!$C$3:$C$502,"Won",Opportunities!$Q$3:$Q$502,"Satisfied")&gt;0,4,IF(COUNTIFS(Interactions!$B$3:$B$502,$A74,Interactions!$I$3:$I$502,"Yes",Interactions!$A$3:$A$502,"&gt;="&amp;(S_Today-S_WarmDays))&gt;0,3,IF(T74&lt;&gt;"",2,IF(COUNTIFS(Contacts!$A$3:$A$502,$A74,Contacts!$M$3:$M$502,"Yes",Contacts!$K$3:$K$502,"&lt;&gt;Yes",Contacts!$L$3:$L$502,"&lt;&gt;Yes")&gt;0,1,0)))))</f>
        <v/>
      </c>
      <c r="AE74" s="32" t="str">
        <f aca="false">IF($A74="","",IF(Z74="Yes","Do not contact",IF(AC74="","Research",IF(AND(AC74&gt;=S_FitHigh,AD74&gt;=S_AccessHigh),"Priority",IF(AC74&gt;=S_FitHigh,"Build a Path",IF(AD74&gt;=S_AccessHigh,"Quick Win","Low Priority"))))))</f>
        <v/>
      </c>
      <c r="AF74" s="33" t="str">
        <f aca="false">IF($A74="","",IF(_xlfn.MAXIFS(Interactions!$A$3:$A$502,Interactions!$B$3:$B$502,$A74)=0,"",_xlfn.MAXIFS(Interactions!$A$3:$A$502,Interactions!$B$3:$B$502,$A74)))</f>
        <v/>
      </c>
      <c r="AG74" s="32" t="str">
        <f aca="false">IF($A74="","",COUNTIFS(Opportunities!$A$3:$A$502,$A74,Opportunities!$X$3:$X$502,"Yes"))</f>
        <v/>
      </c>
      <c r="AH74" s="32" t="str">
        <f aca="false">IF($A74="","",_xlfn.TEXTJOIN(", ",TRUE(),IF(COUNTIF($A$3:$A$502,$A74)&gt;1,"Duplicate name",""),IF(OR(AND(G74=2,I74=""),AND(J74=2,L74=""),AND(M74=2,O74=""),AND(P74=2,R74="")),"Source missing for a 2",""),IF(F74="","No owner",IF(COUNTIFS(R_TeamName,F74,R_TeamActive,"No")&gt;0,"Needs new owner","")),IF(AND(V74="Yes",X74&lt;&gt;"",X74&lt;S_SemStart),"Path overdue",""),IF(AND(S74&lt;&gt;"",S74&lt;S_Today-365),"Stale research",""),IF(AND(AE74="Research",COUNTIF('Commercial Evidence'!$A$3:$A$502,$A74)=0),"Add commercial evidence","")))</f>
        <v/>
      </c>
      <c r="AI74" s="34" t="str">
        <f aca="false">IF(OR($A74="",Z74="Yes"),"",IF(AND(AE74="Priority",AG74=0,COUNTIFS(Opportunities!$A$3:$A$502,$A74,Opportunities!$Y$3:$Y$502,"Renewal due")=0),600000+(10-AC74)*1000+(4-AD74)*100+ROW()/100000,IF(V74="Yes",700000+IF(X74="",0,X74-40000)/10+ROW()/100000,IF(AND(AE74="Quick Win",U74&lt;&gt;"",AG74=0),800000+(10-AC74)*1000+ROW()/100000,IF(AND(AE74="Build a Path",COUNTIF($V$3:$V$502,"Yes")&lt;S_PathCap),900000+(10-AC74)*1000+(4-AD74)*100+ROW()/100000,"")))))</f>
        <v/>
      </c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8"/>
      <c r="T75" s="27"/>
      <c r="U75" s="27"/>
      <c r="V75" s="27"/>
      <c r="W75" s="27"/>
      <c r="X75" s="28"/>
      <c r="Y75" s="27"/>
      <c r="Z75" s="27"/>
      <c r="AA75" s="27"/>
      <c r="AB75" s="32" t="str">
        <f aca="false">IF($A75="","",IF(COUNTIF('Commercial Evidence'!$A$3:$A$502,$A75)=0,"",IF(COUNTIFS('Commercial Evidence'!$A$3:$A$502,$A75,'Commercial Evidence'!$B$3:$B$502,"Previous CBS Talks spend")+COUNTIFS('Commercial Evidence'!$A$3:$A$502,$A75,'Commercial Evidence'!$B$3:$B$502,"Sponsors student organisations")&gt;0,2,IF(COUNTIFS('Commercial Evidence'!$A$3:$A$502,$A75,'Commercial Evidence'!$B$3:$B$502,"Sponsors university activities")+COUNTIFS('Commercial Evidence'!$A$3:$A$502,$A75,'Commercial Evidence'!$B$3:$B$502,"Sponsors similar events")+COUNTIFS('Commercial Evidence'!$A$3:$A$502,$A75,'Commercial Evidence'!$B$3:$B$502,"Previous CBS Talks partner")&gt;0,1,0))))</f>
        <v/>
      </c>
      <c r="AC75" s="32" t="str">
        <f aca="false">IF($A75="","",IF(COUNT(G75,J75,M75,P75,AB75)&lt;5,"",G75+J75+M75+P75+AB75))</f>
        <v/>
      </c>
      <c r="AD75" s="32" t="str">
        <f aca="false">IF($A75="","",IF(COUNTIFS(Contacts!$A$3:$A$502,$A75,Contacts!$E$3:$E$502,"Champion",Contacts!$K$3:$K$502,"&lt;&gt;Yes",Contacts!$L$3:$L$502,"&lt;&gt;Yes")+COUNTIFS(Opportunities!$A$3:$A$502,$A75,Opportunities!$C$3:$C$502,"Won",Opportunities!$Q$3:$Q$502,"Satisfied")&gt;0,4,IF(COUNTIFS(Interactions!$B$3:$B$502,$A75,Interactions!$I$3:$I$502,"Yes",Interactions!$A$3:$A$502,"&gt;="&amp;(S_Today-S_WarmDays))&gt;0,3,IF(T75&lt;&gt;"",2,IF(COUNTIFS(Contacts!$A$3:$A$502,$A75,Contacts!$M$3:$M$502,"Yes",Contacts!$K$3:$K$502,"&lt;&gt;Yes",Contacts!$L$3:$L$502,"&lt;&gt;Yes")&gt;0,1,0)))))</f>
        <v/>
      </c>
      <c r="AE75" s="32" t="str">
        <f aca="false">IF($A75="","",IF(Z75="Yes","Do not contact",IF(AC75="","Research",IF(AND(AC75&gt;=S_FitHigh,AD75&gt;=S_AccessHigh),"Priority",IF(AC75&gt;=S_FitHigh,"Build a Path",IF(AD75&gt;=S_AccessHigh,"Quick Win","Low Priority"))))))</f>
        <v/>
      </c>
      <c r="AF75" s="33" t="str">
        <f aca="false">IF($A75="","",IF(_xlfn.MAXIFS(Interactions!$A$3:$A$502,Interactions!$B$3:$B$502,$A75)=0,"",_xlfn.MAXIFS(Interactions!$A$3:$A$502,Interactions!$B$3:$B$502,$A75)))</f>
        <v/>
      </c>
      <c r="AG75" s="32" t="str">
        <f aca="false">IF($A75="","",COUNTIFS(Opportunities!$A$3:$A$502,$A75,Opportunities!$X$3:$X$502,"Yes"))</f>
        <v/>
      </c>
      <c r="AH75" s="32" t="str">
        <f aca="false">IF($A75="","",_xlfn.TEXTJOIN(", ",TRUE(),IF(COUNTIF($A$3:$A$502,$A75)&gt;1,"Duplicate name",""),IF(OR(AND(G75=2,I75=""),AND(J75=2,L75=""),AND(M75=2,O75=""),AND(P75=2,R75="")),"Source missing for a 2",""),IF(F75="","No owner",IF(COUNTIFS(R_TeamName,F75,R_TeamActive,"No")&gt;0,"Needs new owner","")),IF(AND(V75="Yes",X75&lt;&gt;"",X75&lt;S_SemStart),"Path overdue",""),IF(AND(S75&lt;&gt;"",S75&lt;S_Today-365),"Stale research",""),IF(AND(AE75="Research",COUNTIF('Commercial Evidence'!$A$3:$A$502,$A75)=0),"Add commercial evidence","")))</f>
        <v/>
      </c>
      <c r="AI75" s="34" t="str">
        <f aca="false">IF(OR($A75="",Z75="Yes"),"",IF(AND(AE75="Priority",AG75=0,COUNTIFS(Opportunities!$A$3:$A$502,$A75,Opportunities!$Y$3:$Y$502,"Renewal due")=0),600000+(10-AC75)*1000+(4-AD75)*100+ROW()/100000,IF(V75="Yes",700000+IF(X75="",0,X75-40000)/10+ROW()/100000,IF(AND(AE75="Quick Win",U75&lt;&gt;"",AG75=0),800000+(10-AC75)*1000+ROW()/100000,IF(AND(AE75="Build a Path",COUNTIF($V$3:$V$502,"Yes")&lt;S_PathCap),900000+(10-AC75)*1000+(4-AD75)*100+ROW()/100000,"")))))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8"/>
      <c r="T76" s="27"/>
      <c r="U76" s="27"/>
      <c r="V76" s="27"/>
      <c r="W76" s="27"/>
      <c r="X76" s="28"/>
      <c r="Y76" s="27"/>
      <c r="Z76" s="27"/>
      <c r="AA76" s="27"/>
      <c r="AB76" s="32" t="str">
        <f aca="false">IF($A76="","",IF(COUNTIF('Commercial Evidence'!$A$3:$A$502,$A76)=0,"",IF(COUNTIFS('Commercial Evidence'!$A$3:$A$502,$A76,'Commercial Evidence'!$B$3:$B$502,"Previous CBS Talks spend")+COUNTIFS('Commercial Evidence'!$A$3:$A$502,$A76,'Commercial Evidence'!$B$3:$B$502,"Sponsors student organisations")&gt;0,2,IF(COUNTIFS('Commercial Evidence'!$A$3:$A$502,$A76,'Commercial Evidence'!$B$3:$B$502,"Sponsors university activities")+COUNTIFS('Commercial Evidence'!$A$3:$A$502,$A76,'Commercial Evidence'!$B$3:$B$502,"Sponsors similar events")+COUNTIFS('Commercial Evidence'!$A$3:$A$502,$A76,'Commercial Evidence'!$B$3:$B$502,"Previous CBS Talks partner")&gt;0,1,0))))</f>
        <v/>
      </c>
      <c r="AC76" s="32" t="str">
        <f aca="false">IF($A76="","",IF(COUNT(G76,J76,M76,P76,AB76)&lt;5,"",G76+J76+M76+P76+AB76))</f>
        <v/>
      </c>
      <c r="AD76" s="32" t="str">
        <f aca="false">IF($A76="","",IF(COUNTIFS(Contacts!$A$3:$A$502,$A76,Contacts!$E$3:$E$502,"Champion",Contacts!$K$3:$K$502,"&lt;&gt;Yes",Contacts!$L$3:$L$502,"&lt;&gt;Yes")+COUNTIFS(Opportunities!$A$3:$A$502,$A76,Opportunities!$C$3:$C$502,"Won",Opportunities!$Q$3:$Q$502,"Satisfied")&gt;0,4,IF(COUNTIFS(Interactions!$B$3:$B$502,$A76,Interactions!$I$3:$I$502,"Yes",Interactions!$A$3:$A$502,"&gt;="&amp;(S_Today-S_WarmDays))&gt;0,3,IF(T76&lt;&gt;"",2,IF(COUNTIFS(Contacts!$A$3:$A$502,$A76,Contacts!$M$3:$M$502,"Yes",Contacts!$K$3:$K$502,"&lt;&gt;Yes",Contacts!$L$3:$L$502,"&lt;&gt;Yes")&gt;0,1,0)))))</f>
        <v/>
      </c>
      <c r="AE76" s="32" t="str">
        <f aca="false">IF($A76="","",IF(Z76="Yes","Do not contact",IF(AC76="","Research",IF(AND(AC76&gt;=S_FitHigh,AD76&gt;=S_AccessHigh),"Priority",IF(AC76&gt;=S_FitHigh,"Build a Path",IF(AD76&gt;=S_AccessHigh,"Quick Win","Low Priority"))))))</f>
        <v/>
      </c>
      <c r="AF76" s="33" t="str">
        <f aca="false">IF($A76="","",IF(_xlfn.MAXIFS(Interactions!$A$3:$A$502,Interactions!$B$3:$B$502,$A76)=0,"",_xlfn.MAXIFS(Interactions!$A$3:$A$502,Interactions!$B$3:$B$502,$A76)))</f>
        <v/>
      </c>
      <c r="AG76" s="32" t="str">
        <f aca="false">IF($A76="","",COUNTIFS(Opportunities!$A$3:$A$502,$A76,Opportunities!$X$3:$X$502,"Yes"))</f>
        <v/>
      </c>
      <c r="AH76" s="32" t="str">
        <f aca="false">IF($A76="","",_xlfn.TEXTJOIN(", ",TRUE(),IF(COUNTIF($A$3:$A$502,$A76)&gt;1,"Duplicate name",""),IF(OR(AND(G76=2,I76=""),AND(J76=2,L76=""),AND(M76=2,O76=""),AND(P76=2,R76="")),"Source missing for a 2",""),IF(F76="","No owner",IF(COUNTIFS(R_TeamName,F76,R_TeamActive,"No")&gt;0,"Needs new owner","")),IF(AND(V76="Yes",X76&lt;&gt;"",X76&lt;S_SemStart),"Path overdue",""),IF(AND(S76&lt;&gt;"",S76&lt;S_Today-365),"Stale research",""),IF(AND(AE76="Research",COUNTIF('Commercial Evidence'!$A$3:$A$502,$A76)=0),"Add commercial evidence","")))</f>
        <v/>
      </c>
      <c r="AI76" s="34" t="str">
        <f aca="false">IF(OR($A76="",Z76="Yes"),"",IF(AND(AE76="Priority",AG76=0,COUNTIFS(Opportunities!$A$3:$A$502,$A76,Opportunities!$Y$3:$Y$502,"Renewal due")=0),600000+(10-AC76)*1000+(4-AD76)*100+ROW()/100000,IF(V76="Yes",700000+IF(X76="",0,X76-40000)/10+ROW()/100000,IF(AND(AE76="Quick Win",U76&lt;&gt;"",AG76=0),800000+(10-AC76)*1000+ROW()/100000,IF(AND(AE76="Build a Path",COUNTIF($V$3:$V$502,"Yes")&lt;S_PathCap),900000+(10-AC76)*1000+(4-AD76)*100+ROW()/100000,"")))))</f>
        <v/>
      </c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8"/>
      <c r="T77" s="27"/>
      <c r="U77" s="27"/>
      <c r="V77" s="27"/>
      <c r="W77" s="27"/>
      <c r="X77" s="28"/>
      <c r="Y77" s="27"/>
      <c r="Z77" s="27"/>
      <c r="AA77" s="27"/>
      <c r="AB77" s="32" t="str">
        <f aca="false">IF($A77="","",IF(COUNTIF('Commercial Evidence'!$A$3:$A$502,$A77)=0,"",IF(COUNTIFS('Commercial Evidence'!$A$3:$A$502,$A77,'Commercial Evidence'!$B$3:$B$502,"Previous CBS Talks spend")+COUNTIFS('Commercial Evidence'!$A$3:$A$502,$A77,'Commercial Evidence'!$B$3:$B$502,"Sponsors student organisations")&gt;0,2,IF(COUNTIFS('Commercial Evidence'!$A$3:$A$502,$A77,'Commercial Evidence'!$B$3:$B$502,"Sponsors university activities")+COUNTIFS('Commercial Evidence'!$A$3:$A$502,$A77,'Commercial Evidence'!$B$3:$B$502,"Sponsors similar events")+COUNTIFS('Commercial Evidence'!$A$3:$A$502,$A77,'Commercial Evidence'!$B$3:$B$502,"Previous CBS Talks partner")&gt;0,1,0))))</f>
        <v/>
      </c>
      <c r="AC77" s="32" t="str">
        <f aca="false">IF($A77="","",IF(COUNT(G77,J77,M77,P77,AB77)&lt;5,"",G77+J77+M77+P77+AB77))</f>
        <v/>
      </c>
      <c r="AD77" s="32" t="str">
        <f aca="false">IF($A77="","",IF(COUNTIFS(Contacts!$A$3:$A$502,$A77,Contacts!$E$3:$E$502,"Champion",Contacts!$K$3:$K$502,"&lt;&gt;Yes",Contacts!$L$3:$L$502,"&lt;&gt;Yes")+COUNTIFS(Opportunities!$A$3:$A$502,$A77,Opportunities!$C$3:$C$502,"Won",Opportunities!$Q$3:$Q$502,"Satisfied")&gt;0,4,IF(COUNTIFS(Interactions!$B$3:$B$502,$A77,Interactions!$I$3:$I$502,"Yes",Interactions!$A$3:$A$502,"&gt;="&amp;(S_Today-S_WarmDays))&gt;0,3,IF(T77&lt;&gt;"",2,IF(COUNTIFS(Contacts!$A$3:$A$502,$A77,Contacts!$M$3:$M$502,"Yes",Contacts!$K$3:$K$502,"&lt;&gt;Yes",Contacts!$L$3:$L$502,"&lt;&gt;Yes")&gt;0,1,0)))))</f>
        <v/>
      </c>
      <c r="AE77" s="32" t="str">
        <f aca="false">IF($A77="","",IF(Z77="Yes","Do not contact",IF(AC77="","Research",IF(AND(AC77&gt;=S_FitHigh,AD77&gt;=S_AccessHigh),"Priority",IF(AC77&gt;=S_FitHigh,"Build a Path",IF(AD77&gt;=S_AccessHigh,"Quick Win","Low Priority"))))))</f>
        <v/>
      </c>
      <c r="AF77" s="33" t="str">
        <f aca="false">IF($A77="","",IF(_xlfn.MAXIFS(Interactions!$A$3:$A$502,Interactions!$B$3:$B$502,$A77)=0,"",_xlfn.MAXIFS(Interactions!$A$3:$A$502,Interactions!$B$3:$B$502,$A77)))</f>
        <v/>
      </c>
      <c r="AG77" s="32" t="str">
        <f aca="false">IF($A77="","",COUNTIFS(Opportunities!$A$3:$A$502,$A77,Opportunities!$X$3:$X$502,"Yes"))</f>
        <v/>
      </c>
      <c r="AH77" s="32" t="str">
        <f aca="false">IF($A77="","",_xlfn.TEXTJOIN(", ",TRUE(),IF(COUNTIF($A$3:$A$502,$A77)&gt;1,"Duplicate name",""),IF(OR(AND(G77=2,I77=""),AND(J77=2,L77=""),AND(M77=2,O77=""),AND(P77=2,R77="")),"Source missing for a 2",""),IF(F77="","No owner",IF(COUNTIFS(R_TeamName,F77,R_TeamActive,"No")&gt;0,"Needs new owner","")),IF(AND(V77="Yes",X77&lt;&gt;"",X77&lt;S_SemStart),"Path overdue",""),IF(AND(S77&lt;&gt;"",S77&lt;S_Today-365),"Stale research",""),IF(AND(AE77="Research",COUNTIF('Commercial Evidence'!$A$3:$A$502,$A77)=0),"Add commercial evidence","")))</f>
        <v/>
      </c>
      <c r="AI77" s="34" t="str">
        <f aca="false">IF(OR($A77="",Z77="Yes"),"",IF(AND(AE77="Priority",AG77=0,COUNTIFS(Opportunities!$A$3:$A$502,$A77,Opportunities!$Y$3:$Y$502,"Renewal due")=0),600000+(10-AC77)*1000+(4-AD77)*100+ROW()/100000,IF(V77="Yes",700000+IF(X77="",0,X77-40000)/10+ROW()/100000,IF(AND(AE77="Quick Win",U77&lt;&gt;"",AG77=0),800000+(10-AC77)*1000+ROW()/100000,IF(AND(AE77="Build a Path",COUNTIF($V$3:$V$502,"Yes")&lt;S_PathCap),900000+(10-AC77)*1000+(4-AD77)*100+ROW()/100000,"")))))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8"/>
      <c r="T78" s="27"/>
      <c r="U78" s="27"/>
      <c r="V78" s="27"/>
      <c r="W78" s="27"/>
      <c r="X78" s="28"/>
      <c r="Y78" s="27"/>
      <c r="Z78" s="27"/>
      <c r="AA78" s="27"/>
      <c r="AB78" s="32" t="str">
        <f aca="false">IF($A78="","",IF(COUNTIF('Commercial Evidence'!$A$3:$A$502,$A78)=0,"",IF(COUNTIFS('Commercial Evidence'!$A$3:$A$502,$A78,'Commercial Evidence'!$B$3:$B$502,"Previous CBS Talks spend")+COUNTIFS('Commercial Evidence'!$A$3:$A$502,$A78,'Commercial Evidence'!$B$3:$B$502,"Sponsors student organisations")&gt;0,2,IF(COUNTIFS('Commercial Evidence'!$A$3:$A$502,$A78,'Commercial Evidence'!$B$3:$B$502,"Sponsors university activities")+COUNTIFS('Commercial Evidence'!$A$3:$A$502,$A78,'Commercial Evidence'!$B$3:$B$502,"Sponsors similar events")+COUNTIFS('Commercial Evidence'!$A$3:$A$502,$A78,'Commercial Evidence'!$B$3:$B$502,"Previous CBS Talks partner")&gt;0,1,0))))</f>
        <v/>
      </c>
      <c r="AC78" s="32" t="str">
        <f aca="false">IF($A78="","",IF(COUNT(G78,J78,M78,P78,AB78)&lt;5,"",G78+J78+M78+P78+AB78))</f>
        <v/>
      </c>
      <c r="AD78" s="32" t="str">
        <f aca="false">IF($A78="","",IF(COUNTIFS(Contacts!$A$3:$A$502,$A78,Contacts!$E$3:$E$502,"Champion",Contacts!$K$3:$K$502,"&lt;&gt;Yes",Contacts!$L$3:$L$502,"&lt;&gt;Yes")+COUNTIFS(Opportunities!$A$3:$A$502,$A78,Opportunities!$C$3:$C$502,"Won",Opportunities!$Q$3:$Q$502,"Satisfied")&gt;0,4,IF(COUNTIFS(Interactions!$B$3:$B$502,$A78,Interactions!$I$3:$I$502,"Yes",Interactions!$A$3:$A$502,"&gt;="&amp;(S_Today-S_WarmDays))&gt;0,3,IF(T78&lt;&gt;"",2,IF(COUNTIFS(Contacts!$A$3:$A$502,$A78,Contacts!$M$3:$M$502,"Yes",Contacts!$K$3:$K$502,"&lt;&gt;Yes",Contacts!$L$3:$L$502,"&lt;&gt;Yes")&gt;0,1,0)))))</f>
        <v/>
      </c>
      <c r="AE78" s="32" t="str">
        <f aca="false">IF($A78="","",IF(Z78="Yes","Do not contact",IF(AC78="","Research",IF(AND(AC78&gt;=S_FitHigh,AD78&gt;=S_AccessHigh),"Priority",IF(AC78&gt;=S_FitHigh,"Build a Path",IF(AD78&gt;=S_AccessHigh,"Quick Win","Low Priority"))))))</f>
        <v/>
      </c>
      <c r="AF78" s="33" t="str">
        <f aca="false">IF($A78="","",IF(_xlfn.MAXIFS(Interactions!$A$3:$A$502,Interactions!$B$3:$B$502,$A78)=0,"",_xlfn.MAXIFS(Interactions!$A$3:$A$502,Interactions!$B$3:$B$502,$A78)))</f>
        <v/>
      </c>
      <c r="AG78" s="32" t="str">
        <f aca="false">IF($A78="","",COUNTIFS(Opportunities!$A$3:$A$502,$A78,Opportunities!$X$3:$X$502,"Yes"))</f>
        <v/>
      </c>
      <c r="AH78" s="32" t="str">
        <f aca="false">IF($A78="","",_xlfn.TEXTJOIN(", ",TRUE(),IF(COUNTIF($A$3:$A$502,$A78)&gt;1,"Duplicate name",""),IF(OR(AND(G78=2,I78=""),AND(J78=2,L78=""),AND(M78=2,O78=""),AND(P78=2,R78="")),"Source missing for a 2",""),IF(F78="","No owner",IF(COUNTIFS(R_TeamName,F78,R_TeamActive,"No")&gt;0,"Needs new owner","")),IF(AND(V78="Yes",X78&lt;&gt;"",X78&lt;S_SemStart),"Path overdue",""),IF(AND(S78&lt;&gt;"",S78&lt;S_Today-365),"Stale research",""),IF(AND(AE78="Research",COUNTIF('Commercial Evidence'!$A$3:$A$502,$A78)=0),"Add commercial evidence","")))</f>
        <v/>
      </c>
      <c r="AI78" s="34" t="str">
        <f aca="false">IF(OR($A78="",Z78="Yes"),"",IF(AND(AE78="Priority",AG78=0,COUNTIFS(Opportunities!$A$3:$A$502,$A78,Opportunities!$Y$3:$Y$502,"Renewal due")=0),600000+(10-AC78)*1000+(4-AD78)*100+ROW()/100000,IF(V78="Yes",700000+IF(X78="",0,X78-40000)/10+ROW()/100000,IF(AND(AE78="Quick Win",U78&lt;&gt;"",AG78=0),800000+(10-AC78)*1000+ROW()/100000,IF(AND(AE78="Build a Path",COUNTIF($V$3:$V$502,"Yes")&lt;S_PathCap),900000+(10-AC78)*1000+(4-AD78)*100+ROW()/100000,"")))))</f>
        <v/>
      </c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8"/>
      <c r="T79" s="27"/>
      <c r="U79" s="27"/>
      <c r="V79" s="27"/>
      <c r="W79" s="27"/>
      <c r="X79" s="28"/>
      <c r="Y79" s="27"/>
      <c r="Z79" s="27"/>
      <c r="AA79" s="27"/>
      <c r="AB79" s="32" t="str">
        <f aca="false">IF($A79="","",IF(COUNTIF('Commercial Evidence'!$A$3:$A$502,$A79)=0,"",IF(COUNTIFS('Commercial Evidence'!$A$3:$A$502,$A79,'Commercial Evidence'!$B$3:$B$502,"Previous CBS Talks spend")+COUNTIFS('Commercial Evidence'!$A$3:$A$502,$A79,'Commercial Evidence'!$B$3:$B$502,"Sponsors student organisations")&gt;0,2,IF(COUNTIFS('Commercial Evidence'!$A$3:$A$502,$A79,'Commercial Evidence'!$B$3:$B$502,"Sponsors university activities")+COUNTIFS('Commercial Evidence'!$A$3:$A$502,$A79,'Commercial Evidence'!$B$3:$B$502,"Sponsors similar events")+COUNTIFS('Commercial Evidence'!$A$3:$A$502,$A79,'Commercial Evidence'!$B$3:$B$502,"Previous CBS Talks partner")&gt;0,1,0))))</f>
        <v/>
      </c>
      <c r="AC79" s="32" t="str">
        <f aca="false">IF($A79="","",IF(COUNT(G79,J79,M79,P79,AB79)&lt;5,"",G79+J79+M79+P79+AB79))</f>
        <v/>
      </c>
      <c r="AD79" s="32" t="str">
        <f aca="false">IF($A79="","",IF(COUNTIFS(Contacts!$A$3:$A$502,$A79,Contacts!$E$3:$E$502,"Champion",Contacts!$K$3:$K$502,"&lt;&gt;Yes",Contacts!$L$3:$L$502,"&lt;&gt;Yes")+COUNTIFS(Opportunities!$A$3:$A$502,$A79,Opportunities!$C$3:$C$502,"Won",Opportunities!$Q$3:$Q$502,"Satisfied")&gt;0,4,IF(COUNTIFS(Interactions!$B$3:$B$502,$A79,Interactions!$I$3:$I$502,"Yes",Interactions!$A$3:$A$502,"&gt;="&amp;(S_Today-S_WarmDays))&gt;0,3,IF(T79&lt;&gt;"",2,IF(COUNTIFS(Contacts!$A$3:$A$502,$A79,Contacts!$M$3:$M$502,"Yes",Contacts!$K$3:$K$502,"&lt;&gt;Yes",Contacts!$L$3:$L$502,"&lt;&gt;Yes")&gt;0,1,0)))))</f>
        <v/>
      </c>
      <c r="AE79" s="32" t="str">
        <f aca="false">IF($A79="","",IF(Z79="Yes","Do not contact",IF(AC79="","Research",IF(AND(AC79&gt;=S_FitHigh,AD79&gt;=S_AccessHigh),"Priority",IF(AC79&gt;=S_FitHigh,"Build a Path",IF(AD79&gt;=S_AccessHigh,"Quick Win","Low Priority"))))))</f>
        <v/>
      </c>
      <c r="AF79" s="33" t="str">
        <f aca="false">IF($A79="","",IF(_xlfn.MAXIFS(Interactions!$A$3:$A$502,Interactions!$B$3:$B$502,$A79)=0,"",_xlfn.MAXIFS(Interactions!$A$3:$A$502,Interactions!$B$3:$B$502,$A79)))</f>
        <v/>
      </c>
      <c r="AG79" s="32" t="str">
        <f aca="false">IF($A79="","",COUNTIFS(Opportunities!$A$3:$A$502,$A79,Opportunities!$X$3:$X$502,"Yes"))</f>
        <v/>
      </c>
      <c r="AH79" s="32" t="str">
        <f aca="false">IF($A79="","",_xlfn.TEXTJOIN(", ",TRUE(),IF(COUNTIF($A$3:$A$502,$A79)&gt;1,"Duplicate name",""),IF(OR(AND(G79=2,I79=""),AND(J79=2,L79=""),AND(M79=2,O79=""),AND(P79=2,R79="")),"Source missing for a 2",""),IF(F79="","No owner",IF(COUNTIFS(R_TeamName,F79,R_TeamActive,"No")&gt;0,"Needs new owner","")),IF(AND(V79="Yes",X79&lt;&gt;"",X79&lt;S_SemStart),"Path overdue",""),IF(AND(S79&lt;&gt;"",S79&lt;S_Today-365),"Stale research",""),IF(AND(AE79="Research",COUNTIF('Commercial Evidence'!$A$3:$A$502,$A79)=0),"Add commercial evidence","")))</f>
        <v/>
      </c>
      <c r="AI79" s="34" t="str">
        <f aca="false">IF(OR($A79="",Z79="Yes"),"",IF(AND(AE79="Priority",AG79=0,COUNTIFS(Opportunities!$A$3:$A$502,$A79,Opportunities!$Y$3:$Y$502,"Renewal due")=0),600000+(10-AC79)*1000+(4-AD79)*100+ROW()/100000,IF(V79="Yes",700000+IF(X79="",0,X79-40000)/10+ROW()/100000,IF(AND(AE79="Quick Win",U79&lt;&gt;"",AG79=0),800000+(10-AC79)*1000+ROW()/100000,IF(AND(AE79="Build a Path",COUNTIF($V$3:$V$502,"Yes")&lt;S_PathCap),900000+(10-AC79)*1000+(4-AD79)*100+ROW()/100000,"")))))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8"/>
      <c r="T80" s="27"/>
      <c r="U80" s="27"/>
      <c r="V80" s="27"/>
      <c r="W80" s="27"/>
      <c r="X80" s="28"/>
      <c r="Y80" s="27"/>
      <c r="Z80" s="27"/>
      <c r="AA80" s="27"/>
      <c r="AB80" s="32" t="str">
        <f aca="false">IF($A80="","",IF(COUNTIF('Commercial Evidence'!$A$3:$A$502,$A80)=0,"",IF(COUNTIFS('Commercial Evidence'!$A$3:$A$502,$A80,'Commercial Evidence'!$B$3:$B$502,"Previous CBS Talks spend")+COUNTIFS('Commercial Evidence'!$A$3:$A$502,$A80,'Commercial Evidence'!$B$3:$B$502,"Sponsors student organisations")&gt;0,2,IF(COUNTIFS('Commercial Evidence'!$A$3:$A$502,$A80,'Commercial Evidence'!$B$3:$B$502,"Sponsors university activities")+COUNTIFS('Commercial Evidence'!$A$3:$A$502,$A80,'Commercial Evidence'!$B$3:$B$502,"Sponsors similar events")+COUNTIFS('Commercial Evidence'!$A$3:$A$502,$A80,'Commercial Evidence'!$B$3:$B$502,"Previous CBS Talks partner")&gt;0,1,0))))</f>
        <v/>
      </c>
      <c r="AC80" s="32" t="str">
        <f aca="false">IF($A80="","",IF(COUNT(G80,J80,M80,P80,AB80)&lt;5,"",G80+J80+M80+P80+AB80))</f>
        <v/>
      </c>
      <c r="AD80" s="32" t="str">
        <f aca="false">IF($A80="","",IF(COUNTIFS(Contacts!$A$3:$A$502,$A80,Contacts!$E$3:$E$502,"Champion",Contacts!$K$3:$K$502,"&lt;&gt;Yes",Contacts!$L$3:$L$502,"&lt;&gt;Yes")+COUNTIFS(Opportunities!$A$3:$A$502,$A80,Opportunities!$C$3:$C$502,"Won",Opportunities!$Q$3:$Q$502,"Satisfied")&gt;0,4,IF(COUNTIFS(Interactions!$B$3:$B$502,$A80,Interactions!$I$3:$I$502,"Yes",Interactions!$A$3:$A$502,"&gt;="&amp;(S_Today-S_WarmDays))&gt;0,3,IF(T80&lt;&gt;"",2,IF(COUNTIFS(Contacts!$A$3:$A$502,$A80,Contacts!$M$3:$M$502,"Yes",Contacts!$K$3:$K$502,"&lt;&gt;Yes",Contacts!$L$3:$L$502,"&lt;&gt;Yes")&gt;0,1,0)))))</f>
        <v/>
      </c>
      <c r="AE80" s="32" t="str">
        <f aca="false">IF($A80="","",IF(Z80="Yes","Do not contact",IF(AC80="","Research",IF(AND(AC80&gt;=S_FitHigh,AD80&gt;=S_AccessHigh),"Priority",IF(AC80&gt;=S_FitHigh,"Build a Path",IF(AD80&gt;=S_AccessHigh,"Quick Win","Low Priority"))))))</f>
        <v/>
      </c>
      <c r="AF80" s="33" t="str">
        <f aca="false">IF($A80="","",IF(_xlfn.MAXIFS(Interactions!$A$3:$A$502,Interactions!$B$3:$B$502,$A80)=0,"",_xlfn.MAXIFS(Interactions!$A$3:$A$502,Interactions!$B$3:$B$502,$A80)))</f>
        <v/>
      </c>
      <c r="AG80" s="32" t="str">
        <f aca="false">IF($A80="","",COUNTIFS(Opportunities!$A$3:$A$502,$A80,Opportunities!$X$3:$X$502,"Yes"))</f>
        <v/>
      </c>
      <c r="AH80" s="32" t="str">
        <f aca="false">IF($A80="","",_xlfn.TEXTJOIN(", ",TRUE(),IF(COUNTIF($A$3:$A$502,$A80)&gt;1,"Duplicate name",""),IF(OR(AND(G80=2,I80=""),AND(J80=2,L80=""),AND(M80=2,O80=""),AND(P80=2,R80="")),"Source missing for a 2",""),IF(F80="","No owner",IF(COUNTIFS(R_TeamName,F80,R_TeamActive,"No")&gt;0,"Needs new owner","")),IF(AND(V80="Yes",X80&lt;&gt;"",X80&lt;S_SemStart),"Path overdue",""),IF(AND(S80&lt;&gt;"",S80&lt;S_Today-365),"Stale research",""),IF(AND(AE80="Research",COUNTIF('Commercial Evidence'!$A$3:$A$502,$A80)=0),"Add commercial evidence","")))</f>
        <v/>
      </c>
      <c r="AI80" s="34" t="str">
        <f aca="false">IF(OR($A80="",Z80="Yes"),"",IF(AND(AE80="Priority",AG80=0,COUNTIFS(Opportunities!$A$3:$A$502,$A80,Opportunities!$Y$3:$Y$502,"Renewal due")=0),600000+(10-AC80)*1000+(4-AD80)*100+ROW()/100000,IF(V80="Yes",700000+IF(X80="",0,X80-40000)/10+ROW()/100000,IF(AND(AE80="Quick Win",U80&lt;&gt;"",AG80=0),800000+(10-AC80)*1000+ROW()/100000,IF(AND(AE80="Build a Path",COUNTIF($V$3:$V$502,"Yes")&lt;S_PathCap),900000+(10-AC80)*1000+(4-AD80)*100+ROW()/100000,"")))))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8"/>
      <c r="T81" s="27"/>
      <c r="U81" s="27"/>
      <c r="V81" s="27"/>
      <c r="W81" s="27"/>
      <c r="X81" s="28"/>
      <c r="Y81" s="27"/>
      <c r="Z81" s="27"/>
      <c r="AA81" s="27"/>
      <c r="AB81" s="32" t="str">
        <f aca="false">IF($A81="","",IF(COUNTIF('Commercial Evidence'!$A$3:$A$502,$A81)=0,"",IF(COUNTIFS('Commercial Evidence'!$A$3:$A$502,$A81,'Commercial Evidence'!$B$3:$B$502,"Previous CBS Talks spend")+COUNTIFS('Commercial Evidence'!$A$3:$A$502,$A81,'Commercial Evidence'!$B$3:$B$502,"Sponsors student organisations")&gt;0,2,IF(COUNTIFS('Commercial Evidence'!$A$3:$A$502,$A81,'Commercial Evidence'!$B$3:$B$502,"Sponsors university activities")+COUNTIFS('Commercial Evidence'!$A$3:$A$502,$A81,'Commercial Evidence'!$B$3:$B$502,"Sponsors similar events")+COUNTIFS('Commercial Evidence'!$A$3:$A$502,$A81,'Commercial Evidence'!$B$3:$B$502,"Previous CBS Talks partner")&gt;0,1,0))))</f>
        <v/>
      </c>
      <c r="AC81" s="32" t="str">
        <f aca="false">IF($A81="","",IF(COUNT(G81,J81,M81,P81,AB81)&lt;5,"",G81+J81+M81+P81+AB81))</f>
        <v/>
      </c>
      <c r="AD81" s="32" t="str">
        <f aca="false">IF($A81="","",IF(COUNTIFS(Contacts!$A$3:$A$502,$A81,Contacts!$E$3:$E$502,"Champion",Contacts!$K$3:$K$502,"&lt;&gt;Yes",Contacts!$L$3:$L$502,"&lt;&gt;Yes")+COUNTIFS(Opportunities!$A$3:$A$502,$A81,Opportunities!$C$3:$C$502,"Won",Opportunities!$Q$3:$Q$502,"Satisfied")&gt;0,4,IF(COUNTIFS(Interactions!$B$3:$B$502,$A81,Interactions!$I$3:$I$502,"Yes",Interactions!$A$3:$A$502,"&gt;="&amp;(S_Today-S_WarmDays))&gt;0,3,IF(T81&lt;&gt;"",2,IF(COUNTIFS(Contacts!$A$3:$A$502,$A81,Contacts!$M$3:$M$502,"Yes",Contacts!$K$3:$K$502,"&lt;&gt;Yes",Contacts!$L$3:$L$502,"&lt;&gt;Yes")&gt;0,1,0)))))</f>
        <v/>
      </c>
      <c r="AE81" s="32" t="str">
        <f aca="false">IF($A81="","",IF(Z81="Yes","Do not contact",IF(AC81="","Research",IF(AND(AC81&gt;=S_FitHigh,AD81&gt;=S_AccessHigh),"Priority",IF(AC81&gt;=S_FitHigh,"Build a Path",IF(AD81&gt;=S_AccessHigh,"Quick Win","Low Priority"))))))</f>
        <v/>
      </c>
      <c r="AF81" s="33" t="str">
        <f aca="false">IF($A81="","",IF(_xlfn.MAXIFS(Interactions!$A$3:$A$502,Interactions!$B$3:$B$502,$A81)=0,"",_xlfn.MAXIFS(Interactions!$A$3:$A$502,Interactions!$B$3:$B$502,$A81)))</f>
        <v/>
      </c>
      <c r="AG81" s="32" t="str">
        <f aca="false">IF($A81="","",COUNTIFS(Opportunities!$A$3:$A$502,$A81,Opportunities!$X$3:$X$502,"Yes"))</f>
        <v/>
      </c>
      <c r="AH81" s="32" t="str">
        <f aca="false">IF($A81="","",_xlfn.TEXTJOIN(", ",TRUE(),IF(COUNTIF($A$3:$A$502,$A81)&gt;1,"Duplicate name",""),IF(OR(AND(G81=2,I81=""),AND(J81=2,L81=""),AND(M81=2,O81=""),AND(P81=2,R81="")),"Source missing for a 2",""),IF(F81="","No owner",IF(COUNTIFS(R_TeamName,F81,R_TeamActive,"No")&gt;0,"Needs new owner","")),IF(AND(V81="Yes",X81&lt;&gt;"",X81&lt;S_SemStart),"Path overdue",""),IF(AND(S81&lt;&gt;"",S81&lt;S_Today-365),"Stale research",""),IF(AND(AE81="Research",COUNTIF('Commercial Evidence'!$A$3:$A$502,$A81)=0),"Add commercial evidence","")))</f>
        <v/>
      </c>
      <c r="AI81" s="34" t="str">
        <f aca="false">IF(OR($A81="",Z81="Yes"),"",IF(AND(AE81="Priority",AG81=0,COUNTIFS(Opportunities!$A$3:$A$502,$A81,Opportunities!$Y$3:$Y$502,"Renewal due")=0),600000+(10-AC81)*1000+(4-AD81)*100+ROW()/100000,IF(V81="Yes",700000+IF(X81="",0,X81-40000)/10+ROW()/100000,IF(AND(AE81="Quick Win",U81&lt;&gt;"",AG81=0),800000+(10-AC81)*1000+ROW()/100000,IF(AND(AE81="Build a Path",COUNTIF($V$3:$V$502,"Yes")&lt;S_PathCap),900000+(10-AC81)*1000+(4-AD81)*100+ROW()/100000,"")))))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8"/>
      <c r="T82" s="27"/>
      <c r="U82" s="27"/>
      <c r="V82" s="27"/>
      <c r="W82" s="27"/>
      <c r="X82" s="28"/>
      <c r="Y82" s="27"/>
      <c r="Z82" s="27"/>
      <c r="AA82" s="27"/>
      <c r="AB82" s="32" t="str">
        <f aca="false">IF($A82="","",IF(COUNTIF('Commercial Evidence'!$A$3:$A$502,$A82)=0,"",IF(COUNTIFS('Commercial Evidence'!$A$3:$A$502,$A82,'Commercial Evidence'!$B$3:$B$502,"Previous CBS Talks spend")+COUNTIFS('Commercial Evidence'!$A$3:$A$502,$A82,'Commercial Evidence'!$B$3:$B$502,"Sponsors student organisations")&gt;0,2,IF(COUNTIFS('Commercial Evidence'!$A$3:$A$502,$A82,'Commercial Evidence'!$B$3:$B$502,"Sponsors university activities")+COUNTIFS('Commercial Evidence'!$A$3:$A$502,$A82,'Commercial Evidence'!$B$3:$B$502,"Sponsors similar events")+COUNTIFS('Commercial Evidence'!$A$3:$A$502,$A82,'Commercial Evidence'!$B$3:$B$502,"Previous CBS Talks partner")&gt;0,1,0))))</f>
        <v/>
      </c>
      <c r="AC82" s="32" t="str">
        <f aca="false">IF($A82="","",IF(COUNT(G82,J82,M82,P82,AB82)&lt;5,"",G82+J82+M82+P82+AB82))</f>
        <v/>
      </c>
      <c r="AD82" s="32" t="str">
        <f aca="false">IF($A82="","",IF(COUNTIFS(Contacts!$A$3:$A$502,$A82,Contacts!$E$3:$E$502,"Champion",Contacts!$K$3:$K$502,"&lt;&gt;Yes",Contacts!$L$3:$L$502,"&lt;&gt;Yes")+COUNTIFS(Opportunities!$A$3:$A$502,$A82,Opportunities!$C$3:$C$502,"Won",Opportunities!$Q$3:$Q$502,"Satisfied")&gt;0,4,IF(COUNTIFS(Interactions!$B$3:$B$502,$A82,Interactions!$I$3:$I$502,"Yes",Interactions!$A$3:$A$502,"&gt;="&amp;(S_Today-S_WarmDays))&gt;0,3,IF(T82&lt;&gt;"",2,IF(COUNTIFS(Contacts!$A$3:$A$502,$A82,Contacts!$M$3:$M$502,"Yes",Contacts!$K$3:$K$502,"&lt;&gt;Yes",Contacts!$L$3:$L$502,"&lt;&gt;Yes")&gt;0,1,0)))))</f>
        <v/>
      </c>
      <c r="AE82" s="32" t="str">
        <f aca="false">IF($A82="","",IF(Z82="Yes","Do not contact",IF(AC82="","Research",IF(AND(AC82&gt;=S_FitHigh,AD82&gt;=S_AccessHigh),"Priority",IF(AC82&gt;=S_FitHigh,"Build a Path",IF(AD82&gt;=S_AccessHigh,"Quick Win","Low Priority"))))))</f>
        <v/>
      </c>
      <c r="AF82" s="33" t="str">
        <f aca="false">IF($A82="","",IF(_xlfn.MAXIFS(Interactions!$A$3:$A$502,Interactions!$B$3:$B$502,$A82)=0,"",_xlfn.MAXIFS(Interactions!$A$3:$A$502,Interactions!$B$3:$B$502,$A82)))</f>
        <v/>
      </c>
      <c r="AG82" s="32" t="str">
        <f aca="false">IF($A82="","",COUNTIFS(Opportunities!$A$3:$A$502,$A82,Opportunities!$X$3:$X$502,"Yes"))</f>
        <v/>
      </c>
      <c r="AH82" s="32" t="str">
        <f aca="false">IF($A82="","",_xlfn.TEXTJOIN(", ",TRUE(),IF(COUNTIF($A$3:$A$502,$A82)&gt;1,"Duplicate name",""),IF(OR(AND(G82=2,I82=""),AND(J82=2,L82=""),AND(M82=2,O82=""),AND(P82=2,R82="")),"Source missing for a 2",""),IF(F82="","No owner",IF(COUNTIFS(R_TeamName,F82,R_TeamActive,"No")&gt;0,"Needs new owner","")),IF(AND(V82="Yes",X82&lt;&gt;"",X82&lt;S_SemStart),"Path overdue",""),IF(AND(S82&lt;&gt;"",S82&lt;S_Today-365),"Stale research",""),IF(AND(AE82="Research",COUNTIF('Commercial Evidence'!$A$3:$A$502,$A82)=0),"Add commercial evidence","")))</f>
        <v/>
      </c>
      <c r="AI82" s="34" t="str">
        <f aca="false">IF(OR($A82="",Z82="Yes"),"",IF(AND(AE82="Priority",AG82=0,COUNTIFS(Opportunities!$A$3:$A$502,$A82,Opportunities!$Y$3:$Y$502,"Renewal due")=0),600000+(10-AC82)*1000+(4-AD82)*100+ROW()/100000,IF(V82="Yes",700000+IF(X82="",0,X82-40000)/10+ROW()/100000,IF(AND(AE82="Quick Win",U82&lt;&gt;"",AG82=0),800000+(10-AC82)*1000+ROW()/100000,IF(AND(AE82="Build a Path",COUNTIF($V$3:$V$502,"Yes")&lt;S_PathCap),900000+(10-AC82)*1000+(4-AD82)*100+ROW()/100000,"")))))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8"/>
      <c r="T83" s="27"/>
      <c r="U83" s="27"/>
      <c r="V83" s="27"/>
      <c r="W83" s="27"/>
      <c r="X83" s="28"/>
      <c r="Y83" s="27"/>
      <c r="Z83" s="27"/>
      <c r="AA83" s="27"/>
      <c r="AB83" s="32" t="str">
        <f aca="false">IF($A83="","",IF(COUNTIF('Commercial Evidence'!$A$3:$A$502,$A83)=0,"",IF(COUNTIFS('Commercial Evidence'!$A$3:$A$502,$A83,'Commercial Evidence'!$B$3:$B$502,"Previous CBS Talks spend")+COUNTIFS('Commercial Evidence'!$A$3:$A$502,$A83,'Commercial Evidence'!$B$3:$B$502,"Sponsors student organisations")&gt;0,2,IF(COUNTIFS('Commercial Evidence'!$A$3:$A$502,$A83,'Commercial Evidence'!$B$3:$B$502,"Sponsors university activities")+COUNTIFS('Commercial Evidence'!$A$3:$A$502,$A83,'Commercial Evidence'!$B$3:$B$502,"Sponsors similar events")+COUNTIFS('Commercial Evidence'!$A$3:$A$502,$A83,'Commercial Evidence'!$B$3:$B$502,"Previous CBS Talks partner")&gt;0,1,0))))</f>
        <v/>
      </c>
      <c r="AC83" s="32" t="str">
        <f aca="false">IF($A83="","",IF(COUNT(G83,J83,M83,P83,AB83)&lt;5,"",G83+J83+M83+P83+AB83))</f>
        <v/>
      </c>
      <c r="AD83" s="32" t="str">
        <f aca="false">IF($A83="","",IF(COUNTIFS(Contacts!$A$3:$A$502,$A83,Contacts!$E$3:$E$502,"Champion",Contacts!$K$3:$K$502,"&lt;&gt;Yes",Contacts!$L$3:$L$502,"&lt;&gt;Yes")+COUNTIFS(Opportunities!$A$3:$A$502,$A83,Opportunities!$C$3:$C$502,"Won",Opportunities!$Q$3:$Q$502,"Satisfied")&gt;0,4,IF(COUNTIFS(Interactions!$B$3:$B$502,$A83,Interactions!$I$3:$I$502,"Yes",Interactions!$A$3:$A$502,"&gt;="&amp;(S_Today-S_WarmDays))&gt;0,3,IF(T83&lt;&gt;"",2,IF(COUNTIFS(Contacts!$A$3:$A$502,$A83,Contacts!$M$3:$M$502,"Yes",Contacts!$K$3:$K$502,"&lt;&gt;Yes",Contacts!$L$3:$L$502,"&lt;&gt;Yes")&gt;0,1,0)))))</f>
        <v/>
      </c>
      <c r="AE83" s="32" t="str">
        <f aca="false">IF($A83="","",IF(Z83="Yes","Do not contact",IF(AC83="","Research",IF(AND(AC83&gt;=S_FitHigh,AD83&gt;=S_AccessHigh),"Priority",IF(AC83&gt;=S_FitHigh,"Build a Path",IF(AD83&gt;=S_AccessHigh,"Quick Win","Low Priority"))))))</f>
        <v/>
      </c>
      <c r="AF83" s="33" t="str">
        <f aca="false">IF($A83="","",IF(_xlfn.MAXIFS(Interactions!$A$3:$A$502,Interactions!$B$3:$B$502,$A83)=0,"",_xlfn.MAXIFS(Interactions!$A$3:$A$502,Interactions!$B$3:$B$502,$A83)))</f>
        <v/>
      </c>
      <c r="AG83" s="32" t="str">
        <f aca="false">IF($A83="","",COUNTIFS(Opportunities!$A$3:$A$502,$A83,Opportunities!$X$3:$X$502,"Yes"))</f>
        <v/>
      </c>
      <c r="AH83" s="32" t="str">
        <f aca="false">IF($A83="","",_xlfn.TEXTJOIN(", ",TRUE(),IF(COUNTIF($A$3:$A$502,$A83)&gt;1,"Duplicate name",""),IF(OR(AND(G83=2,I83=""),AND(J83=2,L83=""),AND(M83=2,O83=""),AND(P83=2,R83="")),"Source missing for a 2",""),IF(F83="","No owner",IF(COUNTIFS(R_TeamName,F83,R_TeamActive,"No")&gt;0,"Needs new owner","")),IF(AND(V83="Yes",X83&lt;&gt;"",X83&lt;S_SemStart),"Path overdue",""),IF(AND(S83&lt;&gt;"",S83&lt;S_Today-365),"Stale research",""),IF(AND(AE83="Research",COUNTIF('Commercial Evidence'!$A$3:$A$502,$A83)=0),"Add commercial evidence","")))</f>
        <v/>
      </c>
      <c r="AI83" s="34" t="str">
        <f aca="false">IF(OR($A83="",Z83="Yes"),"",IF(AND(AE83="Priority",AG83=0,COUNTIFS(Opportunities!$A$3:$A$502,$A83,Opportunities!$Y$3:$Y$502,"Renewal due")=0),600000+(10-AC83)*1000+(4-AD83)*100+ROW()/100000,IF(V83="Yes",700000+IF(X83="",0,X83-40000)/10+ROW()/100000,IF(AND(AE83="Quick Win",U83&lt;&gt;"",AG83=0),800000+(10-AC83)*1000+ROW()/100000,IF(AND(AE83="Build a Path",COUNTIF($V$3:$V$502,"Yes")&lt;S_PathCap),900000+(10-AC83)*1000+(4-AD83)*100+ROW()/100000,"")))))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8"/>
      <c r="T84" s="27"/>
      <c r="U84" s="27"/>
      <c r="V84" s="27"/>
      <c r="W84" s="27"/>
      <c r="X84" s="28"/>
      <c r="Y84" s="27"/>
      <c r="Z84" s="27"/>
      <c r="AA84" s="27"/>
      <c r="AB84" s="32" t="str">
        <f aca="false">IF($A84="","",IF(COUNTIF('Commercial Evidence'!$A$3:$A$502,$A84)=0,"",IF(COUNTIFS('Commercial Evidence'!$A$3:$A$502,$A84,'Commercial Evidence'!$B$3:$B$502,"Previous CBS Talks spend")+COUNTIFS('Commercial Evidence'!$A$3:$A$502,$A84,'Commercial Evidence'!$B$3:$B$502,"Sponsors student organisations")&gt;0,2,IF(COUNTIFS('Commercial Evidence'!$A$3:$A$502,$A84,'Commercial Evidence'!$B$3:$B$502,"Sponsors university activities")+COUNTIFS('Commercial Evidence'!$A$3:$A$502,$A84,'Commercial Evidence'!$B$3:$B$502,"Sponsors similar events")+COUNTIFS('Commercial Evidence'!$A$3:$A$502,$A84,'Commercial Evidence'!$B$3:$B$502,"Previous CBS Talks partner")&gt;0,1,0))))</f>
        <v/>
      </c>
      <c r="AC84" s="32" t="str">
        <f aca="false">IF($A84="","",IF(COUNT(G84,J84,M84,P84,AB84)&lt;5,"",G84+J84+M84+P84+AB84))</f>
        <v/>
      </c>
      <c r="AD84" s="32" t="str">
        <f aca="false">IF($A84="","",IF(COUNTIFS(Contacts!$A$3:$A$502,$A84,Contacts!$E$3:$E$502,"Champion",Contacts!$K$3:$K$502,"&lt;&gt;Yes",Contacts!$L$3:$L$502,"&lt;&gt;Yes")+COUNTIFS(Opportunities!$A$3:$A$502,$A84,Opportunities!$C$3:$C$502,"Won",Opportunities!$Q$3:$Q$502,"Satisfied")&gt;0,4,IF(COUNTIFS(Interactions!$B$3:$B$502,$A84,Interactions!$I$3:$I$502,"Yes",Interactions!$A$3:$A$502,"&gt;="&amp;(S_Today-S_WarmDays))&gt;0,3,IF(T84&lt;&gt;"",2,IF(COUNTIFS(Contacts!$A$3:$A$502,$A84,Contacts!$M$3:$M$502,"Yes",Contacts!$K$3:$K$502,"&lt;&gt;Yes",Contacts!$L$3:$L$502,"&lt;&gt;Yes")&gt;0,1,0)))))</f>
        <v/>
      </c>
      <c r="AE84" s="32" t="str">
        <f aca="false">IF($A84="","",IF(Z84="Yes","Do not contact",IF(AC84="","Research",IF(AND(AC84&gt;=S_FitHigh,AD84&gt;=S_AccessHigh),"Priority",IF(AC84&gt;=S_FitHigh,"Build a Path",IF(AD84&gt;=S_AccessHigh,"Quick Win","Low Priority"))))))</f>
        <v/>
      </c>
      <c r="AF84" s="33" t="str">
        <f aca="false">IF($A84="","",IF(_xlfn.MAXIFS(Interactions!$A$3:$A$502,Interactions!$B$3:$B$502,$A84)=0,"",_xlfn.MAXIFS(Interactions!$A$3:$A$502,Interactions!$B$3:$B$502,$A84)))</f>
        <v/>
      </c>
      <c r="AG84" s="32" t="str">
        <f aca="false">IF($A84="","",COUNTIFS(Opportunities!$A$3:$A$502,$A84,Opportunities!$X$3:$X$502,"Yes"))</f>
        <v/>
      </c>
      <c r="AH84" s="32" t="str">
        <f aca="false">IF($A84="","",_xlfn.TEXTJOIN(", ",TRUE(),IF(COUNTIF($A$3:$A$502,$A84)&gt;1,"Duplicate name",""),IF(OR(AND(G84=2,I84=""),AND(J84=2,L84=""),AND(M84=2,O84=""),AND(P84=2,R84="")),"Source missing for a 2",""),IF(F84="","No owner",IF(COUNTIFS(R_TeamName,F84,R_TeamActive,"No")&gt;0,"Needs new owner","")),IF(AND(V84="Yes",X84&lt;&gt;"",X84&lt;S_SemStart),"Path overdue",""),IF(AND(S84&lt;&gt;"",S84&lt;S_Today-365),"Stale research",""),IF(AND(AE84="Research",COUNTIF('Commercial Evidence'!$A$3:$A$502,$A84)=0),"Add commercial evidence","")))</f>
        <v/>
      </c>
      <c r="AI84" s="34" t="str">
        <f aca="false">IF(OR($A84="",Z84="Yes"),"",IF(AND(AE84="Priority",AG84=0,COUNTIFS(Opportunities!$A$3:$A$502,$A84,Opportunities!$Y$3:$Y$502,"Renewal due")=0),600000+(10-AC84)*1000+(4-AD84)*100+ROW()/100000,IF(V84="Yes",700000+IF(X84="",0,X84-40000)/10+ROW()/100000,IF(AND(AE84="Quick Win",U84&lt;&gt;"",AG84=0),800000+(10-AC84)*1000+ROW()/100000,IF(AND(AE84="Build a Path",COUNTIF($V$3:$V$502,"Yes")&lt;S_PathCap),900000+(10-AC84)*1000+(4-AD84)*100+ROW()/100000,"")))))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8"/>
      <c r="T85" s="27"/>
      <c r="U85" s="27"/>
      <c r="V85" s="27"/>
      <c r="W85" s="27"/>
      <c r="X85" s="28"/>
      <c r="Y85" s="27"/>
      <c r="Z85" s="27"/>
      <c r="AA85" s="27"/>
      <c r="AB85" s="32" t="str">
        <f aca="false">IF($A85="","",IF(COUNTIF('Commercial Evidence'!$A$3:$A$502,$A85)=0,"",IF(COUNTIFS('Commercial Evidence'!$A$3:$A$502,$A85,'Commercial Evidence'!$B$3:$B$502,"Previous CBS Talks spend")+COUNTIFS('Commercial Evidence'!$A$3:$A$502,$A85,'Commercial Evidence'!$B$3:$B$502,"Sponsors student organisations")&gt;0,2,IF(COUNTIFS('Commercial Evidence'!$A$3:$A$502,$A85,'Commercial Evidence'!$B$3:$B$502,"Sponsors university activities")+COUNTIFS('Commercial Evidence'!$A$3:$A$502,$A85,'Commercial Evidence'!$B$3:$B$502,"Sponsors similar events")+COUNTIFS('Commercial Evidence'!$A$3:$A$502,$A85,'Commercial Evidence'!$B$3:$B$502,"Previous CBS Talks partner")&gt;0,1,0))))</f>
        <v/>
      </c>
      <c r="AC85" s="32" t="str">
        <f aca="false">IF($A85="","",IF(COUNT(G85,J85,M85,P85,AB85)&lt;5,"",G85+J85+M85+P85+AB85))</f>
        <v/>
      </c>
      <c r="AD85" s="32" t="str">
        <f aca="false">IF($A85="","",IF(COUNTIFS(Contacts!$A$3:$A$502,$A85,Contacts!$E$3:$E$502,"Champion",Contacts!$K$3:$K$502,"&lt;&gt;Yes",Contacts!$L$3:$L$502,"&lt;&gt;Yes")+COUNTIFS(Opportunities!$A$3:$A$502,$A85,Opportunities!$C$3:$C$502,"Won",Opportunities!$Q$3:$Q$502,"Satisfied")&gt;0,4,IF(COUNTIFS(Interactions!$B$3:$B$502,$A85,Interactions!$I$3:$I$502,"Yes",Interactions!$A$3:$A$502,"&gt;="&amp;(S_Today-S_WarmDays))&gt;0,3,IF(T85&lt;&gt;"",2,IF(COUNTIFS(Contacts!$A$3:$A$502,$A85,Contacts!$M$3:$M$502,"Yes",Contacts!$K$3:$K$502,"&lt;&gt;Yes",Contacts!$L$3:$L$502,"&lt;&gt;Yes")&gt;0,1,0)))))</f>
        <v/>
      </c>
      <c r="AE85" s="32" t="str">
        <f aca="false">IF($A85="","",IF(Z85="Yes","Do not contact",IF(AC85="","Research",IF(AND(AC85&gt;=S_FitHigh,AD85&gt;=S_AccessHigh),"Priority",IF(AC85&gt;=S_FitHigh,"Build a Path",IF(AD85&gt;=S_AccessHigh,"Quick Win","Low Priority"))))))</f>
        <v/>
      </c>
      <c r="AF85" s="33" t="str">
        <f aca="false">IF($A85="","",IF(_xlfn.MAXIFS(Interactions!$A$3:$A$502,Interactions!$B$3:$B$502,$A85)=0,"",_xlfn.MAXIFS(Interactions!$A$3:$A$502,Interactions!$B$3:$B$502,$A85)))</f>
        <v/>
      </c>
      <c r="AG85" s="32" t="str">
        <f aca="false">IF($A85="","",COUNTIFS(Opportunities!$A$3:$A$502,$A85,Opportunities!$X$3:$X$502,"Yes"))</f>
        <v/>
      </c>
      <c r="AH85" s="32" t="str">
        <f aca="false">IF($A85="","",_xlfn.TEXTJOIN(", ",TRUE(),IF(COUNTIF($A$3:$A$502,$A85)&gt;1,"Duplicate name",""),IF(OR(AND(G85=2,I85=""),AND(J85=2,L85=""),AND(M85=2,O85=""),AND(P85=2,R85="")),"Source missing for a 2",""),IF(F85="","No owner",IF(COUNTIFS(R_TeamName,F85,R_TeamActive,"No")&gt;0,"Needs new owner","")),IF(AND(V85="Yes",X85&lt;&gt;"",X85&lt;S_SemStart),"Path overdue",""),IF(AND(S85&lt;&gt;"",S85&lt;S_Today-365),"Stale research",""),IF(AND(AE85="Research",COUNTIF('Commercial Evidence'!$A$3:$A$502,$A85)=0),"Add commercial evidence","")))</f>
        <v/>
      </c>
      <c r="AI85" s="34" t="str">
        <f aca="false">IF(OR($A85="",Z85="Yes"),"",IF(AND(AE85="Priority",AG85=0,COUNTIFS(Opportunities!$A$3:$A$502,$A85,Opportunities!$Y$3:$Y$502,"Renewal due")=0),600000+(10-AC85)*1000+(4-AD85)*100+ROW()/100000,IF(V85="Yes",700000+IF(X85="",0,X85-40000)/10+ROW()/100000,IF(AND(AE85="Quick Win",U85&lt;&gt;"",AG85=0),800000+(10-AC85)*1000+ROW()/100000,IF(AND(AE85="Build a Path",COUNTIF($V$3:$V$502,"Yes")&lt;S_PathCap),900000+(10-AC85)*1000+(4-AD85)*100+ROW()/100000,"")))))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8"/>
      <c r="T86" s="27"/>
      <c r="U86" s="27"/>
      <c r="V86" s="27"/>
      <c r="W86" s="27"/>
      <c r="X86" s="28"/>
      <c r="Y86" s="27"/>
      <c r="Z86" s="27"/>
      <c r="AA86" s="27"/>
      <c r="AB86" s="32" t="str">
        <f aca="false">IF($A86="","",IF(COUNTIF('Commercial Evidence'!$A$3:$A$502,$A86)=0,"",IF(COUNTIFS('Commercial Evidence'!$A$3:$A$502,$A86,'Commercial Evidence'!$B$3:$B$502,"Previous CBS Talks spend")+COUNTIFS('Commercial Evidence'!$A$3:$A$502,$A86,'Commercial Evidence'!$B$3:$B$502,"Sponsors student organisations")&gt;0,2,IF(COUNTIFS('Commercial Evidence'!$A$3:$A$502,$A86,'Commercial Evidence'!$B$3:$B$502,"Sponsors university activities")+COUNTIFS('Commercial Evidence'!$A$3:$A$502,$A86,'Commercial Evidence'!$B$3:$B$502,"Sponsors similar events")+COUNTIFS('Commercial Evidence'!$A$3:$A$502,$A86,'Commercial Evidence'!$B$3:$B$502,"Previous CBS Talks partner")&gt;0,1,0))))</f>
        <v/>
      </c>
      <c r="AC86" s="32" t="str">
        <f aca="false">IF($A86="","",IF(COUNT(G86,J86,M86,P86,AB86)&lt;5,"",G86+J86+M86+P86+AB86))</f>
        <v/>
      </c>
      <c r="AD86" s="32" t="str">
        <f aca="false">IF($A86="","",IF(COUNTIFS(Contacts!$A$3:$A$502,$A86,Contacts!$E$3:$E$502,"Champion",Contacts!$K$3:$K$502,"&lt;&gt;Yes",Contacts!$L$3:$L$502,"&lt;&gt;Yes")+COUNTIFS(Opportunities!$A$3:$A$502,$A86,Opportunities!$C$3:$C$502,"Won",Opportunities!$Q$3:$Q$502,"Satisfied")&gt;0,4,IF(COUNTIFS(Interactions!$B$3:$B$502,$A86,Interactions!$I$3:$I$502,"Yes",Interactions!$A$3:$A$502,"&gt;="&amp;(S_Today-S_WarmDays))&gt;0,3,IF(T86&lt;&gt;"",2,IF(COUNTIFS(Contacts!$A$3:$A$502,$A86,Contacts!$M$3:$M$502,"Yes",Contacts!$K$3:$K$502,"&lt;&gt;Yes",Contacts!$L$3:$L$502,"&lt;&gt;Yes")&gt;0,1,0)))))</f>
        <v/>
      </c>
      <c r="AE86" s="32" t="str">
        <f aca="false">IF($A86="","",IF(Z86="Yes","Do not contact",IF(AC86="","Research",IF(AND(AC86&gt;=S_FitHigh,AD86&gt;=S_AccessHigh),"Priority",IF(AC86&gt;=S_FitHigh,"Build a Path",IF(AD86&gt;=S_AccessHigh,"Quick Win","Low Priority"))))))</f>
        <v/>
      </c>
      <c r="AF86" s="33" t="str">
        <f aca="false">IF($A86="","",IF(_xlfn.MAXIFS(Interactions!$A$3:$A$502,Interactions!$B$3:$B$502,$A86)=0,"",_xlfn.MAXIFS(Interactions!$A$3:$A$502,Interactions!$B$3:$B$502,$A86)))</f>
        <v/>
      </c>
      <c r="AG86" s="32" t="str">
        <f aca="false">IF($A86="","",COUNTIFS(Opportunities!$A$3:$A$502,$A86,Opportunities!$X$3:$X$502,"Yes"))</f>
        <v/>
      </c>
      <c r="AH86" s="32" t="str">
        <f aca="false">IF($A86="","",_xlfn.TEXTJOIN(", ",TRUE(),IF(COUNTIF($A$3:$A$502,$A86)&gt;1,"Duplicate name",""),IF(OR(AND(G86=2,I86=""),AND(J86=2,L86=""),AND(M86=2,O86=""),AND(P86=2,R86="")),"Source missing for a 2",""),IF(F86="","No owner",IF(COUNTIFS(R_TeamName,F86,R_TeamActive,"No")&gt;0,"Needs new owner","")),IF(AND(V86="Yes",X86&lt;&gt;"",X86&lt;S_SemStart),"Path overdue",""),IF(AND(S86&lt;&gt;"",S86&lt;S_Today-365),"Stale research",""),IF(AND(AE86="Research",COUNTIF('Commercial Evidence'!$A$3:$A$502,$A86)=0),"Add commercial evidence","")))</f>
        <v/>
      </c>
      <c r="AI86" s="34" t="str">
        <f aca="false">IF(OR($A86="",Z86="Yes"),"",IF(AND(AE86="Priority",AG86=0,COUNTIFS(Opportunities!$A$3:$A$502,$A86,Opportunities!$Y$3:$Y$502,"Renewal due")=0),600000+(10-AC86)*1000+(4-AD86)*100+ROW()/100000,IF(V86="Yes",700000+IF(X86="",0,X86-40000)/10+ROW()/100000,IF(AND(AE86="Quick Win",U86&lt;&gt;"",AG86=0),800000+(10-AC86)*1000+ROW()/100000,IF(AND(AE86="Build a Path",COUNTIF($V$3:$V$502,"Yes")&lt;S_PathCap),900000+(10-AC86)*1000+(4-AD86)*100+ROW()/100000,"")))))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8"/>
      <c r="T87" s="27"/>
      <c r="U87" s="27"/>
      <c r="V87" s="27"/>
      <c r="W87" s="27"/>
      <c r="X87" s="28"/>
      <c r="Y87" s="27"/>
      <c r="Z87" s="27"/>
      <c r="AA87" s="27"/>
      <c r="AB87" s="32" t="str">
        <f aca="false">IF($A87="","",IF(COUNTIF('Commercial Evidence'!$A$3:$A$502,$A87)=0,"",IF(COUNTIFS('Commercial Evidence'!$A$3:$A$502,$A87,'Commercial Evidence'!$B$3:$B$502,"Previous CBS Talks spend")+COUNTIFS('Commercial Evidence'!$A$3:$A$502,$A87,'Commercial Evidence'!$B$3:$B$502,"Sponsors student organisations")&gt;0,2,IF(COUNTIFS('Commercial Evidence'!$A$3:$A$502,$A87,'Commercial Evidence'!$B$3:$B$502,"Sponsors university activities")+COUNTIFS('Commercial Evidence'!$A$3:$A$502,$A87,'Commercial Evidence'!$B$3:$B$502,"Sponsors similar events")+COUNTIFS('Commercial Evidence'!$A$3:$A$502,$A87,'Commercial Evidence'!$B$3:$B$502,"Previous CBS Talks partner")&gt;0,1,0))))</f>
        <v/>
      </c>
      <c r="AC87" s="32" t="str">
        <f aca="false">IF($A87="","",IF(COUNT(G87,J87,M87,P87,AB87)&lt;5,"",G87+J87+M87+P87+AB87))</f>
        <v/>
      </c>
      <c r="AD87" s="32" t="str">
        <f aca="false">IF($A87="","",IF(COUNTIFS(Contacts!$A$3:$A$502,$A87,Contacts!$E$3:$E$502,"Champion",Contacts!$K$3:$K$502,"&lt;&gt;Yes",Contacts!$L$3:$L$502,"&lt;&gt;Yes")+COUNTIFS(Opportunities!$A$3:$A$502,$A87,Opportunities!$C$3:$C$502,"Won",Opportunities!$Q$3:$Q$502,"Satisfied")&gt;0,4,IF(COUNTIFS(Interactions!$B$3:$B$502,$A87,Interactions!$I$3:$I$502,"Yes",Interactions!$A$3:$A$502,"&gt;="&amp;(S_Today-S_WarmDays))&gt;0,3,IF(T87&lt;&gt;"",2,IF(COUNTIFS(Contacts!$A$3:$A$502,$A87,Contacts!$M$3:$M$502,"Yes",Contacts!$K$3:$K$502,"&lt;&gt;Yes",Contacts!$L$3:$L$502,"&lt;&gt;Yes")&gt;0,1,0)))))</f>
        <v/>
      </c>
      <c r="AE87" s="32" t="str">
        <f aca="false">IF($A87="","",IF(Z87="Yes","Do not contact",IF(AC87="","Research",IF(AND(AC87&gt;=S_FitHigh,AD87&gt;=S_AccessHigh),"Priority",IF(AC87&gt;=S_FitHigh,"Build a Path",IF(AD87&gt;=S_AccessHigh,"Quick Win","Low Priority"))))))</f>
        <v/>
      </c>
      <c r="AF87" s="33" t="str">
        <f aca="false">IF($A87="","",IF(_xlfn.MAXIFS(Interactions!$A$3:$A$502,Interactions!$B$3:$B$502,$A87)=0,"",_xlfn.MAXIFS(Interactions!$A$3:$A$502,Interactions!$B$3:$B$502,$A87)))</f>
        <v/>
      </c>
      <c r="AG87" s="32" t="str">
        <f aca="false">IF($A87="","",COUNTIFS(Opportunities!$A$3:$A$502,$A87,Opportunities!$X$3:$X$502,"Yes"))</f>
        <v/>
      </c>
      <c r="AH87" s="32" t="str">
        <f aca="false">IF($A87="","",_xlfn.TEXTJOIN(", ",TRUE(),IF(COUNTIF($A$3:$A$502,$A87)&gt;1,"Duplicate name",""),IF(OR(AND(G87=2,I87=""),AND(J87=2,L87=""),AND(M87=2,O87=""),AND(P87=2,R87="")),"Source missing for a 2",""),IF(F87="","No owner",IF(COUNTIFS(R_TeamName,F87,R_TeamActive,"No")&gt;0,"Needs new owner","")),IF(AND(V87="Yes",X87&lt;&gt;"",X87&lt;S_SemStart),"Path overdue",""),IF(AND(S87&lt;&gt;"",S87&lt;S_Today-365),"Stale research",""),IF(AND(AE87="Research",COUNTIF('Commercial Evidence'!$A$3:$A$502,$A87)=0),"Add commercial evidence","")))</f>
        <v/>
      </c>
      <c r="AI87" s="34" t="str">
        <f aca="false">IF(OR($A87="",Z87="Yes"),"",IF(AND(AE87="Priority",AG87=0,COUNTIFS(Opportunities!$A$3:$A$502,$A87,Opportunities!$Y$3:$Y$502,"Renewal due")=0),600000+(10-AC87)*1000+(4-AD87)*100+ROW()/100000,IF(V87="Yes",700000+IF(X87="",0,X87-40000)/10+ROW()/100000,IF(AND(AE87="Quick Win",U87&lt;&gt;"",AG87=0),800000+(10-AC87)*1000+ROW()/100000,IF(AND(AE87="Build a Path",COUNTIF($V$3:$V$502,"Yes")&lt;S_PathCap),900000+(10-AC87)*1000+(4-AD87)*100+ROW()/100000,"")))))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8"/>
      <c r="T88" s="27"/>
      <c r="U88" s="27"/>
      <c r="V88" s="27"/>
      <c r="W88" s="27"/>
      <c r="X88" s="28"/>
      <c r="Y88" s="27"/>
      <c r="Z88" s="27"/>
      <c r="AA88" s="27"/>
      <c r="AB88" s="32" t="str">
        <f aca="false">IF($A88="","",IF(COUNTIF('Commercial Evidence'!$A$3:$A$502,$A88)=0,"",IF(COUNTIFS('Commercial Evidence'!$A$3:$A$502,$A88,'Commercial Evidence'!$B$3:$B$502,"Previous CBS Talks spend")+COUNTIFS('Commercial Evidence'!$A$3:$A$502,$A88,'Commercial Evidence'!$B$3:$B$502,"Sponsors student organisations")&gt;0,2,IF(COUNTIFS('Commercial Evidence'!$A$3:$A$502,$A88,'Commercial Evidence'!$B$3:$B$502,"Sponsors university activities")+COUNTIFS('Commercial Evidence'!$A$3:$A$502,$A88,'Commercial Evidence'!$B$3:$B$502,"Sponsors similar events")+COUNTIFS('Commercial Evidence'!$A$3:$A$502,$A88,'Commercial Evidence'!$B$3:$B$502,"Previous CBS Talks partner")&gt;0,1,0))))</f>
        <v/>
      </c>
      <c r="AC88" s="32" t="str">
        <f aca="false">IF($A88="","",IF(COUNT(G88,J88,M88,P88,AB88)&lt;5,"",G88+J88+M88+P88+AB88))</f>
        <v/>
      </c>
      <c r="AD88" s="32" t="str">
        <f aca="false">IF($A88="","",IF(COUNTIFS(Contacts!$A$3:$A$502,$A88,Contacts!$E$3:$E$502,"Champion",Contacts!$K$3:$K$502,"&lt;&gt;Yes",Contacts!$L$3:$L$502,"&lt;&gt;Yes")+COUNTIFS(Opportunities!$A$3:$A$502,$A88,Opportunities!$C$3:$C$502,"Won",Opportunities!$Q$3:$Q$502,"Satisfied")&gt;0,4,IF(COUNTIFS(Interactions!$B$3:$B$502,$A88,Interactions!$I$3:$I$502,"Yes",Interactions!$A$3:$A$502,"&gt;="&amp;(S_Today-S_WarmDays))&gt;0,3,IF(T88&lt;&gt;"",2,IF(COUNTIFS(Contacts!$A$3:$A$502,$A88,Contacts!$M$3:$M$502,"Yes",Contacts!$K$3:$K$502,"&lt;&gt;Yes",Contacts!$L$3:$L$502,"&lt;&gt;Yes")&gt;0,1,0)))))</f>
        <v/>
      </c>
      <c r="AE88" s="32" t="str">
        <f aca="false">IF($A88="","",IF(Z88="Yes","Do not contact",IF(AC88="","Research",IF(AND(AC88&gt;=S_FitHigh,AD88&gt;=S_AccessHigh),"Priority",IF(AC88&gt;=S_FitHigh,"Build a Path",IF(AD88&gt;=S_AccessHigh,"Quick Win","Low Priority"))))))</f>
        <v/>
      </c>
      <c r="AF88" s="33" t="str">
        <f aca="false">IF($A88="","",IF(_xlfn.MAXIFS(Interactions!$A$3:$A$502,Interactions!$B$3:$B$502,$A88)=0,"",_xlfn.MAXIFS(Interactions!$A$3:$A$502,Interactions!$B$3:$B$502,$A88)))</f>
        <v/>
      </c>
      <c r="AG88" s="32" t="str">
        <f aca="false">IF($A88="","",COUNTIFS(Opportunities!$A$3:$A$502,$A88,Opportunities!$X$3:$X$502,"Yes"))</f>
        <v/>
      </c>
      <c r="AH88" s="32" t="str">
        <f aca="false">IF($A88="","",_xlfn.TEXTJOIN(", ",TRUE(),IF(COUNTIF($A$3:$A$502,$A88)&gt;1,"Duplicate name",""),IF(OR(AND(G88=2,I88=""),AND(J88=2,L88=""),AND(M88=2,O88=""),AND(P88=2,R88="")),"Source missing for a 2",""),IF(F88="","No owner",IF(COUNTIFS(R_TeamName,F88,R_TeamActive,"No")&gt;0,"Needs new owner","")),IF(AND(V88="Yes",X88&lt;&gt;"",X88&lt;S_SemStart),"Path overdue",""),IF(AND(S88&lt;&gt;"",S88&lt;S_Today-365),"Stale research",""),IF(AND(AE88="Research",COUNTIF('Commercial Evidence'!$A$3:$A$502,$A88)=0),"Add commercial evidence","")))</f>
        <v/>
      </c>
      <c r="AI88" s="34" t="str">
        <f aca="false">IF(OR($A88="",Z88="Yes"),"",IF(AND(AE88="Priority",AG88=0,COUNTIFS(Opportunities!$A$3:$A$502,$A88,Opportunities!$Y$3:$Y$502,"Renewal due")=0),600000+(10-AC88)*1000+(4-AD88)*100+ROW()/100000,IF(V88="Yes",700000+IF(X88="",0,X88-40000)/10+ROW()/100000,IF(AND(AE88="Quick Win",U88&lt;&gt;"",AG88=0),800000+(10-AC88)*1000+ROW()/100000,IF(AND(AE88="Build a Path",COUNTIF($V$3:$V$502,"Yes")&lt;S_PathCap),900000+(10-AC88)*1000+(4-AD88)*100+ROW()/100000,"")))))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8"/>
      <c r="T89" s="27"/>
      <c r="U89" s="27"/>
      <c r="V89" s="27"/>
      <c r="W89" s="27"/>
      <c r="X89" s="28"/>
      <c r="Y89" s="27"/>
      <c r="Z89" s="27"/>
      <c r="AA89" s="27"/>
      <c r="AB89" s="32" t="str">
        <f aca="false">IF($A89="","",IF(COUNTIF('Commercial Evidence'!$A$3:$A$502,$A89)=0,"",IF(COUNTIFS('Commercial Evidence'!$A$3:$A$502,$A89,'Commercial Evidence'!$B$3:$B$502,"Previous CBS Talks spend")+COUNTIFS('Commercial Evidence'!$A$3:$A$502,$A89,'Commercial Evidence'!$B$3:$B$502,"Sponsors student organisations")&gt;0,2,IF(COUNTIFS('Commercial Evidence'!$A$3:$A$502,$A89,'Commercial Evidence'!$B$3:$B$502,"Sponsors university activities")+COUNTIFS('Commercial Evidence'!$A$3:$A$502,$A89,'Commercial Evidence'!$B$3:$B$502,"Sponsors similar events")+COUNTIFS('Commercial Evidence'!$A$3:$A$502,$A89,'Commercial Evidence'!$B$3:$B$502,"Previous CBS Talks partner")&gt;0,1,0))))</f>
        <v/>
      </c>
      <c r="AC89" s="32" t="str">
        <f aca="false">IF($A89="","",IF(COUNT(G89,J89,M89,P89,AB89)&lt;5,"",G89+J89+M89+P89+AB89))</f>
        <v/>
      </c>
      <c r="AD89" s="32" t="str">
        <f aca="false">IF($A89="","",IF(COUNTIFS(Contacts!$A$3:$A$502,$A89,Contacts!$E$3:$E$502,"Champion",Contacts!$K$3:$K$502,"&lt;&gt;Yes",Contacts!$L$3:$L$502,"&lt;&gt;Yes")+COUNTIFS(Opportunities!$A$3:$A$502,$A89,Opportunities!$C$3:$C$502,"Won",Opportunities!$Q$3:$Q$502,"Satisfied")&gt;0,4,IF(COUNTIFS(Interactions!$B$3:$B$502,$A89,Interactions!$I$3:$I$502,"Yes",Interactions!$A$3:$A$502,"&gt;="&amp;(S_Today-S_WarmDays))&gt;0,3,IF(T89&lt;&gt;"",2,IF(COUNTIFS(Contacts!$A$3:$A$502,$A89,Contacts!$M$3:$M$502,"Yes",Contacts!$K$3:$K$502,"&lt;&gt;Yes",Contacts!$L$3:$L$502,"&lt;&gt;Yes")&gt;0,1,0)))))</f>
        <v/>
      </c>
      <c r="AE89" s="32" t="str">
        <f aca="false">IF($A89="","",IF(Z89="Yes","Do not contact",IF(AC89="","Research",IF(AND(AC89&gt;=S_FitHigh,AD89&gt;=S_AccessHigh),"Priority",IF(AC89&gt;=S_FitHigh,"Build a Path",IF(AD89&gt;=S_AccessHigh,"Quick Win","Low Priority"))))))</f>
        <v/>
      </c>
      <c r="AF89" s="33" t="str">
        <f aca="false">IF($A89="","",IF(_xlfn.MAXIFS(Interactions!$A$3:$A$502,Interactions!$B$3:$B$502,$A89)=0,"",_xlfn.MAXIFS(Interactions!$A$3:$A$502,Interactions!$B$3:$B$502,$A89)))</f>
        <v/>
      </c>
      <c r="AG89" s="32" t="str">
        <f aca="false">IF($A89="","",COUNTIFS(Opportunities!$A$3:$A$502,$A89,Opportunities!$X$3:$X$502,"Yes"))</f>
        <v/>
      </c>
      <c r="AH89" s="32" t="str">
        <f aca="false">IF($A89="","",_xlfn.TEXTJOIN(", ",TRUE(),IF(COUNTIF($A$3:$A$502,$A89)&gt;1,"Duplicate name",""),IF(OR(AND(G89=2,I89=""),AND(J89=2,L89=""),AND(M89=2,O89=""),AND(P89=2,R89="")),"Source missing for a 2",""),IF(F89="","No owner",IF(COUNTIFS(R_TeamName,F89,R_TeamActive,"No")&gt;0,"Needs new owner","")),IF(AND(V89="Yes",X89&lt;&gt;"",X89&lt;S_SemStart),"Path overdue",""),IF(AND(S89&lt;&gt;"",S89&lt;S_Today-365),"Stale research",""),IF(AND(AE89="Research",COUNTIF('Commercial Evidence'!$A$3:$A$502,$A89)=0),"Add commercial evidence","")))</f>
        <v/>
      </c>
      <c r="AI89" s="34" t="str">
        <f aca="false">IF(OR($A89="",Z89="Yes"),"",IF(AND(AE89="Priority",AG89=0,COUNTIFS(Opportunities!$A$3:$A$502,$A89,Opportunities!$Y$3:$Y$502,"Renewal due")=0),600000+(10-AC89)*1000+(4-AD89)*100+ROW()/100000,IF(V89="Yes",700000+IF(X89="",0,X89-40000)/10+ROW()/100000,IF(AND(AE89="Quick Win",U89&lt;&gt;"",AG89=0),800000+(10-AC89)*1000+ROW()/100000,IF(AND(AE89="Build a Path",COUNTIF($V$3:$V$502,"Yes")&lt;S_PathCap),900000+(10-AC89)*1000+(4-AD89)*100+ROW()/100000,"")))))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8"/>
      <c r="T90" s="27"/>
      <c r="U90" s="27"/>
      <c r="V90" s="27"/>
      <c r="W90" s="27"/>
      <c r="X90" s="28"/>
      <c r="Y90" s="27"/>
      <c r="Z90" s="27"/>
      <c r="AA90" s="27"/>
      <c r="AB90" s="32" t="str">
        <f aca="false">IF($A90="","",IF(COUNTIF('Commercial Evidence'!$A$3:$A$502,$A90)=0,"",IF(COUNTIFS('Commercial Evidence'!$A$3:$A$502,$A90,'Commercial Evidence'!$B$3:$B$502,"Previous CBS Talks spend")+COUNTIFS('Commercial Evidence'!$A$3:$A$502,$A90,'Commercial Evidence'!$B$3:$B$502,"Sponsors student organisations")&gt;0,2,IF(COUNTIFS('Commercial Evidence'!$A$3:$A$502,$A90,'Commercial Evidence'!$B$3:$B$502,"Sponsors university activities")+COUNTIFS('Commercial Evidence'!$A$3:$A$502,$A90,'Commercial Evidence'!$B$3:$B$502,"Sponsors similar events")+COUNTIFS('Commercial Evidence'!$A$3:$A$502,$A90,'Commercial Evidence'!$B$3:$B$502,"Previous CBS Talks partner")&gt;0,1,0))))</f>
        <v/>
      </c>
      <c r="AC90" s="32" t="str">
        <f aca="false">IF($A90="","",IF(COUNT(G90,J90,M90,P90,AB90)&lt;5,"",G90+J90+M90+P90+AB90))</f>
        <v/>
      </c>
      <c r="AD90" s="32" t="str">
        <f aca="false">IF($A90="","",IF(COUNTIFS(Contacts!$A$3:$A$502,$A90,Contacts!$E$3:$E$502,"Champion",Contacts!$K$3:$K$502,"&lt;&gt;Yes",Contacts!$L$3:$L$502,"&lt;&gt;Yes")+COUNTIFS(Opportunities!$A$3:$A$502,$A90,Opportunities!$C$3:$C$502,"Won",Opportunities!$Q$3:$Q$502,"Satisfied")&gt;0,4,IF(COUNTIFS(Interactions!$B$3:$B$502,$A90,Interactions!$I$3:$I$502,"Yes",Interactions!$A$3:$A$502,"&gt;="&amp;(S_Today-S_WarmDays))&gt;0,3,IF(T90&lt;&gt;"",2,IF(COUNTIFS(Contacts!$A$3:$A$502,$A90,Contacts!$M$3:$M$502,"Yes",Contacts!$K$3:$K$502,"&lt;&gt;Yes",Contacts!$L$3:$L$502,"&lt;&gt;Yes")&gt;0,1,0)))))</f>
        <v/>
      </c>
      <c r="AE90" s="32" t="str">
        <f aca="false">IF($A90="","",IF(Z90="Yes","Do not contact",IF(AC90="","Research",IF(AND(AC90&gt;=S_FitHigh,AD90&gt;=S_AccessHigh),"Priority",IF(AC90&gt;=S_FitHigh,"Build a Path",IF(AD90&gt;=S_AccessHigh,"Quick Win","Low Priority"))))))</f>
        <v/>
      </c>
      <c r="AF90" s="33" t="str">
        <f aca="false">IF($A90="","",IF(_xlfn.MAXIFS(Interactions!$A$3:$A$502,Interactions!$B$3:$B$502,$A90)=0,"",_xlfn.MAXIFS(Interactions!$A$3:$A$502,Interactions!$B$3:$B$502,$A90)))</f>
        <v/>
      </c>
      <c r="AG90" s="32" t="str">
        <f aca="false">IF($A90="","",COUNTIFS(Opportunities!$A$3:$A$502,$A90,Opportunities!$X$3:$X$502,"Yes"))</f>
        <v/>
      </c>
      <c r="AH90" s="32" t="str">
        <f aca="false">IF($A90="","",_xlfn.TEXTJOIN(", ",TRUE(),IF(COUNTIF($A$3:$A$502,$A90)&gt;1,"Duplicate name",""),IF(OR(AND(G90=2,I90=""),AND(J90=2,L90=""),AND(M90=2,O90=""),AND(P90=2,R90="")),"Source missing for a 2",""),IF(F90="","No owner",IF(COUNTIFS(R_TeamName,F90,R_TeamActive,"No")&gt;0,"Needs new owner","")),IF(AND(V90="Yes",X90&lt;&gt;"",X90&lt;S_SemStart),"Path overdue",""),IF(AND(S90&lt;&gt;"",S90&lt;S_Today-365),"Stale research",""),IF(AND(AE90="Research",COUNTIF('Commercial Evidence'!$A$3:$A$502,$A90)=0),"Add commercial evidence","")))</f>
        <v/>
      </c>
      <c r="AI90" s="34" t="str">
        <f aca="false">IF(OR($A90="",Z90="Yes"),"",IF(AND(AE90="Priority",AG90=0,COUNTIFS(Opportunities!$A$3:$A$502,$A90,Opportunities!$Y$3:$Y$502,"Renewal due")=0),600000+(10-AC90)*1000+(4-AD90)*100+ROW()/100000,IF(V90="Yes",700000+IF(X90="",0,X90-40000)/10+ROW()/100000,IF(AND(AE90="Quick Win",U90&lt;&gt;"",AG90=0),800000+(10-AC90)*1000+ROW()/100000,IF(AND(AE90="Build a Path",COUNTIF($V$3:$V$502,"Yes")&lt;S_PathCap),900000+(10-AC90)*1000+(4-AD90)*100+ROW()/100000,"")))))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8"/>
      <c r="T91" s="27"/>
      <c r="U91" s="27"/>
      <c r="V91" s="27"/>
      <c r="W91" s="27"/>
      <c r="X91" s="28"/>
      <c r="Y91" s="27"/>
      <c r="Z91" s="27"/>
      <c r="AA91" s="27"/>
      <c r="AB91" s="32" t="str">
        <f aca="false">IF($A91="","",IF(COUNTIF('Commercial Evidence'!$A$3:$A$502,$A91)=0,"",IF(COUNTIFS('Commercial Evidence'!$A$3:$A$502,$A91,'Commercial Evidence'!$B$3:$B$502,"Previous CBS Talks spend")+COUNTIFS('Commercial Evidence'!$A$3:$A$502,$A91,'Commercial Evidence'!$B$3:$B$502,"Sponsors student organisations")&gt;0,2,IF(COUNTIFS('Commercial Evidence'!$A$3:$A$502,$A91,'Commercial Evidence'!$B$3:$B$502,"Sponsors university activities")+COUNTIFS('Commercial Evidence'!$A$3:$A$502,$A91,'Commercial Evidence'!$B$3:$B$502,"Sponsors similar events")+COUNTIFS('Commercial Evidence'!$A$3:$A$502,$A91,'Commercial Evidence'!$B$3:$B$502,"Previous CBS Talks partner")&gt;0,1,0))))</f>
        <v/>
      </c>
      <c r="AC91" s="32" t="str">
        <f aca="false">IF($A91="","",IF(COUNT(G91,J91,M91,P91,AB91)&lt;5,"",G91+J91+M91+P91+AB91))</f>
        <v/>
      </c>
      <c r="AD91" s="32" t="str">
        <f aca="false">IF($A91="","",IF(COUNTIFS(Contacts!$A$3:$A$502,$A91,Contacts!$E$3:$E$502,"Champion",Contacts!$K$3:$K$502,"&lt;&gt;Yes",Contacts!$L$3:$L$502,"&lt;&gt;Yes")+COUNTIFS(Opportunities!$A$3:$A$502,$A91,Opportunities!$C$3:$C$502,"Won",Opportunities!$Q$3:$Q$502,"Satisfied")&gt;0,4,IF(COUNTIFS(Interactions!$B$3:$B$502,$A91,Interactions!$I$3:$I$502,"Yes",Interactions!$A$3:$A$502,"&gt;="&amp;(S_Today-S_WarmDays))&gt;0,3,IF(T91&lt;&gt;"",2,IF(COUNTIFS(Contacts!$A$3:$A$502,$A91,Contacts!$M$3:$M$502,"Yes",Contacts!$K$3:$K$502,"&lt;&gt;Yes",Contacts!$L$3:$L$502,"&lt;&gt;Yes")&gt;0,1,0)))))</f>
        <v/>
      </c>
      <c r="AE91" s="32" t="str">
        <f aca="false">IF($A91="","",IF(Z91="Yes","Do not contact",IF(AC91="","Research",IF(AND(AC91&gt;=S_FitHigh,AD91&gt;=S_AccessHigh),"Priority",IF(AC91&gt;=S_FitHigh,"Build a Path",IF(AD91&gt;=S_AccessHigh,"Quick Win","Low Priority"))))))</f>
        <v/>
      </c>
      <c r="AF91" s="33" t="str">
        <f aca="false">IF($A91="","",IF(_xlfn.MAXIFS(Interactions!$A$3:$A$502,Interactions!$B$3:$B$502,$A91)=0,"",_xlfn.MAXIFS(Interactions!$A$3:$A$502,Interactions!$B$3:$B$502,$A91)))</f>
        <v/>
      </c>
      <c r="AG91" s="32" t="str">
        <f aca="false">IF($A91="","",COUNTIFS(Opportunities!$A$3:$A$502,$A91,Opportunities!$X$3:$X$502,"Yes"))</f>
        <v/>
      </c>
      <c r="AH91" s="32" t="str">
        <f aca="false">IF($A91="","",_xlfn.TEXTJOIN(", ",TRUE(),IF(COUNTIF($A$3:$A$502,$A91)&gt;1,"Duplicate name",""),IF(OR(AND(G91=2,I91=""),AND(J91=2,L91=""),AND(M91=2,O91=""),AND(P91=2,R91="")),"Source missing for a 2",""),IF(F91="","No owner",IF(COUNTIFS(R_TeamName,F91,R_TeamActive,"No")&gt;0,"Needs new owner","")),IF(AND(V91="Yes",X91&lt;&gt;"",X91&lt;S_SemStart),"Path overdue",""),IF(AND(S91&lt;&gt;"",S91&lt;S_Today-365),"Stale research",""),IF(AND(AE91="Research",COUNTIF('Commercial Evidence'!$A$3:$A$502,$A91)=0),"Add commercial evidence","")))</f>
        <v/>
      </c>
      <c r="AI91" s="34" t="str">
        <f aca="false">IF(OR($A91="",Z91="Yes"),"",IF(AND(AE91="Priority",AG91=0,COUNTIFS(Opportunities!$A$3:$A$502,$A91,Opportunities!$Y$3:$Y$502,"Renewal due")=0),600000+(10-AC91)*1000+(4-AD91)*100+ROW()/100000,IF(V91="Yes",700000+IF(X91="",0,X91-40000)/10+ROW()/100000,IF(AND(AE91="Quick Win",U91&lt;&gt;"",AG91=0),800000+(10-AC91)*1000+ROW()/100000,IF(AND(AE91="Build a Path",COUNTIF($V$3:$V$502,"Yes")&lt;S_PathCap),900000+(10-AC91)*1000+(4-AD91)*100+ROW()/100000,"")))))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8"/>
      <c r="T92" s="27"/>
      <c r="U92" s="27"/>
      <c r="V92" s="27"/>
      <c r="W92" s="27"/>
      <c r="X92" s="28"/>
      <c r="Y92" s="27"/>
      <c r="Z92" s="27"/>
      <c r="AA92" s="27"/>
      <c r="AB92" s="32" t="str">
        <f aca="false">IF($A92="","",IF(COUNTIF('Commercial Evidence'!$A$3:$A$502,$A92)=0,"",IF(COUNTIFS('Commercial Evidence'!$A$3:$A$502,$A92,'Commercial Evidence'!$B$3:$B$502,"Previous CBS Talks spend")+COUNTIFS('Commercial Evidence'!$A$3:$A$502,$A92,'Commercial Evidence'!$B$3:$B$502,"Sponsors student organisations")&gt;0,2,IF(COUNTIFS('Commercial Evidence'!$A$3:$A$502,$A92,'Commercial Evidence'!$B$3:$B$502,"Sponsors university activities")+COUNTIFS('Commercial Evidence'!$A$3:$A$502,$A92,'Commercial Evidence'!$B$3:$B$502,"Sponsors similar events")+COUNTIFS('Commercial Evidence'!$A$3:$A$502,$A92,'Commercial Evidence'!$B$3:$B$502,"Previous CBS Talks partner")&gt;0,1,0))))</f>
        <v/>
      </c>
      <c r="AC92" s="32" t="str">
        <f aca="false">IF($A92="","",IF(COUNT(G92,J92,M92,P92,AB92)&lt;5,"",G92+J92+M92+P92+AB92))</f>
        <v/>
      </c>
      <c r="AD92" s="32" t="str">
        <f aca="false">IF($A92="","",IF(COUNTIFS(Contacts!$A$3:$A$502,$A92,Contacts!$E$3:$E$502,"Champion",Contacts!$K$3:$K$502,"&lt;&gt;Yes",Contacts!$L$3:$L$502,"&lt;&gt;Yes")+COUNTIFS(Opportunities!$A$3:$A$502,$A92,Opportunities!$C$3:$C$502,"Won",Opportunities!$Q$3:$Q$502,"Satisfied")&gt;0,4,IF(COUNTIFS(Interactions!$B$3:$B$502,$A92,Interactions!$I$3:$I$502,"Yes",Interactions!$A$3:$A$502,"&gt;="&amp;(S_Today-S_WarmDays))&gt;0,3,IF(T92&lt;&gt;"",2,IF(COUNTIFS(Contacts!$A$3:$A$502,$A92,Contacts!$M$3:$M$502,"Yes",Contacts!$K$3:$K$502,"&lt;&gt;Yes",Contacts!$L$3:$L$502,"&lt;&gt;Yes")&gt;0,1,0)))))</f>
        <v/>
      </c>
      <c r="AE92" s="32" t="str">
        <f aca="false">IF($A92="","",IF(Z92="Yes","Do not contact",IF(AC92="","Research",IF(AND(AC92&gt;=S_FitHigh,AD92&gt;=S_AccessHigh),"Priority",IF(AC92&gt;=S_FitHigh,"Build a Path",IF(AD92&gt;=S_AccessHigh,"Quick Win","Low Priority"))))))</f>
        <v/>
      </c>
      <c r="AF92" s="33" t="str">
        <f aca="false">IF($A92="","",IF(_xlfn.MAXIFS(Interactions!$A$3:$A$502,Interactions!$B$3:$B$502,$A92)=0,"",_xlfn.MAXIFS(Interactions!$A$3:$A$502,Interactions!$B$3:$B$502,$A92)))</f>
        <v/>
      </c>
      <c r="AG92" s="32" t="str">
        <f aca="false">IF($A92="","",COUNTIFS(Opportunities!$A$3:$A$502,$A92,Opportunities!$X$3:$X$502,"Yes"))</f>
        <v/>
      </c>
      <c r="AH92" s="32" t="str">
        <f aca="false">IF($A92="","",_xlfn.TEXTJOIN(", ",TRUE(),IF(COUNTIF($A$3:$A$502,$A92)&gt;1,"Duplicate name",""),IF(OR(AND(G92=2,I92=""),AND(J92=2,L92=""),AND(M92=2,O92=""),AND(P92=2,R92="")),"Source missing for a 2",""),IF(F92="","No owner",IF(COUNTIFS(R_TeamName,F92,R_TeamActive,"No")&gt;0,"Needs new owner","")),IF(AND(V92="Yes",X92&lt;&gt;"",X92&lt;S_SemStart),"Path overdue",""),IF(AND(S92&lt;&gt;"",S92&lt;S_Today-365),"Stale research",""),IF(AND(AE92="Research",COUNTIF('Commercial Evidence'!$A$3:$A$502,$A92)=0),"Add commercial evidence","")))</f>
        <v/>
      </c>
      <c r="AI92" s="34" t="str">
        <f aca="false">IF(OR($A92="",Z92="Yes"),"",IF(AND(AE92="Priority",AG92=0,COUNTIFS(Opportunities!$A$3:$A$502,$A92,Opportunities!$Y$3:$Y$502,"Renewal due")=0),600000+(10-AC92)*1000+(4-AD92)*100+ROW()/100000,IF(V92="Yes",700000+IF(X92="",0,X92-40000)/10+ROW()/100000,IF(AND(AE92="Quick Win",U92&lt;&gt;"",AG92=0),800000+(10-AC92)*1000+ROW()/100000,IF(AND(AE92="Build a Path",COUNTIF($V$3:$V$502,"Yes")&lt;S_PathCap),900000+(10-AC92)*1000+(4-AD92)*100+ROW()/100000,"")))))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8"/>
      <c r="T93" s="27"/>
      <c r="U93" s="27"/>
      <c r="V93" s="27"/>
      <c r="W93" s="27"/>
      <c r="X93" s="28"/>
      <c r="Y93" s="27"/>
      <c r="Z93" s="27"/>
      <c r="AA93" s="27"/>
      <c r="AB93" s="32" t="str">
        <f aca="false">IF($A93="","",IF(COUNTIF('Commercial Evidence'!$A$3:$A$502,$A93)=0,"",IF(COUNTIFS('Commercial Evidence'!$A$3:$A$502,$A93,'Commercial Evidence'!$B$3:$B$502,"Previous CBS Talks spend")+COUNTIFS('Commercial Evidence'!$A$3:$A$502,$A93,'Commercial Evidence'!$B$3:$B$502,"Sponsors student organisations")&gt;0,2,IF(COUNTIFS('Commercial Evidence'!$A$3:$A$502,$A93,'Commercial Evidence'!$B$3:$B$502,"Sponsors university activities")+COUNTIFS('Commercial Evidence'!$A$3:$A$502,$A93,'Commercial Evidence'!$B$3:$B$502,"Sponsors similar events")+COUNTIFS('Commercial Evidence'!$A$3:$A$502,$A93,'Commercial Evidence'!$B$3:$B$502,"Previous CBS Talks partner")&gt;0,1,0))))</f>
        <v/>
      </c>
      <c r="AC93" s="32" t="str">
        <f aca="false">IF($A93="","",IF(COUNT(G93,J93,M93,P93,AB93)&lt;5,"",G93+J93+M93+P93+AB93))</f>
        <v/>
      </c>
      <c r="AD93" s="32" t="str">
        <f aca="false">IF($A93="","",IF(COUNTIFS(Contacts!$A$3:$A$502,$A93,Contacts!$E$3:$E$502,"Champion",Contacts!$K$3:$K$502,"&lt;&gt;Yes",Contacts!$L$3:$L$502,"&lt;&gt;Yes")+COUNTIFS(Opportunities!$A$3:$A$502,$A93,Opportunities!$C$3:$C$502,"Won",Opportunities!$Q$3:$Q$502,"Satisfied")&gt;0,4,IF(COUNTIFS(Interactions!$B$3:$B$502,$A93,Interactions!$I$3:$I$502,"Yes",Interactions!$A$3:$A$502,"&gt;="&amp;(S_Today-S_WarmDays))&gt;0,3,IF(T93&lt;&gt;"",2,IF(COUNTIFS(Contacts!$A$3:$A$502,$A93,Contacts!$M$3:$M$502,"Yes",Contacts!$K$3:$K$502,"&lt;&gt;Yes",Contacts!$L$3:$L$502,"&lt;&gt;Yes")&gt;0,1,0)))))</f>
        <v/>
      </c>
      <c r="AE93" s="32" t="str">
        <f aca="false">IF($A93="","",IF(Z93="Yes","Do not contact",IF(AC93="","Research",IF(AND(AC93&gt;=S_FitHigh,AD93&gt;=S_AccessHigh),"Priority",IF(AC93&gt;=S_FitHigh,"Build a Path",IF(AD93&gt;=S_AccessHigh,"Quick Win","Low Priority"))))))</f>
        <v/>
      </c>
      <c r="AF93" s="33" t="str">
        <f aca="false">IF($A93="","",IF(_xlfn.MAXIFS(Interactions!$A$3:$A$502,Interactions!$B$3:$B$502,$A93)=0,"",_xlfn.MAXIFS(Interactions!$A$3:$A$502,Interactions!$B$3:$B$502,$A93)))</f>
        <v/>
      </c>
      <c r="AG93" s="32" t="str">
        <f aca="false">IF($A93="","",COUNTIFS(Opportunities!$A$3:$A$502,$A93,Opportunities!$X$3:$X$502,"Yes"))</f>
        <v/>
      </c>
      <c r="AH93" s="32" t="str">
        <f aca="false">IF($A93="","",_xlfn.TEXTJOIN(", ",TRUE(),IF(COUNTIF($A$3:$A$502,$A93)&gt;1,"Duplicate name",""),IF(OR(AND(G93=2,I93=""),AND(J93=2,L93=""),AND(M93=2,O93=""),AND(P93=2,R93="")),"Source missing for a 2",""),IF(F93="","No owner",IF(COUNTIFS(R_TeamName,F93,R_TeamActive,"No")&gt;0,"Needs new owner","")),IF(AND(V93="Yes",X93&lt;&gt;"",X93&lt;S_SemStart),"Path overdue",""),IF(AND(S93&lt;&gt;"",S93&lt;S_Today-365),"Stale research",""),IF(AND(AE93="Research",COUNTIF('Commercial Evidence'!$A$3:$A$502,$A93)=0),"Add commercial evidence","")))</f>
        <v/>
      </c>
      <c r="AI93" s="34" t="str">
        <f aca="false">IF(OR($A93="",Z93="Yes"),"",IF(AND(AE93="Priority",AG93=0,COUNTIFS(Opportunities!$A$3:$A$502,$A93,Opportunities!$Y$3:$Y$502,"Renewal due")=0),600000+(10-AC93)*1000+(4-AD93)*100+ROW()/100000,IF(V93="Yes",700000+IF(X93="",0,X93-40000)/10+ROW()/100000,IF(AND(AE93="Quick Win",U93&lt;&gt;"",AG93=0),800000+(10-AC93)*1000+ROW()/100000,IF(AND(AE93="Build a Path",COUNTIF($V$3:$V$502,"Yes")&lt;S_PathCap),900000+(10-AC93)*1000+(4-AD93)*100+ROW()/100000,"")))))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8"/>
      <c r="T94" s="27"/>
      <c r="U94" s="27"/>
      <c r="V94" s="27"/>
      <c r="W94" s="27"/>
      <c r="X94" s="28"/>
      <c r="Y94" s="27"/>
      <c r="Z94" s="27"/>
      <c r="AA94" s="27"/>
      <c r="AB94" s="32" t="str">
        <f aca="false">IF($A94="","",IF(COUNTIF('Commercial Evidence'!$A$3:$A$502,$A94)=0,"",IF(COUNTIFS('Commercial Evidence'!$A$3:$A$502,$A94,'Commercial Evidence'!$B$3:$B$502,"Previous CBS Talks spend")+COUNTIFS('Commercial Evidence'!$A$3:$A$502,$A94,'Commercial Evidence'!$B$3:$B$502,"Sponsors student organisations")&gt;0,2,IF(COUNTIFS('Commercial Evidence'!$A$3:$A$502,$A94,'Commercial Evidence'!$B$3:$B$502,"Sponsors university activities")+COUNTIFS('Commercial Evidence'!$A$3:$A$502,$A94,'Commercial Evidence'!$B$3:$B$502,"Sponsors similar events")+COUNTIFS('Commercial Evidence'!$A$3:$A$502,$A94,'Commercial Evidence'!$B$3:$B$502,"Previous CBS Talks partner")&gt;0,1,0))))</f>
        <v/>
      </c>
      <c r="AC94" s="32" t="str">
        <f aca="false">IF($A94="","",IF(COUNT(G94,J94,M94,P94,AB94)&lt;5,"",G94+J94+M94+P94+AB94))</f>
        <v/>
      </c>
      <c r="AD94" s="32" t="str">
        <f aca="false">IF($A94="","",IF(COUNTIFS(Contacts!$A$3:$A$502,$A94,Contacts!$E$3:$E$502,"Champion",Contacts!$K$3:$K$502,"&lt;&gt;Yes",Contacts!$L$3:$L$502,"&lt;&gt;Yes")+COUNTIFS(Opportunities!$A$3:$A$502,$A94,Opportunities!$C$3:$C$502,"Won",Opportunities!$Q$3:$Q$502,"Satisfied")&gt;0,4,IF(COUNTIFS(Interactions!$B$3:$B$502,$A94,Interactions!$I$3:$I$502,"Yes",Interactions!$A$3:$A$502,"&gt;="&amp;(S_Today-S_WarmDays))&gt;0,3,IF(T94&lt;&gt;"",2,IF(COUNTIFS(Contacts!$A$3:$A$502,$A94,Contacts!$M$3:$M$502,"Yes",Contacts!$K$3:$K$502,"&lt;&gt;Yes",Contacts!$L$3:$L$502,"&lt;&gt;Yes")&gt;0,1,0)))))</f>
        <v/>
      </c>
      <c r="AE94" s="32" t="str">
        <f aca="false">IF($A94="","",IF(Z94="Yes","Do not contact",IF(AC94="","Research",IF(AND(AC94&gt;=S_FitHigh,AD94&gt;=S_AccessHigh),"Priority",IF(AC94&gt;=S_FitHigh,"Build a Path",IF(AD94&gt;=S_AccessHigh,"Quick Win","Low Priority"))))))</f>
        <v/>
      </c>
      <c r="AF94" s="33" t="str">
        <f aca="false">IF($A94="","",IF(_xlfn.MAXIFS(Interactions!$A$3:$A$502,Interactions!$B$3:$B$502,$A94)=0,"",_xlfn.MAXIFS(Interactions!$A$3:$A$502,Interactions!$B$3:$B$502,$A94)))</f>
        <v/>
      </c>
      <c r="AG94" s="32" t="str">
        <f aca="false">IF($A94="","",COUNTIFS(Opportunities!$A$3:$A$502,$A94,Opportunities!$X$3:$X$502,"Yes"))</f>
        <v/>
      </c>
      <c r="AH94" s="32" t="str">
        <f aca="false">IF($A94="","",_xlfn.TEXTJOIN(", ",TRUE(),IF(COUNTIF($A$3:$A$502,$A94)&gt;1,"Duplicate name",""),IF(OR(AND(G94=2,I94=""),AND(J94=2,L94=""),AND(M94=2,O94=""),AND(P94=2,R94="")),"Source missing for a 2",""),IF(F94="","No owner",IF(COUNTIFS(R_TeamName,F94,R_TeamActive,"No")&gt;0,"Needs new owner","")),IF(AND(V94="Yes",X94&lt;&gt;"",X94&lt;S_SemStart),"Path overdue",""),IF(AND(S94&lt;&gt;"",S94&lt;S_Today-365),"Stale research",""),IF(AND(AE94="Research",COUNTIF('Commercial Evidence'!$A$3:$A$502,$A94)=0),"Add commercial evidence","")))</f>
        <v/>
      </c>
      <c r="AI94" s="34" t="str">
        <f aca="false">IF(OR($A94="",Z94="Yes"),"",IF(AND(AE94="Priority",AG94=0,COUNTIFS(Opportunities!$A$3:$A$502,$A94,Opportunities!$Y$3:$Y$502,"Renewal due")=0),600000+(10-AC94)*1000+(4-AD94)*100+ROW()/100000,IF(V94="Yes",700000+IF(X94="",0,X94-40000)/10+ROW()/100000,IF(AND(AE94="Quick Win",U94&lt;&gt;"",AG94=0),800000+(10-AC94)*1000+ROW()/100000,IF(AND(AE94="Build a Path",COUNTIF($V$3:$V$502,"Yes")&lt;S_PathCap),900000+(10-AC94)*1000+(4-AD94)*100+ROW()/100000,"")))))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8"/>
      <c r="T95" s="27"/>
      <c r="U95" s="27"/>
      <c r="V95" s="27"/>
      <c r="W95" s="27"/>
      <c r="X95" s="28"/>
      <c r="Y95" s="27"/>
      <c r="Z95" s="27"/>
      <c r="AA95" s="27"/>
      <c r="AB95" s="32" t="str">
        <f aca="false">IF($A95="","",IF(COUNTIF('Commercial Evidence'!$A$3:$A$502,$A95)=0,"",IF(COUNTIFS('Commercial Evidence'!$A$3:$A$502,$A95,'Commercial Evidence'!$B$3:$B$502,"Previous CBS Talks spend")+COUNTIFS('Commercial Evidence'!$A$3:$A$502,$A95,'Commercial Evidence'!$B$3:$B$502,"Sponsors student organisations")&gt;0,2,IF(COUNTIFS('Commercial Evidence'!$A$3:$A$502,$A95,'Commercial Evidence'!$B$3:$B$502,"Sponsors university activities")+COUNTIFS('Commercial Evidence'!$A$3:$A$502,$A95,'Commercial Evidence'!$B$3:$B$502,"Sponsors similar events")+COUNTIFS('Commercial Evidence'!$A$3:$A$502,$A95,'Commercial Evidence'!$B$3:$B$502,"Previous CBS Talks partner")&gt;0,1,0))))</f>
        <v/>
      </c>
      <c r="AC95" s="32" t="str">
        <f aca="false">IF($A95="","",IF(COUNT(G95,J95,M95,P95,AB95)&lt;5,"",G95+J95+M95+P95+AB95))</f>
        <v/>
      </c>
      <c r="AD95" s="32" t="str">
        <f aca="false">IF($A95="","",IF(COUNTIFS(Contacts!$A$3:$A$502,$A95,Contacts!$E$3:$E$502,"Champion",Contacts!$K$3:$K$502,"&lt;&gt;Yes",Contacts!$L$3:$L$502,"&lt;&gt;Yes")+COUNTIFS(Opportunities!$A$3:$A$502,$A95,Opportunities!$C$3:$C$502,"Won",Opportunities!$Q$3:$Q$502,"Satisfied")&gt;0,4,IF(COUNTIFS(Interactions!$B$3:$B$502,$A95,Interactions!$I$3:$I$502,"Yes",Interactions!$A$3:$A$502,"&gt;="&amp;(S_Today-S_WarmDays))&gt;0,3,IF(T95&lt;&gt;"",2,IF(COUNTIFS(Contacts!$A$3:$A$502,$A95,Contacts!$M$3:$M$502,"Yes",Contacts!$K$3:$K$502,"&lt;&gt;Yes",Contacts!$L$3:$L$502,"&lt;&gt;Yes")&gt;0,1,0)))))</f>
        <v/>
      </c>
      <c r="AE95" s="32" t="str">
        <f aca="false">IF($A95="","",IF(Z95="Yes","Do not contact",IF(AC95="","Research",IF(AND(AC95&gt;=S_FitHigh,AD95&gt;=S_AccessHigh),"Priority",IF(AC95&gt;=S_FitHigh,"Build a Path",IF(AD95&gt;=S_AccessHigh,"Quick Win","Low Priority"))))))</f>
        <v/>
      </c>
      <c r="AF95" s="33" t="str">
        <f aca="false">IF($A95="","",IF(_xlfn.MAXIFS(Interactions!$A$3:$A$502,Interactions!$B$3:$B$502,$A95)=0,"",_xlfn.MAXIFS(Interactions!$A$3:$A$502,Interactions!$B$3:$B$502,$A95)))</f>
        <v/>
      </c>
      <c r="AG95" s="32" t="str">
        <f aca="false">IF($A95="","",COUNTIFS(Opportunities!$A$3:$A$502,$A95,Opportunities!$X$3:$X$502,"Yes"))</f>
        <v/>
      </c>
      <c r="AH95" s="32" t="str">
        <f aca="false">IF($A95="","",_xlfn.TEXTJOIN(", ",TRUE(),IF(COUNTIF($A$3:$A$502,$A95)&gt;1,"Duplicate name",""),IF(OR(AND(G95=2,I95=""),AND(J95=2,L95=""),AND(M95=2,O95=""),AND(P95=2,R95="")),"Source missing for a 2",""),IF(F95="","No owner",IF(COUNTIFS(R_TeamName,F95,R_TeamActive,"No")&gt;0,"Needs new owner","")),IF(AND(V95="Yes",X95&lt;&gt;"",X95&lt;S_SemStart),"Path overdue",""),IF(AND(S95&lt;&gt;"",S95&lt;S_Today-365),"Stale research",""),IF(AND(AE95="Research",COUNTIF('Commercial Evidence'!$A$3:$A$502,$A95)=0),"Add commercial evidence","")))</f>
        <v/>
      </c>
      <c r="AI95" s="34" t="str">
        <f aca="false">IF(OR($A95="",Z95="Yes"),"",IF(AND(AE95="Priority",AG95=0,COUNTIFS(Opportunities!$A$3:$A$502,$A95,Opportunities!$Y$3:$Y$502,"Renewal due")=0),600000+(10-AC95)*1000+(4-AD95)*100+ROW()/100000,IF(V95="Yes",700000+IF(X95="",0,X95-40000)/10+ROW()/100000,IF(AND(AE95="Quick Win",U95&lt;&gt;"",AG95=0),800000+(10-AC95)*1000+ROW()/100000,IF(AND(AE95="Build a Path",COUNTIF($V$3:$V$502,"Yes")&lt;S_PathCap),900000+(10-AC95)*1000+(4-AD95)*100+ROW()/100000,"")))))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8"/>
      <c r="T96" s="27"/>
      <c r="U96" s="27"/>
      <c r="V96" s="27"/>
      <c r="W96" s="27"/>
      <c r="X96" s="28"/>
      <c r="Y96" s="27"/>
      <c r="Z96" s="27"/>
      <c r="AA96" s="27"/>
      <c r="AB96" s="32" t="str">
        <f aca="false">IF($A96="","",IF(COUNTIF('Commercial Evidence'!$A$3:$A$502,$A96)=0,"",IF(COUNTIFS('Commercial Evidence'!$A$3:$A$502,$A96,'Commercial Evidence'!$B$3:$B$502,"Previous CBS Talks spend")+COUNTIFS('Commercial Evidence'!$A$3:$A$502,$A96,'Commercial Evidence'!$B$3:$B$502,"Sponsors student organisations")&gt;0,2,IF(COUNTIFS('Commercial Evidence'!$A$3:$A$502,$A96,'Commercial Evidence'!$B$3:$B$502,"Sponsors university activities")+COUNTIFS('Commercial Evidence'!$A$3:$A$502,$A96,'Commercial Evidence'!$B$3:$B$502,"Sponsors similar events")+COUNTIFS('Commercial Evidence'!$A$3:$A$502,$A96,'Commercial Evidence'!$B$3:$B$502,"Previous CBS Talks partner")&gt;0,1,0))))</f>
        <v/>
      </c>
      <c r="AC96" s="32" t="str">
        <f aca="false">IF($A96="","",IF(COUNT(G96,J96,M96,P96,AB96)&lt;5,"",G96+J96+M96+P96+AB96))</f>
        <v/>
      </c>
      <c r="AD96" s="32" t="str">
        <f aca="false">IF($A96="","",IF(COUNTIFS(Contacts!$A$3:$A$502,$A96,Contacts!$E$3:$E$502,"Champion",Contacts!$K$3:$K$502,"&lt;&gt;Yes",Contacts!$L$3:$L$502,"&lt;&gt;Yes")+COUNTIFS(Opportunities!$A$3:$A$502,$A96,Opportunities!$C$3:$C$502,"Won",Opportunities!$Q$3:$Q$502,"Satisfied")&gt;0,4,IF(COUNTIFS(Interactions!$B$3:$B$502,$A96,Interactions!$I$3:$I$502,"Yes",Interactions!$A$3:$A$502,"&gt;="&amp;(S_Today-S_WarmDays))&gt;0,3,IF(T96&lt;&gt;"",2,IF(COUNTIFS(Contacts!$A$3:$A$502,$A96,Contacts!$M$3:$M$502,"Yes",Contacts!$K$3:$K$502,"&lt;&gt;Yes",Contacts!$L$3:$L$502,"&lt;&gt;Yes")&gt;0,1,0)))))</f>
        <v/>
      </c>
      <c r="AE96" s="32" t="str">
        <f aca="false">IF($A96="","",IF(Z96="Yes","Do not contact",IF(AC96="","Research",IF(AND(AC96&gt;=S_FitHigh,AD96&gt;=S_AccessHigh),"Priority",IF(AC96&gt;=S_FitHigh,"Build a Path",IF(AD96&gt;=S_AccessHigh,"Quick Win","Low Priority"))))))</f>
        <v/>
      </c>
      <c r="AF96" s="33" t="str">
        <f aca="false">IF($A96="","",IF(_xlfn.MAXIFS(Interactions!$A$3:$A$502,Interactions!$B$3:$B$502,$A96)=0,"",_xlfn.MAXIFS(Interactions!$A$3:$A$502,Interactions!$B$3:$B$502,$A96)))</f>
        <v/>
      </c>
      <c r="AG96" s="32" t="str">
        <f aca="false">IF($A96="","",COUNTIFS(Opportunities!$A$3:$A$502,$A96,Opportunities!$X$3:$X$502,"Yes"))</f>
        <v/>
      </c>
      <c r="AH96" s="32" t="str">
        <f aca="false">IF($A96="","",_xlfn.TEXTJOIN(", ",TRUE(),IF(COUNTIF($A$3:$A$502,$A96)&gt;1,"Duplicate name",""),IF(OR(AND(G96=2,I96=""),AND(J96=2,L96=""),AND(M96=2,O96=""),AND(P96=2,R96="")),"Source missing for a 2",""),IF(F96="","No owner",IF(COUNTIFS(R_TeamName,F96,R_TeamActive,"No")&gt;0,"Needs new owner","")),IF(AND(V96="Yes",X96&lt;&gt;"",X96&lt;S_SemStart),"Path overdue",""),IF(AND(S96&lt;&gt;"",S96&lt;S_Today-365),"Stale research",""),IF(AND(AE96="Research",COUNTIF('Commercial Evidence'!$A$3:$A$502,$A96)=0),"Add commercial evidence","")))</f>
        <v/>
      </c>
      <c r="AI96" s="34" t="str">
        <f aca="false">IF(OR($A96="",Z96="Yes"),"",IF(AND(AE96="Priority",AG96=0,COUNTIFS(Opportunities!$A$3:$A$502,$A96,Opportunities!$Y$3:$Y$502,"Renewal due")=0),600000+(10-AC96)*1000+(4-AD96)*100+ROW()/100000,IF(V96="Yes",700000+IF(X96="",0,X96-40000)/10+ROW()/100000,IF(AND(AE96="Quick Win",U96&lt;&gt;"",AG96=0),800000+(10-AC96)*1000+ROW()/100000,IF(AND(AE96="Build a Path",COUNTIF($V$3:$V$502,"Yes")&lt;S_PathCap),900000+(10-AC96)*1000+(4-AD96)*100+ROW()/100000,"")))))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8"/>
      <c r="T97" s="27"/>
      <c r="U97" s="27"/>
      <c r="V97" s="27"/>
      <c r="W97" s="27"/>
      <c r="X97" s="28"/>
      <c r="Y97" s="27"/>
      <c r="Z97" s="27"/>
      <c r="AA97" s="27"/>
      <c r="AB97" s="32" t="str">
        <f aca="false">IF($A97="","",IF(COUNTIF('Commercial Evidence'!$A$3:$A$502,$A97)=0,"",IF(COUNTIFS('Commercial Evidence'!$A$3:$A$502,$A97,'Commercial Evidence'!$B$3:$B$502,"Previous CBS Talks spend")+COUNTIFS('Commercial Evidence'!$A$3:$A$502,$A97,'Commercial Evidence'!$B$3:$B$502,"Sponsors student organisations")&gt;0,2,IF(COUNTIFS('Commercial Evidence'!$A$3:$A$502,$A97,'Commercial Evidence'!$B$3:$B$502,"Sponsors university activities")+COUNTIFS('Commercial Evidence'!$A$3:$A$502,$A97,'Commercial Evidence'!$B$3:$B$502,"Sponsors similar events")+COUNTIFS('Commercial Evidence'!$A$3:$A$502,$A97,'Commercial Evidence'!$B$3:$B$502,"Previous CBS Talks partner")&gt;0,1,0))))</f>
        <v/>
      </c>
      <c r="AC97" s="32" t="str">
        <f aca="false">IF($A97="","",IF(COUNT(G97,J97,M97,P97,AB97)&lt;5,"",G97+J97+M97+P97+AB97))</f>
        <v/>
      </c>
      <c r="AD97" s="32" t="str">
        <f aca="false">IF($A97="","",IF(COUNTIFS(Contacts!$A$3:$A$502,$A97,Contacts!$E$3:$E$502,"Champion",Contacts!$K$3:$K$502,"&lt;&gt;Yes",Contacts!$L$3:$L$502,"&lt;&gt;Yes")+COUNTIFS(Opportunities!$A$3:$A$502,$A97,Opportunities!$C$3:$C$502,"Won",Opportunities!$Q$3:$Q$502,"Satisfied")&gt;0,4,IF(COUNTIFS(Interactions!$B$3:$B$502,$A97,Interactions!$I$3:$I$502,"Yes",Interactions!$A$3:$A$502,"&gt;="&amp;(S_Today-S_WarmDays))&gt;0,3,IF(T97&lt;&gt;"",2,IF(COUNTIFS(Contacts!$A$3:$A$502,$A97,Contacts!$M$3:$M$502,"Yes",Contacts!$K$3:$K$502,"&lt;&gt;Yes",Contacts!$L$3:$L$502,"&lt;&gt;Yes")&gt;0,1,0)))))</f>
        <v/>
      </c>
      <c r="AE97" s="32" t="str">
        <f aca="false">IF($A97="","",IF(Z97="Yes","Do not contact",IF(AC97="","Research",IF(AND(AC97&gt;=S_FitHigh,AD97&gt;=S_AccessHigh),"Priority",IF(AC97&gt;=S_FitHigh,"Build a Path",IF(AD97&gt;=S_AccessHigh,"Quick Win","Low Priority"))))))</f>
        <v/>
      </c>
      <c r="AF97" s="33" t="str">
        <f aca="false">IF($A97="","",IF(_xlfn.MAXIFS(Interactions!$A$3:$A$502,Interactions!$B$3:$B$502,$A97)=0,"",_xlfn.MAXIFS(Interactions!$A$3:$A$502,Interactions!$B$3:$B$502,$A97)))</f>
        <v/>
      </c>
      <c r="AG97" s="32" t="str">
        <f aca="false">IF($A97="","",COUNTIFS(Opportunities!$A$3:$A$502,$A97,Opportunities!$X$3:$X$502,"Yes"))</f>
        <v/>
      </c>
      <c r="AH97" s="32" t="str">
        <f aca="false">IF($A97="","",_xlfn.TEXTJOIN(", ",TRUE(),IF(COUNTIF($A$3:$A$502,$A97)&gt;1,"Duplicate name",""),IF(OR(AND(G97=2,I97=""),AND(J97=2,L97=""),AND(M97=2,O97=""),AND(P97=2,R97="")),"Source missing for a 2",""),IF(F97="","No owner",IF(COUNTIFS(R_TeamName,F97,R_TeamActive,"No")&gt;0,"Needs new owner","")),IF(AND(V97="Yes",X97&lt;&gt;"",X97&lt;S_SemStart),"Path overdue",""),IF(AND(S97&lt;&gt;"",S97&lt;S_Today-365),"Stale research",""),IF(AND(AE97="Research",COUNTIF('Commercial Evidence'!$A$3:$A$502,$A97)=0),"Add commercial evidence","")))</f>
        <v/>
      </c>
      <c r="AI97" s="34" t="str">
        <f aca="false">IF(OR($A97="",Z97="Yes"),"",IF(AND(AE97="Priority",AG97=0,COUNTIFS(Opportunities!$A$3:$A$502,$A97,Opportunities!$Y$3:$Y$502,"Renewal due")=0),600000+(10-AC97)*1000+(4-AD97)*100+ROW()/100000,IF(V97="Yes",700000+IF(X97="",0,X97-40000)/10+ROW()/100000,IF(AND(AE97="Quick Win",U97&lt;&gt;"",AG97=0),800000+(10-AC97)*1000+ROW()/100000,IF(AND(AE97="Build a Path",COUNTIF($V$3:$V$502,"Yes")&lt;S_PathCap),900000+(10-AC97)*1000+(4-AD97)*100+ROW()/100000,"")))))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8"/>
      <c r="T98" s="27"/>
      <c r="U98" s="27"/>
      <c r="V98" s="27"/>
      <c r="W98" s="27"/>
      <c r="X98" s="28"/>
      <c r="Y98" s="27"/>
      <c r="Z98" s="27"/>
      <c r="AA98" s="27"/>
      <c r="AB98" s="32" t="str">
        <f aca="false">IF($A98="","",IF(COUNTIF('Commercial Evidence'!$A$3:$A$502,$A98)=0,"",IF(COUNTIFS('Commercial Evidence'!$A$3:$A$502,$A98,'Commercial Evidence'!$B$3:$B$502,"Previous CBS Talks spend")+COUNTIFS('Commercial Evidence'!$A$3:$A$502,$A98,'Commercial Evidence'!$B$3:$B$502,"Sponsors student organisations")&gt;0,2,IF(COUNTIFS('Commercial Evidence'!$A$3:$A$502,$A98,'Commercial Evidence'!$B$3:$B$502,"Sponsors university activities")+COUNTIFS('Commercial Evidence'!$A$3:$A$502,$A98,'Commercial Evidence'!$B$3:$B$502,"Sponsors similar events")+COUNTIFS('Commercial Evidence'!$A$3:$A$502,$A98,'Commercial Evidence'!$B$3:$B$502,"Previous CBS Talks partner")&gt;0,1,0))))</f>
        <v/>
      </c>
      <c r="AC98" s="32" t="str">
        <f aca="false">IF($A98="","",IF(COUNT(G98,J98,M98,P98,AB98)&lt;5,"",G98+J98+M98+P98+AB98))</f>
        <v/>
      </c>
      <c r="AD98" s="32" t="str">
        <f aca="false">IF($A98="","",IF(COUNTIFS(Contacts!$A$3:$A$502,$A98,Contacts!$E$3:$E$502,"Champion",Contacts!$K$3:$K$502,"&lt;&gt;Yes",Contacts!$L$3:$L$502,"&lt;&gt;Yes")+COUNTIFS(Opportunities!$A$3:$A$502,$A98,Opportunities!$C$3:$C$502,"Won",Opportunities!$Q$3:$Q$502,"Satisfied")&gt;0,4,IF(COUNTIFS(Interactions!$B$3:$B$502,$A98,Interactions!$I$3:$I$502,"Yes",Interactions!$A$3:$A$502,"&gt;="&amp;(S_Today-S_WarmDays))&gt;0,3,IF(T98&lt;&gt;"",2,IF(COUNTIFS(Contacts!$A$3:$A$502,$A98,Contacts!$M$3:$M$502,"Yes",Contacts!$K$3:$K$502,"&lt;&gt;Yes",Contacts!$L$3:$L$502,"&lt;&gt;Yes")&gt;0,1,0)))))</f>
        <v/>
      </c>
      <c r="AE98" s="32" t="str">
        <f aca="false">IF($A98="","",IF(Z98="Yes","Do not contact",IF(AC98="","Research",IF(AND(AC98&gt;=S_FitHigh,AD98&gt;=S_AccessHigh),"Priority",IF(AC98&gt;=S_FitHigh,"Build a Path",IF(AD98&gt;=S_AccessHigh,"Quick Win","Low Priority"))))))</f>
        <v/>
      </c>
      <c r="AF98" s="33" t="str">
        <f aca="false">IF($A98="","",IF(_xlfn.MAXIFS(Interactions!$A$3:$A$502,Interactions!$B$3:$B$502,$A98)=0,"",_xlfn.MAXIFS(Interactions!$A$3:$A$502,Interactions!$B$3:$B$502,$A98)))</f>
        <v/>
      </c>
      <c r="AG98" s="32" t="str">
        <f aca="false">IF($A98="","",COUNTIFS(Opportunities!$A$3:$A$502,$A98,Opportunities!$X$3:$X$502,"Yes"))</f>
        <v/>
      </c>
      <c r="AH98" s="32" t="str">
        <f aca="false">IF($A98="","",_xlfn.TEXTJOIN(", ",TRUE(),IF(COUNTIF($A$3:$A$502,$A98)&gt;1,"Duplicate name",""),IF(OR(AND(G98=2,I98=""),AND(J98=2,L98=""),AND(M98=2,O98=""),AND(P98=2,R98="")),"Source missing for a 2",""),IF(F98="","No owner",IF(COUNTIFS(R_TeamName,F98,R_TeamActive,"No")&gt;0,"Needs new owner","")),IF(AND(V98="Yes",X98&lt;&gt;"",X98&lt;S_SemStart),"Path overdue",""),IF(AND(S98&lt;&gt;"",S98&lt;S_Today-365),"Stale research",""),IF(AND(AE98="Research",COUNTIF('Commercial Evidence'!$A$3:$A$502,$A98)=0),"Add commercial evidence","")))</f>
        <v/>
      </c>
      <c r="AI98" s="34" t="str">
        <f aca="false">IF(OR($A98="",Z98="Yes"),"",IF(AND(AE98="Priority",AG98=0,COUNTIFS(Opportunities!$A$3:$A$502,$A98,Opportunities!$Y$3:$Y$502,"Renewal due")=0),600000+(10-AC98)*1000+(4-AD98)*100+ROW()/100000,IF(V98="Yes",700000+IF(X98="",0,X98-40000)/10+ROW()/100000,IF(AND(AE98="Quick Win",U98&lt;&gt;"",AG98=0),800000+(10-AC98)*1000+ROW()/100000,IF(AND(AE98="Build a Path",COUNTIF($V$3:$V$502,"Yes")&lt;S_PathCap),900000+(10-AC98)*1000+(4-AD98)*100+ROW()/100000,"")))))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8"/>
      <c r="T99" s="27"/>
      <c r="U99" s="27"/>
      <c r="V99" s="27"/>
      <c r="W99" s="27"/>
      <c r="X99" s="28"/>
      <c r="Y99" s="27"/>
      <c r="Z99" s="27"/>
      <c r="AA99" s="27"/>
      <c r="AB99" s="32" t="str">
        <f aca="false">IF($A99="","",IF(COUNTIF('Commercial Evidence'!$A$3:$A$502,$A99)=0,"",IF(COUNTIFS('Commercial Evidence'!$A$3:$A$502,$A99,'Commercial Evidence'!$B$3:$B$502,"Previous CBS Talks spend")+COUNTIFS('Commercial Evidence'!$A$3:$A$502,$A99,'Commercial Evidence'!$B$3:$B$502,"Sponsors student organisations")&gt;0,2,IF(COUNTIFS('Commercial Evidence'!$A$3:$A$502,$A99,'Commercial Evidence'!$B$3:$B$502,"Sponsors university activities")+COUNTIFS('Commercial Evidence'!$A$3:$A$502,$A99,'Commercial Evidence'!$B$3:$B$502,"Sponsors similar events")+COUNTIFS('Commercial Evidence'!$A$3:$A$502,$A99,'Commercial Evidence'!$B$3:$B$502,"Previous CBS Talks partner")&gt;0,1,0))))</f>
        <v/>
      </c>
      <c r="AC99" s="32" t="str">
        <f aca="false">IF($A99="","",IF(COUNT(G99,J99,M99,P99,AB99)&lt;5,"",G99+J99+M99+P99+AB99))</f>
        <v/>
      </c>
      <c r="AD99" s="32" t="str">
        <f aca="false">IF($A99="","",IF(COUNTIFS(Contacts!$A$3:$A$502,$A99,Contacts!$E$3:$E$502,"Champion",Contacts!$K$3:$K$502,"&lt;&gt;Yes",Contacts!$L$3:$L$502,"&lt;&gt;Yes")+COUNTIFS(Opportunities!$A$3:$A$502,$A99,Opportunities!$C$3:$C$502,"Won",Opportunities!$Q$3:$Q$502,"Satisfied")&gt;0,4,IF(COUNTIFS(Interactions!$B$3:$B$502,$A99,Interactions!$I$3:$I$502,"Yes",Interactions!$A$3:$A$502,"&gt;="&amp;(S_Today-S_WarmDays))&gt;0,3,IF(T99&lt;&gt;"",2,IF(COUNTIFS(Contacts!$A$3:$A$502,$A99,Contacts!$M$3:$M$502,"Yes",Contacts!$K$3:$K$502,"&lt;&gt;Yes",Contacts!$L$3:$L$502,"&lt;&gt;Yes")&gt;0,1,0)))))</f>
        <v/>
      </c>
      <c r="AE99" s="32" t="str">
        <f aca="false">IF($A99="","",IF(Z99="Yes","Do not contact",IF(AC99="","Research",IF(AND(AC99&gt;=S_FitHigh,AD99&gt;=S_AccessHigh),"Priority",IF(AC99&gt;=S_FitHigh,"Build a Path",IF(AD99&gt;=S_AccessHigh,"Quick Win","Low Priority"))))))</f>
        <v/>
      </c>
      <c r="AF99" s="33" t="str">
        <f aca="false">IF($A99="","",IF(_xlfn.MAXIFS(Interactions!$A$3:$A$502,Interactions!$B$3:$B$502,$A99)=0,"",_xlfn.MAXIFS(Interactions!$A$3:$A$502,Interactions!$B$3:$B$502,$A99)))</f>
        <v/>
      </c>
      <c r="AG99" s="32" t="str">
        <f aca="false">IF($A99="","",COUNTIFS(Opportunities!$A$3:$A$502,$A99,Opportunities!$X$3:$X$502,"Yes"))</f>
        <v/>
      </c>
      <c r="AH99" s="32" t="str">
        <f aca="false">IF($A99="","",_xlfn.TEXTJOIN(", ",TRUE(),IF(COUNTIF($A$3:$A$502,$A99)&gt;1,"Duplicate name",""),IF(OR(AND(G99=2,I99=""),AND(J99=2,L99=""),AND(M99=2,O99=""),AND(P99=2,R99="")),"Source missing for a 2",""),IF(F99="","No owner",IF(COUNTIFS(R_TeamName,F99,R_TeamActive,"No")&gt;0,"Needs new owner","")),IF(AND(V99="Yes",X99&lt;&gt;"",X99&lt;S_SemStart),"Path overdue",""),IF(AND(S99&lt;&gt;"",S99&lt;S_Today-365),"Stale research",""),IF(AND(AE99="Research",COUNTIF('Commercial Evidence'!$A$3:$A$502,$A99)=0),"Add commercial evidence","")))</f>
        <v/>
      </c>
      <c r="AI99" s="34" t="str">
        <f aca="false">IF(OR($A99="",Z99="Yes"),"",IF(AND(AE99="Priority",AG99=0,COUNTIFS(Opportunities!$A$3:$A$502,$A99,Opportunities!$Y$3:$Y$502,"Renewal due")=0),600000+(10-AC99)*1000+(4-AD99)*100+ROW()/100000,IF(V99="Yes",700000+IF(X99="",0,X99-40000)/10+ROW()/100000,IF(AND(AE99="Quick Win",U99&lt;&gt;"",AG99=0),800000+(10-AC99)*1000+ROW()/100000,IF(AND(AE99="Build a Path",COUNTIF($V$3:$V$502,"Yes")&lt;S_PathCap),900000+(10-AC99)*1000+(4-AD99)*100+ROW()/100000,"")))))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8"/>
      <c r="T100" s="27"/>
      <c r="U100" s="27"/>
      <c r="V100" s="27"/>
      <c r="W100" s="27"/>
      <c r="X100" s="28"/>
      <c r="Y100" s="27"/>
      <c r="Z100" s="27"/>
      <c r="AA100" s="27"/>
      <c r="AB100" s="32" t="str">
        <f aca="false">IF($A100="","",IF(COUNTIF('Commercial Evidence'!$A$3:$A$502,$A100)=0,"",IF(COUNTIFS('Commercial Evidence'!$A$3:$A$502,$A100,'Commercial Evidence'!$B$3:$B$502,"Previous CBS Talks spend")+COUNTIFS('Commercial Evidence'!$A$3:$A$502,$A100,'Commercial Evidence'!$B$3:$B$502,"Sponsors student organisations")&gt;0,2,IF(COUNTIFS('Commercial Evidence'!$A$3:$A$502,$A100,'Commercial Evidence'!$B$3:$B$502,"Sponsors university activities")+COUNTIFS('Commercial Evidence'!$A$3:$A$502,$A100,'Commercial Evidence'!$B$3:$B$502,"Sponsors similar events")+COUNTIFS('Commercial Evidence'!$A$3:$A$502,$A100,'Commercial Evidence'!$B$3:$B$502,"Previous CBS Talks partner")&gt;0,1,0))))</f>
        <v/>
      </c>
      <c r="AC100" s="32" t="str">
        <f aca="false">IF($A100="","",IF(COUNT(G100,J100,M100,P100,AB100)&lt;5,"",G100+J100+M100+P100+AB100))</f>
        <v/>
      </c>
      <c r="AD100" s="32" t="str">
        <f aca="false">IF($A100="","",IF(COUNTIFS(Contacts!$A$3:$A$502,$A100,Contacts!$E$3:$E$502,"Champion",Contacts!$K$3:$K$502,"&lt;&gt;Yes",Contacts!$L$3:$L$502,"&lt;&gt;Yes")+COUNTIFS(Opportunities!$A$3:$A$502,$A100,Opportunities!$C$3:$C$502,"Won",Opportunities!$Q$3:$Q$502,"Satisfied")&gt;0,4,IF(COUNTIFS(Interactions!$B$3:$B$502,$A100,Interactions!$I$3:$I$502,"Yes",Interactions!$A$3:$A$502,"&gt;="&amp;(S_Today-S_WarmDays))&gt;0,3,IF(T100&lt;&gt;"",2,IF(COUNTIFS(Contacts!$A$3:$A$502,$A100,Contacts!$M$3:$M$502,"Yes",Contacts!$K$3:$K$502,"&lt;&gt;Yes",Contacts!$L$3:$L$502,"&lt;&gt;Yes")&gt;0,1,0)))))</f>
        <v/>
      </c>
      <c r="AE100" s="32" t="str">
        <f aca="false">IF($A100="","",IF(Z100="Yes","Do not contact",IF(AC100="","Research",IF(AND(AC100&gt;=S_FitHigh,AD100&gt;=S_AccessHigh),"Priority",IF(AC100&gt;=S_FitHigh,"Build a Path",IF(AD100&gt;=S_AccessHigh,"Quick Win","Low Priority"))))))</f>
        <v/>
      </c>
      <c r="AF100" s="33" t="str">
        <f aca="false">IF($A100="","",IF(_xlfn.MAXIFS(Interactions!$A$3:$A$502,Interactions!$B$3:$B$502,$A100)=0,"",_xlfn.MAXIFS(Interactions!$A$3:$A$502,Interactions!$B$3:$B$502,$A100)))</f>
        <v/>
      </c>
      <c r="AG100" s="32" t="str">
        <f aca="false">IF($A100="","",COUNTIFS(Opportunities!$A$3:$A$502,$A100,Opportunities!$X$3:$X$502,"Yes"))</f>
        <v/>
      </c>
      <c r="AH100" s="32" t="str">
        <f aca="false">IF($A100="","",_xlfn.TEXTJOIN(", ",TRUE(),IF(COUNTIF($A$3:$A$502,$A100)&gt;1,"Duplicate name",""),IF(OR(AND(G100=2,I100=""),AND(J100=2,L100=""),AND(M100=2,O100=""),AND(P100=2,R100="")),"Source missing for a 2",""),IF(F100="","No owner",IF(COUNTIFS(R_TeamName,F100,R_TeamActive,"No")&gt;0,"Needs new owner","")),IF(AND(V100="Yes",X100&lt;&gt;"",X100&lt;S_SemStart),"Path overdue",""),IF(AND(S100&lt;&gt;"",S100&lt;S_Today-365),"Stale research",""),IF(AND(AE100="Research",COUNTIF('Commercial Evidence'!$A$3:$A$502,$A100)=0),"Add commercial evidence","")))</f>
        <v/>
      </c>
      <c r="AI100" s="34" t="str">
        <f aca="false">IF(OR($A100="",Z100="Yes"),"",IF(AND(AE100="Priority",AG100=0,COUNTIFS(Opportunities!$A$3:$A$502,$A100,Opportunities!$Y$3:$Y$502,"Renewal due")=0),600000+(10-AC100)*1000+(4-AD100)*100+ROW()/100000,IF(V100="Yes",700000+IF(X100="",0,X100-40000)/10+ROW()/100000,IF(AND(AE100="Quick Win",U100&lt;&gt;"",AG100=0),800000+(10-AC100)*1000+ROW()/100000,IF(AND(AE100="Build a Path",COUNTIF($V$3:$V$502,"Yes")&lt;S_PathCap),900000+(10-AC100)*1000+(4-AD100)*100+ROW()/100000,"")))))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8"/>
      <c r="T101" s="27"/>
      <c r="U101" s="27"/>
      <c r="V101" s="27"/>
      <c r="W101" s="27"/>
      <c r="X101" s="28"/>
      <c r="Y101" s="27"/>
      <c r="Z101" s="27"/>
      <c r="AA101" s="27"/>
      <c r="AB101" s="32" t="str">
        <f aca="false">IF($A101="","",IF(COUNTIF('Commercial Evidence'!$A$3:$A$502,$A101)=0,"",IF(COUNTIFS('Commercial Evidence'!$A$3:$A$502,$A101,'Commercial Evidence'!$B$3:$B$502,"Previous CBS Talks spend")+COUNTIFS('Commercial Evidence'!$A$3:$A$502,$A101,'Commercial Evidence'!$B$3:$B$502,"Sponsors student organisations")&gt;0,2,IF(COUNTIFS('Commercial Evidence'!$A$3:$A$502,$A101,'Commercial Evidence'!$B$3:$B$502,"Sponsors university activities")+COUNTIFS('Commercial Evidence'!$A$3:$A$502,$A101,'Commercial Evidence'!$B$3:$B$502,"Sponsors similar events")+COUNTIFS('Commercial Evidence'!$A$3:$A$502,$A101,'Commercial Evidence'!$B$3:$B$502,"Previous CBS Talks partner")&gt;0,1,0))))</f>
        <v/>
      </c>
      <c r="AC101" s="32" t="str">
        <f aca="false">IF($A101="","",IF(COUNT(G101,J101,M101,P101,AB101)&lt;5,"",G101+J101+M101+P101+AB101))</f>
        <v/>
      </c>
      <c r="AD101" s="32" t="str">
        <f aca="false">IF($A101="","",IF(COUNTIFS(Contacts!$A$3:$A$502,$A101,Contacts!$E$3:$E$502,"Champion",Contacts!$K$3:$K$502,"&lt;&gt;Yes",Contacts!$L$3:$L$502,"&lt;&gt;Yes")+COUNTIFS(Opportunities!$A$3:$A$502,$A101,Opportunities!$C$3:$C$502,"Won",Opportunities!$Q$3:$Q$502,"Satisfied")&gt;0,4,IF(COUNTIFS(Interactions!$B$3:$B$502,$A101,Interactions!$I$3:$I$502,"Yes",Interactions!$A$3:$A$502,"&gt;="&amp;(S_Today-S_WarmDays))&gt;0,3,IF(T101&lt;&gt;"",2,IF(COUNTIFS(Contacts!$A$3:$A$502,$A101,Contacts!$M$3:$M$502,"Yes",Contacts!$K$3:$K$502,"&lt;&gt;Yes",Contacts!$L$3:$L$502,"&lt;&gt;Yes")&gt;0,1,0)))))</f>
        <v/>
      </c>
      <c r="AE101" s="32" t="str">
        <f aca="false">IF($A101="","",IF(Z101="Yes","Do not contact",IF(AC101="","Research",IF(AND(AC101&gt;=S_FitHigh,AD101&gt;=S_AccessHigh),"Priority",IF(AC101&gt;=S_FitHigh,"Build a Path",IF(AD101&gt;=S_AccessHigh,"Quick Win","Low Priority"))))))</f>
        <v/>
      </c>
      <c r="AF101" s="33" t="str">
        <f aca="false">IF($A101="","",IF(_xlfn.MAXIFS(Interactions!$A$3:$A$502,Interactions!$B$3:$B$502,$A101)=0,"",_xlfn.MAXIFS(Interactions!$A$3:$A$502,Interactions!$B$3:$B$502,$A101)))</f>
        <v/>
      </c>
      <c r="AG101" s="32" t="str">
        <f aca="false">IF($A101="","",COUNTIFS(Opportunities!$A$3:$A$502,$A101,Opportunities!$X$3:$X$502,"Yes"))</f>
        <v/>
      </c>
      <c r="AH101" s="32" t="str">
        <f aca="false">IF($A101="","",_xlfn.TEXTJOIN(", ",TRUE(),IF(COUNTIF($A$3:$A$502,$A101)&gt;1,"Duplicate name",""),IF(OR(AND(G101=2,I101=""),AND(J101=2,L101=""),AND(M101=2,O101=""),AND(P101=2,R101="")),"Source missing for a 2",""),IF(F101="","No owner",IF(COUNTIFS(R_TeamName,F101,R_TeamActive,"No")&gt;0,"Needs new owner","")),IF(AND(V101="Yes",X101&lt;&gt;"",X101&lt;S_SemStart),"Path overdue",""),IF(AND(S101&lt;&gt;"",S101&lt;S_Today-365),"Stale research",""),IF(AND(AE101="Research",COUNTIF('Commercial Evidence'!$A$3:$A$502,$A101)=0),"Add commercial evidence","")))</f>
        <v/>
      </c>
      <c r="AI101" s="34" t="str">
        <f aca="false">IF(OR($A101="",Z101="Yes"),"",IF(AND(AE101="Priority",AG101=0,COUNTIFS(Opportunities!$A$3:$A$502,$A101,Opportunities!$Y$3:$Y$502,"Renewal due")=0),600000+(10-AC101)*1000+(4-AD101)*100+ROW()/100000,IF(V101="Yes",700000+IF(X101="",0,X101-40000)/10+ROW()/100000,IF(AND(AE101="Quick Win",U101&lt;&gt;"",AG101=0),800000+(10-AC101)*1000+ROW()/100000,IF(AND(AE101="Build a Path",COUNTIF($V$3:$V$502,"Yes")&lt;S_PathCap),900000+(10-AC101)*1000+(4-AD101)*100+ROW()/100000,"")))))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8"/>
      <c r="T102" s="27"/>
      <c r="U102" s="27"/>
      <c r="V102" s="27"/>
      <c r="W102" s="27"/>
      <c r="X102" s="28"/>
      <c r="Y102" s="27"/>
      <c r="Z102" s="27"/>
      <c r="AA102" s="27"/>
      <c r="AB102" s="32" t="str">
        <f aca="false">IF($A102="","",IF(COUNTIF('Commercial Evidence'!$A$3:$A$502,$A102)=0,"",IF(COUNTIFS('Commercial Evidence'!$A$3:$A$502,$A102,'Commercial Evidence'!$B$3:$B$502,"Previous CBS Talks spend")+COUNTIFS('Commercial Evidence'!$A$3:$A$502,$A102,'Commercial Evidence'!$B$3:$B$502,"Sponsors student organisations")&gt;0,2,IF(COUNTIFS('Commercial Evidence'!$A$3:$A$502,$A102,'Commercial Evidence'!$B$3:$B$502,"Sponsors university activities")+COUNTIFS('Commercial Evidence'!$A$3:$A$502,$A102,'Commercial Evidence'!$B$3:$B$502,"Sponsors similar events")+COUNTIFS('Commercial Evidence'!$A$3:$A$502,$A102,'Commercial Evidence'!$B$3:$B$502,"Previous CBS Talks partner")&gt;0,1,0))))</f>
        <v/>
      </c>
      <c r="AC102" s="32" t="str">
        <f aca="false">IF($A102="","",IF(COUNT(G102,J102,M102,P102,AB102)&lt;5,"",G102+J102+M102+P102+AB102))</f>
        <v/>
      </c>
      <c r="AD102" s="32" t="str">
        <f aca="false">IF($A102="","",IF(COUNTIFS(Contacts!$A$3:$A$502,$A102,Contacts!$E$3:$E$502,"Champion",Contacts!$K$3:$K$502,"&lt;&gt;Yes",Contacts!$L$3:$L$502,"&lt;&gt;Yes")+COUNTIFS(Opportunities!$A$3:$A$502,$A102,Opportunities!$C$3:$C$502,"Won",Opportunities!$Q$3:$Q$502,"Satisfied")&gt;0,4,IF(COUNTIFS(Interactions!$B$3:$B$502,$A102,Interactions!$I$3:$I$502,"Yes",Interactions!$A$3:$A$502,"&gt;="&amp;(S_Today-S_WarmDays))&gt;0,3,IF(T102&lt;&gt;"",2,IF(COUNTIFS(Contacts!$A$3:$A$502,$A102,Contacts!$M$3:$M$502,"Yes",Contacts!$K$3:$K$502,"&lt;&gt;Yes",Contacts!$L$3:$L$502,"&lt;&gt;Yes")&gt;0,1,0)))))</f>
        <v/>
      </c>
      <c r="AE102" s="32" t="str">
        <f aca="false">IF($A102="","",IF(Z102="Yes","Do not contact",IF(AC102="","Research",IF(AND(AC102&gt;=S_FitHigh,AD102&gt;=S_AccessHigh),"Priority",IF(AC102&gt;=S_FitHigh,"Build a Path",IF(AD102&gt;=S_AccessHigh,"Quick Win","Low Priority"))))))</f>
        <v/>
      </c>
      <c r="AF102" s="33" t="str">
        <f aca="false">IF($A102="","",IF(_xlfn.MAXIFS(Interactions!$A$3:$A$502,Interactions!$B$3:$B$502,$A102)=0,"",_xlfn.MAXIFS(Interactions!$A$3:$A$502,Interactions!$B$3:$B$502,$A102)))</f>
        <v/>
      </c>
      <c r="AG102" s="32" t="str">
        <f aca="false">IF($A102="","",COUNTIFS(Opportunities!$A$3:$A$502,$A102,Opportunities!$X$3:$X$502,"Yes"))</f>
        <v/>
      </c>
      <c r="AH102" s="32" t="str">
        <f aca="false">IF($A102="","",_xlfn.TEXTJOIN(", ",TRUE(),IF(COUNTIF($A$3:$A$502,$A102)&gt;1,"Duplicate name",""),IF(OR(AND(G102=2,I102=""),AND(J102=2,L102=""),AND(M102=2,O102=""),AND(P102=2,R102="")),"Source missing for a 2",""),IF(F102="","No owner",IF(COUNTIFS(R_TeamName,F102,R_TeamActive,"No")&gt;0,"Needs new owner","")),IF(AND(V102="Yes",X102&lt;&gt;"",X102&lt;S_SemStart),"Path overdue",""),IF(AND(S102&lt;&gt;"",S102&lt;S_Today-365),"Stale research",""),IF(AND(AE102="Research",COUNTIF('Commercial Evidence'!$A$3:$A$502,$A102)=0),"Add commercial evidence","")))</f>
        <v/>
      </c>
      <c r="AI102" s="34" t="str">
        <f aca="false">IF(OR($A102="",Z102="Yes"),"",IF(AND(AE102="Priority",AG102=0,COUNTIFS(Opportunities!$A$3:$A$502,$A102,Opportunities!$Y$3:$Y$502,"Renewal due")=0),600000+(10-AC102)*1000+(4-AD102)*100+ROW()/100000,IF(V102="Yes",700000+IF(X102="",0,X102-40000)/10+ROW()/100000,IF(AND(AE102="Quick Win",U102&lt;&gt;"",AG102=0),800000+(10-AC102)*1000+ROW()/100000,IF(AND(AE102="Build a Path",COUNTIF($V$3:$V$502,"Yes")&lt;S_PathCap),900000+(10-AC102)*1000+(4-AD102)*100+ROW()/100000,"")))))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8"/>
      <c r="T103" s="27"/>
      <c r="U103" s="27"/>
      <c r="V103" s="27"/>
      <c r="W103" s="27"/>
      <c r="X103" s="28"/>
      <c r="Y103" s="27"/>
      <c r="Z103" s="27"/>
      <c r="AA103" s="27"/>
      <c r="AB103" s="32" t="str">
        <f aca="false">IF($A103="","",IF(COUNTIF('Commercial Evidence'!$A$3:$A$502,$A103)=0,"",IF(COUNTIFS('Commercial Evidence'!$A$3:$A$502,$A103,'Commercial Evidence'!$B$3:$B$502,"Previous CBS Talks spend")+COUNTIFS('Commercial Evidence'!$A$3:$A$502,$A103,'Commercial Evidence'!$B$3:$B$502,"Sponsors student organisations")&gt;0,2,IF(COUNTIFS('Commercial Evidence'!$A$3:$A$502,$A103,'Commercial Evidence'!$B$3:$B$502,"Sponsors university activities")+COUNTIFS('Commercial Evidence'!$A$3:$A$502,$A103,'Commercial Evidence'!$B$3:$B$502,"Sponsors similar events")+COUNTIFS('Commercial Evidence'!$A$3:$A$502,$A103,'Commercial Evidence'!$B$3:$B$502,"Previous CBS Talks partner")&gt;0,1,0))))</f>
        <v/>
      </c>
      <c r="AC103" s="32" t="str">
        <f aca="false">IF($A103="","",IF(COUNT(G103,J103,M103,P103,AB103)&lt;5,"",G103+J103+M103+P103+AB103))</f>
        <v/>
      </c>
      <c r="AD103" s="32" t="str">
        <f aca="false">IF($A103="","",IF(COUNTIFS(Contacts!$A$3:$A$502,$A103,Contacts!$E$3:$E$502,"Champion",Contacts!$K$3:$K$502,"&lt;&gt;Yes",Contacts!$L$3:$L$502,"&lt;&gt;Yes")+COUNTIFS(Opportunities!$A$3:$A$502,$A103,Opportunities!$C$3:$C$502,"Won",Opportunities!$Q$3:$Q$502,"Satisfied")&gt;0,4,IF(COUNTIFS(Interactions!$B$3:$B$502,$A103,Interactions!$I$3:$I$502,"Yes",Interactions!$A$3:$A$502,"&gt;="&amp;(S_Today-S_WarmDays))&gt;0,3,IF(T103&lt;&gt;"",2,IF(COUNTIFS(Contacts!$A$3:$A$502,$A103,Contacts!$M$3:$M$502,"Yes",Contacts!$K$3:$K$502,"&lt;&gt;Yes",Contacts!$L$3:$L$502,"&lt;&gt;Yes")&gt;0,1,0)))))</f>
        <v/>
      </c>
      <c r="AE103" s="32" t="str">
        <f aca="false">IF($A103="","",IF(Z103="Yes","Do not contact",IF(AC103="","Research",IF(AND(AC103&gt;=S_FitHigh,AD103&gt;=S_AccessHigh),"Priority",IF(AC103&gt;=S_FitHigh,"Build a Path",IF(AD103&gt;=S_AccessHigh,"Quick Win","Low Priority"))))))</f>
        <v/>
      </c>
      <c r="AF103" s="33" t="str">
        <f aca="false">IF($A103="","",IF(_xlfn.MAXIFS(Interactions!$A$3:$A$502,Interactions!$B$3:$B$502,$A103)=0,"",_xlfn.MAXIFS(Interactions!$A$3:$A$502,Interactions!$B$3:$B$502,$A103)))</f>
        <v/>
      </c>
      <c r="AG103" s="32" t="str">
        <f aca="false">IF($A103="","",COUNTIFS(Opportunities!$A$3:$A$502,$A103,Opportunities!$X$3:$X$502,"Yes"))</f>
        <v/>
      </c>
      <c r="AH103" s="32" t="str">
        <f aca="false">IF($A103="","",_xlfn.TEXTJOIN(", ",TRUE(),IF(COUNTIF($A$3:$A$502,$A103)&gt;1,"Duplicate name",""),IF(OR(AND(G103=2,I103=""),AND(J103=2,L103=""),AND(M103=2,O103=""),AND(P103=2,R103="")),"Source missing for a 2",""),IF(F103="","No owner",IF(COUNTIFS(R_TeamName,F103,R_TeamActive,"No")&gt;0,"Needs new owner","")),IF(AND(V103="Yes",X103&lt;&gt;"",X103&lt;S_SemStart),"Path overdue",""),IF(AND(S103&lt;&gt;"",S103&lt;S_Today-365),"Stale research",""),IF(AND(AE103="Research",COUNTIF('Commercial Evidence'!$A$3:$A$502,$A103)=0),"Add commercial evidence","")))</f>
        <v/>
      </c>
      <c r="AI103" s="34" t="str">
        <f aca="false">IF(OR($A103="",Z103="Yes"),"",IF(AND(AE103="Priority",AG103=0,COUNTIFS(Opportunities!$A$3:$A$502,$A103,Opportunities!$Y$3:$Y$502,"Renewal due")=0),600000+(10-AC103)*1000+(4-AD103)*100+ROW()/100000,IF(V103="Yes",700000+IF(X103="",0,X103-40000)/10+ROW()/100000,IF(AND(AE103="Quick Win",U103&lt;&gt;"",AG103=0),800000+(10-AC103)*1000+ROW()/100000,IF(AND(AE103="Build a Path",COUNTIF($V$3:$V$502,"Yes")&lt;S_PathCap),900000+(10-AC103)*1000+(4-AD103)*100+ROW()/100000,"")))))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8"/>
      <c r="T104" s="27"/>
      <c r="U104" s="27"/>
      <c r="V104" s="27"/>
      <c r="W104" s="27"/>
      <c r="X104" s="28"/>
      <c r="Y104" s="27"/>
      <c r="Z104" s="27"/>
      <c r="AA104" s="27"/>
      <c r="AB104" s="32" t="str">
        <f aca="false">IF($A104="","",IF(COUNTIF('Commercial Evidence'!$A$3:$A$502,$A104)=0,"",IF(COUNTIFS('Commercial Evidence'!$A$3:$A$502,$A104,'Commercial Evidence'!$B$3:$B$502,"Previous CBS Talks spend")+COUNTIFS('Commercial Evidence'!$A$3:$A$502,$A104,'Commercial Evidence'!$B$3:$B$502,"Sponsors student organisations")&gt;0,2,IF(COUNTIFS('Commercial Evidence'!$A$3:$A$502,$A104,'Commercial Evidence'!$B$3:$B$502,"Sponsors university activities")+COUNTIFS('Commercial Evidence'!$A$3:$A$502,$A104,'Commercial Evidence'!$B$3:$B$502,"Sponsors similar events")+COUNTIFS('Commercial Evidence'!$A$3:$A$502,$A104,'Commercial Evidence'!$B$3:$B$502,"Previous CBS Talks partner")&gt;0,1,0))))</f>
        <v/>
      </c>
      <c r="AC104" s="32" t="str">
        <f aca="false">IF($A104="","",IF(COUNT(G104,J104,M104,P104,AB104)&lt;5,"",G104+J104+M104+P104+AB104))</f>
        <v/>
      </c>
      <c r="AD104" s="32" t="str">
        <f aca="false">IF($A104="","",IF(COUNTIFS(Contacts!$A$3:$A$502,$A104,Contacts!$E$3:$E$502,"Champion",Contacts!$K$3:$K$502,"&lt;&gt;Yes",Contacts!$L$3:$L$502,"&lt;&gt;Yes")+COUNTIFS(Opportunities!$A$3:$A$502,$A104,Opportunities!$C$3:$C$502,"Won",Opportunities!$Q$3:$Q$502,"Satisfied")&gt;0,4,IF(COUNTIFS(Interactions!$B$3:$B$502,$A104,Interactions!$I$3:$I$502,"Yes",Interactions!$A$3:$A$502,"&gt;="&amp;(S_Today-S_WarmDays))&gt;0,3,IF(T104&lt;&gt;"",2,IF(COUNTIFS(Contacts!$A$3:$A$502,$A104,Contacts!$M$3:$M$502,"Yes",Contacts!$K$3:$K$502,"&lt;&gt;Yes",Contacts!$L$3:$L$502,"&lt;&gt;Yes")&gt;0,1,0)))))</f>
        <v/>
      </c>
      <c r="AE104" s="32" t="str">
        <f aca="false">IF($A104="","",IF(Z104="Yes","Do not contact",IF(AC104="","Research",IF(AND(AC104&gt;=S_FitHigh,AD104&gt;=S_AccessHigh),"Priority",IF(AC104&gt;=S_FitHigh,"Build a Path",IF(AD104&gt;=S_AccessHigh,"Quick Win","Low Priority"))))))</f>
        <v/>
      </c>
      <c r="AF104" s="33" t="str">
        <f aca="false">IF($A104="","",IF(_xlfn.MAXIFS(Interactions!$A$3:$A$502,Interactions!$B$3:$B$502,$A104)=0,"",_xlfn.MAXIFS(Interactions!$A$3:$A$502,Interactions!$B$3:$B$502,$A104)))</f>
        <v/>
      </c>
      <c r="AG104" s="32" t="str">
        <f aca="false">IF($A104="","",COUNTIFS(Opportunities!$A$3:$A$502,$A104,Opportunities!$X$3:$X$502,"Yes"))</f>
        <v/>
      </c>
      <c r="AH104" s="32" t="str">
        <f aca="false">IF($A104="","",_xlfn.TEXTJOIN(", ",TRUE(),IF(COUNTIF($A$3:$A$502,$A104)&gt;1,"Duplicate name",""),IF(OR(AND(G104=2,I104=""),AND(J104=2,L104=""),AND(M104=2,O104=""),AND(P104=2,R104="")),"Source missing for a 2",""),IF(F104="","No owner",IF(COUNTIFS(R_TeamName,F104,R_TeamActive,"No")&gt;0,"Needs new owner","")),IF(AND(V104="Yes",X104&lt;&gt;"",X104&lt;S_SemStart),"Path overdue",""),IF(AND(S104&lt;&gt;"",S104&lt;S_Today-365),"Stale research",""),IF(AND(AE104="Research",COUNTIF('Commercial Evidence'!$A$3:$A$502,$A104)=0),"Add commercial evidence","")))</f>
        <v/>
      </c>
      <c r="AI104" s="34" t="str">
        <f aca="false">IF(OR($A104="",Z104="Yes"),"",IF(AND(AE104="Priority",AG104=0,COUNTIFS(Opportunities!$A$3:$A$502,$A104,Opportunities!$Y$3:$Y$502,"Renewal due")=0),600000+(10-AC104)*1000+(4-AD104)*100+ROW()/100000,IF(V104="Yes",700000+IF(X104="",0,X104-40000)/10+ROW()/100000,IF(AND(AE104="Quick Win",U104&lt;&gt;"",AG104=0),800000+(10-AC104)*1000+ROW()/100000,IF(AND(AE104="Build a Path",COUNTIF($V$3:$V$502,"Yes")&lt;S_PathCap),900000+(10-AC104)*1000+(4-AD104)*100+ROW()/100000,"")))))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8"/>
      <c r="T105" s="27"/>
      <c r="U105" s="27"/>
      <c r="V105" s="27"/>
      <c r="W105" s="27"/>
      <c r="X105" s="28"/>
      <c r="Y105" s="27"/>
      <c r="Z105" s="27"/>
      <c r="AA105" s="27"/>
      <c r="AB105" s="32" t="str">
        <f aca="false">IF($A105="","",IF(COUNTIF('Commercial Evidence'!$A$3:$A$502,$A105)=0,"",IF(COUNTIFS('Commercial Evidence'!$A$3:$A$502,$A105,'Commercial Evidence'!$B$3:$B$502,"Previous CBS Talks spend")+COUNTIFS('Commercial Evidence'!$A$3:$A$502,$A105,'Commercial Evidence'!$B$3:$B$502,"Sponsors student organisations")&gt;0,2,IF(COUNTIFS('Commercial Evidence'!$A$3:$A$502,$A105,'Commercial Evidence'!$B$3:$B$502,"Sponsors university activities")+COUNTIFS('Commercial Evidence'!$A$3:$A$502,$A105,'Commercial Evidence'!$B$3:$B$502,"Sponsors similar events")+COUNTIFS('Commercial Evidence'!$A$3:$A$502,$A105,'Commercial Evidence'!$B$3:$B$502,"Previous CBS Talks partner")&gt;0,1,0))))</f>
        <v/>
      </c>
      <c r="AC105" s="32" t="str">
        <f aca="false">IF($A105="","",IF(COUNT(G105,J105,M105,P105,AB105)&lt;5,"",G105+J105+M105+P105+AB105))</f>
        <v/>
      </c>
      <c r="AD105" s="32" t="str">
        <f aca="false">IF($A105="","",IF(COUNTIFS(Contacts!$A$3:$A$502,$A105,Contacts!$E$3:$E$502,"Champion",Contacts!$K$3:$K$502,"&lt;&gt;Yes",Contacts!$L$3:$L$502,"&lt;&gt;Yes")+COUNTIFS(Opportunities!$A$3:$A$502,$A105,Opportunities!$C$3:$C$502,"Won",Opportunities!$Q$3:$Q$502,"Satisfied")&gt;0,4,IF(COUNTIFS(Interactions!$B$3:$B$502,$A105,Interactions!$I$3:$I$502,"Yes",Interactions!$A$3:$A$502,"&gt;="&amp;(S_Today-S_WarmDays))&gt;0,3,IF(T105&lt;&gt;"",2,IF(COUNTIFS(Contacts!$A$3:$A$502,$A105,Contacts!$M$3:$M$502,"Yes",Contacts!$K$3:$K$502,"&lt;&gt;Yes",Contacts!$L$3:$L$502,"&lt;&gt;Yes")&gt;0,1,0)))))</f>
        <v/>
      </c>
      <c r="AE105" s="32" t="str">
        <f aca="false">IF($A105="","",IF(Z105="Yes","Do not contact",IF(AC105="","Research",IF(AND(AC105&gt;=S_FitHigh,AD105&gt;=S_AccessHigh),"Priority",IF(AC105&gt;=S_FitHigh,"Build a Path",IF(AD105&gt;=S_AccessHigh,"Quick Win","Low Priority"))))))</f>
        <v/>
      </c>
      <c r="AF105" s="33" t="str">
        <f aca="false">IF($A105="","",IF(_xlfn.MAXIFS(Interactions!$A$3:$A$502,Interactions!$B$3:$B$502,$A105)=0,"",_xlfn.MAXIFS(Interactions!$A$3:$A$502,Interactions!$B$3:$B$502,$A105)))</f>
        <v/>
      </c>
      <c r="AG105" s="32" t="str">
        <f aca="false">IF($A105="","",COUNTIFS(Opportunities!$A$3:$A$502,$A105,Opportunities!$X$3:$X$502,"Yes"))</f>
        <v/>
      </c>
      <c r="AH105" s="32" t="str">
        <f aca="false">IF($A105="","",_xlfn.TEXTJOIN(", ",TRUE(),IF(COUNTIF($A$3:$A$502,$A105)&gt;1,"Duplicate name",""),IF(OR(AND(G105=2,I105=""),AND(J105=2,L105=""),AND(M105=2,O105=""),AND(P105=2,R105="")),"Source missing for a 2",""),IF(F105="","No owner",IF(COUNTIFS(R_TeamName,F105,R_TeamActive,"No")&gt;0,"Needs new owner","")),IF(AND(V105="Yes",X105&lt;&gt;"",X105&lt;S_SemStart),"Path overdue",""),IF(AND(S105&lt;&gt;"",S105&lt;S_Today-365),"Stale research",""),IF(AND(AE105="Research",COUNTIF('Commercial Evidence'!$A$3:$A$502,$A105)=0),"Add commercial evidence","")))</f>
        <v/>
      </c>
      <c r="AI105" s="34" t="str">
        <f aca="false">IF(OR($A105="",Z105="Yes"),"",IF(AND(AE105="Priority",AG105=0,COUNTIFS(Opportunities!$A$3:$A$502,$A105,Opportunities!$Y$3:$Y$502,"Renewal due")=0),600000+(10-AC105)*1000+(4-AD105)*100+ROW()/100000,IF(V105="Yes",700000+IF(X105="",0,X105-40000)/10+ROW()/100000,IF(AND(AE105="Quick Win",U105&lt;&gt;"",AG105=0),800000+(10-AC105)*1000+ROW()/100000,IF(AND(AE105="Build a Path",COUNTIF($V$3:$V$502,"Yes")&lt;S_PathCap),900000+(10-AC105)*1000+(4-AD105)*100+ROW()/100000,"")))))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8"/>
      <c r="T106" s="27"/>
      <c r="U106" s="27"/>
      <c r="V106" s="27"/>
      <c r="W106" s="27"/>
      <c r="X106" s="28"/>
      <c r="Y106" s="27"/>
      <c r="Z106" s="27"/>
      <c r="AA106" s="27"/>
      <c r="AB106" s="32" t="str">
        <f aca="false">IF($A106="","",IF(COUNTIF('Commercial Evidence'!$A$3:$A$502,$A106)=0,"",IF(COUNTIFS('Commercial Evidence'!$A$3:$A$502,$A106,'Commercial Evidence'!$B$3:$B$502,"Previous CBS Talks spend")+COUNTIFS('Commercial Evidence'!$A$3:$A$502,$A106,'Commercial Evidence'!$B$3:$B$502,"Sponsors student organisations")&gt;0,2,IF(COUNTIFS('Commercial Evidence'!$A$3:$A$502,$A106,'Commercial Evidence'!$B$3:$B$502,"Sponsors university activities")+COUNTIFS('Commercial Evidence'!$A$3:$A$502,$A106,'Commercial Evidence'!$B$3:$B$502,"Sponsors similar events")+COUNTIFS('Commercial Evidence'!$A$3:$A$502,$A106,'Commercial Evidence'!$B$3:$B$502,"Previous CBS Talks partner")&gt;0,1,0))))</f>
        <v/>
      </c>
      <c r="AC106" s="32" t="str">
        <f aca="false">IF($A106="","",IF(COUNT(G106,J106,M106,P106,AB106)&lt;5,"",G106+J106+M106+P106+AB106))</f>
        <v/>
      </c>
      <c r="AD106" s="32" t="str">
        <f aca="false">IF($A106="","",IF(COUNTIFS(Contacts!$A$3:$A$502,$A106,Contacts!$E$3:$E$502,"Champion",Contacts!$K$3:$K$502,"&lt;&gt;Yes",Contacts!$L$3:$L$502,"&lt;&gt;Yes")+COUNTIFS(Opportunities!$A$3:$A$502,$A106,Opportunities!$C$3:$C$502,"Won",Opportunities!$Q$3:$Q$502,"Satisfied")&gt;0,4,IF(COUNTIFS(Interactions!$B$3:$B$502,$A106,Interactions!$I$3:$I$502,"Yes",Interactions!$A$3:$A$502,"&gt;="&amp;(S_Today-S_WarmDays))&gt;0,3,IF(T106&lt;&gt;"",2,IF(COUNTIFS(Contacts!$A$3:$A$502,$A106,Contacts!$M$3:$M$502,"Yes",Contacts!$K$3:$K$502,"&lt;&gt;Yes",Contacts!$L$3:$L$502,"&lt;&gt;Yes")&gt;0,1,0)))))</f>
        <v/>
      </c>
      <c r="AE106" s="32" t="str">
        <f aca="false">IF($A106="","",IF(Z106="Yes","Do not contact",IF(AC106="","Research",IF(AND(AC106&gt;=S_FitHigh,AD106&gt;=S_AccessHigh),"Priority",IF(AC106&gt;=S_FitHigh,"Build a Path",IF(AD106&gt;=S_AccessHigh,"Quick Win","Low Priority"))))))</f>
        <v/>
      </c>
      <c r="AF106" s="33" t="str">
        <f aca="false">IF($A106="","",IF(_xlfn.MAXIFS(Interactions!$A$3:$A$502,Interactions!$B$3:$B$502,$A106)=0,"",_xlfn.MAXIFS(Interactions!$A$3:$A$502,Interactions!$B$3:$B$502,$A106)))</f>
        <v/>
      </c>
      <c r="AG106" s="32" t="str">
        <f aca="false">IF($A106="","",COUNTIFS(Opportunities!$A$3:$A$502,$A106,Opportunities!$X$3:$X$502,"Yes"))</f>
        <v/>
      </c>
      <c r="AH106" s="32" t="str">
        <f aca="false">IF($A106="","",_xlfn.TEXTJOIN(", ",TRUE(),IF(COUNTIF($A$3:$A$502,$A106)&gt;1,"Duplicate name",""),IF(OR(AND(G106=2,I106=""),AND(J106=2,L106=""),AND(M106=2,O106=""),AND(P106=2,R106="")),"Source missing for a 2",""),IF(F106="","No owner",IF(COUNTIFS(R_TeamName,F106,R_TeamActive,"No")&gt;0,"Needs new owner","")),IF(AND(V106="Yes",X106&lt;&gt;"",X106&lt;S_SemStart),"Path overdue",""),IF(AND(S106&lt;&gt;"",S106&lt;S_Today-365),"Stale research",""),IF(AND(AE106="Research",COUNTIF('Commercial Evidence'!$A$3:$A$502,$A106)=0),"Add commercial evidence","")))</f>
        <v/>
      </c>
      <c r="AI106" s="34" t="str">
        <f aca="false">IF(OR($A106="",Z106="Yes"),"",IF(AND(AE106="Priority",AG106=0,COUNTIFS(Opportunities!$A$3:$A$502,$A106,Opportunities!$Y$3:$Y$502,"Renewal due")=0),600000+(10-AC106)*1000+(4-AD106)*100+ROW()/100000,IF(V106="Yes",700000+IF(X106="",0,X106-40000)/10+ROW()/100000,IF(AND(AE106="Quick Win",U106&lt;&gt;"",AG106=0),800000+(10-AC106)*1000+ROW()/100000,IF(AND(AE106="Build a Path",COUNTIF($V$3:$V$502,"Yes")&lt;S_PathCap),900000+(10-AC106)*1000+(4-AD106)*100+ROW()/100000,"")))))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8"/>
      <c r="T107" s="27"/>
      <c r="U107" s="27"/>
      <c r="V107" s="27"/>
      <c r="W107" s="27"/>
      <c r="X107" s="28"/>
      <c r="Y107" s="27"/>
      <c r="Z107" s="27"/>
      <c r="AA107" s="27"/>
      <c r="AB107" s="32" t="str">
        <f aca="false">IF($A107="","",IF(COUNTIF('Commercial Evidence'!$A$3:$A$502,$A107)=0,"",IF(COUNTIFS('Commercial Evidence'!$A$3:$A$502,$A107,'Commercial Evidence'!$B$3:$B$502,"Previous CBS Talks spend")+COUNTIFS('Commercial Evidence'!$A$3:$A$502,$A107,'Commercial Evidence'!$B$3:$B$502,"Sponsors student organisations")&gt;0,2,IF(COUNTIFS('Commercial Evidence'!$A$3:$A$502,$A107,'Commercial Evidence'!$B$3:$B$502,"Sponsors university activities")+COUNTIFS('Commercial Evidence'!$A$3:$A$502,$A107,'Commercial Evidence'!$B$3:$B$502,"Sponsors similar events")+COUNTIFS('Commercial Evidence'!$A$3:$A$502,$A107,'Commercial Evidence'!$B$3:$B$502,"Previous CBS Talks partner")&gt;0,1,0))))</f>
        <v/>
      </c>
      <c r="AC107" s="32" t="str">
        <f aca="false">IF($A107="","",IF(COUNT(G107,J107,M107,P107,AB107)&lt;5,"",G107+J107+M107+P107+AB107))</f>
        <v/>
      </c>
      <c r="AD107" s="32" t="str">
        <f aca="false">IF($A107="","",IF(COUNTIFS(Contacts!$A$3:$A$502,$A107,Contacts!$E$3:$E$502,"Champion",Contacts!$K$3:$K$502,"&lt;&gt;Yes",Contacts!$L$3:$L$502,"&lt;&gt;Yes")+COUNTIFS(Opportunities!$A$3:$A$502,$A107,Opportunities!$C$3:$C$502,"Won",Opportunities!$Q$3:$Q$502,"Satisfied")&gt;0,4,IF(COUNTIFS(Interactions!$B$3:$B$502,$A107,Interactions!$I$3:$I$502,"Yes",Interactions!$A$3:$A$502,"&gt;="&amp;(S_Today-S_WarmDays))&gt;0,3,IF(T107&lt;&gt;"",2,IF(COUNTIFS(Contacts!$A$3:$A$502,$A107,Contacts!$M$3:$M$502,"Yes",Contacts!$K$3:$K$502,"&lt;&gt;Yes",Contacts!$L$3:$L$502,"&lt;&gt;Yes")&gt;0,1,0)))))</f>
        <v/>
      </c>
      <c r="AE107" s="32" t="str">
        <f aca="false">IF($A107="","",IF(Z107="Yes","Do not contact",IF(AC107="","Research",IF(AND(AC107&gt;=S_FitHigh,AD107&gt;=S_AccessHigh),"Priority",IF(AC107&gt;=S_FitHigh,"Build a Path",IF(AD107&gt;=S_AccessHigh,"Quick Win","Low Priority"))))))</f>
        <v/>
      </c>
      <c r="AF107" s="33" t="str">
        <f aca="false">IF($A107="","",IF(_xlfn.MAXIFS(Interactions!$A$3:$A$502,Interactions!$B$3:$B$502,$A107)=0,"",_xlfn.MAXIFS(Interactions!$A$3:$A$502,Interactions!$B$3:$B$502,$A107)))</f>
        <v/>
      </c>
      <c r="AG107" s="32" t="str">
        <f aca="false">IF($A107="","",COUNTIFS(Opportunities!$A$3:$A$502,$A107,Opportunities!$X$3:$X$502,"Yes"))</f>
        <v/>
      </c>
      <c r="AH107" s="32" t="str">
        <f aca="false">IF($A107="","",_xlfn.TEXTJOIN(", ",TRUE(),IF(COUNTIF($A$3:$A$502,$A107)&gt;1,"Duplicate name",""),IF(OR(AND(G107=2,I107=""),AND(J107=2,L107=""),AND(M107=2,O107=""),AND(P107=2,R107="")),"Source missing for a 2",""),IF(F107="","No owner",IF(COUNTIFS(R_TeamName,F107,R_TeamActive,"No")&gt;0,"Needs new owner","")),IF(AND(V107="Yes",X107&lt;&gt;"",X107&lt;S_SemStart),"Path overdue",""),IF(AND(S107&lt;&gt;"",S107&lt;S_Today-365),"Stale research",""),IF(AND(AE107="Research",COUNTIF('Commercial Evidence'!$A$3:$A$502,$A107)=0),"Add commercial evidence","")))</f>
        <v/>
      </c>
      <c r="AI107" s="34" t="str">
        <f aca="false">IF(OR($A107="",Z107="Yes"),"",IF(AND(AE107="Priority",AG107=0,COUNTIFS(Opportunities!$A$3:$A$502,$A107,Opportunities!$Y$3:$Y$502,"Renewal due")=0),600000+(10-AC107)*1000+(4-AD107)*100+ROW()/100000,IF(V107="Yes",700000+IF(X107="",0,X107-40000)/10+ROW()/100000,IF(AND(AE107="Quick Win",U107&lt;&gt;"",AG107=0),800000+(10-AC107)*1000+ROW()/100000,IF(AND(AE107="Build a Path",COUNTIF($V$3:$V$502,"Yes")&lt;S_PathCap),900000+(10-AC107)*1000+(4-AD107)*100+ROW()/100000,"")))))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8"/>
      <c r="T108" s="27"/>
      <c r="U108" s="27"/>
      <c r="V108" s="27"/>
      <c r="W108" s="27"/>
      <c r="X108" s="28"/>
      <c r="Y108" s="27"/>
      <c r="Z108" s="27"/>
      <c r="AA108" s="27"/>
      <c r="AB108" s="32" t="str">
        <f aca="false">IF($A108="","",IF(COUNTIF('Commercial Evidence'!$A$3:$A$502,$A108)=0,"",IF(COUNTIFS('Commercial Evidence'!$A$3:$A$502,$A108,'Commercial Evidence'!$B$3:$B$502,"Previous CBS Talks spend")+COUNTIFS('Commercial Evidence'!$A$3:$A$502,$A108,'Commercial Evidence'!$B$3:$B$502,"Sponsors student organisations")&gt;0,2,IF(COUNTIFS('Commercial Evidence'!$A$3:$A$502,$A108,'Commercial Evidence'!$B$3:$B$502,"Sponsors university activities")+COUNTIFS('Commercial Evidence'!$A$3:$A$502,$A108,'Commercial Evidence'!$B$3:$B$502,"Sponsors similar events")+COUNTIFS('Commercial Evidence'!$A$3:$A$502,$A108,'Commercial Evidence'!$B$3:$B$502,"Previous CBS Talks partner")&gt;0,1,0))))</f>
        <v/>
      </c>
      <c r="AC108" s="32" t="str">
        <f aca="false">IF($A108="","",IF(COUNT(G108,J108,M108,P108,AB108)&lt;5,"",G108+J108+M108+P108+AB108))</f>
        <v/>
      </c>
      <c r="AD108" s="32" t="str">
        <f aca="false">IF($A108="","",IF(COUNTIFS(Contacts!$A$3:$A$502,$A108,Contacts!$E$3:$E$502,"Champion",Contacts!$K$3:$K$502,"&lt;&gt;Yes",Contacts!$L$3:$L$502,"&lt;&gt;Yes")+COUNTIFS(Opportunities!$A$3:$A$502,$A108,Opportunities!$C$3:$C$502,"Won",Opportunities!$Q$3:$Q$502,"Satisfied")&gt;0,4,IF(COUNTIFS(Interactions!$B$3:$B$502,$A108,Interactions!$I$3:$I$502,"Yes",Interactions!$A$3:$A$502,"&gt;="&amp;(S_Today-S_WarmDays))&gt;0,3,IF(T108&lt;&gt;"",2,IF(COUNTIFS(Contacts!$A$3:$A$502,$A108,Contacts!$M$3:$M$502,"Yes",Contacts!$K$3:$K$502,"&lt;&gt;Yes",Contacts!$L$3:$L$502,"&lt;&gt;Yes")&gt;0,1,0)))))</f>
        <v/>
      </c>
      <c r="AE108" s="32" t="str">
        <f aca="false">IF($A108="","",IF(Z108="Yes","Do not contact",IF(AC108="","Research",IF(AND(AC108&gt;=S_FitHigh,AD108&gt;=S_AccessHigh),"Priority",IF(AC108&gt;=S_FitHigh,"Build a Path",IF(AD108&gt;=S_AccessHigh,"Quick Win","Low Priority"))))))</f>
        <v/>
      </c>
      <c r="AF108" s="33" t="str">
        <f aca="false">IF($A108="","",IF(_xlfn.MAXIFS(Interactions!$A$3:$A$502,Interactions!$B$3:$B$502,$A108)=0,"",_xlfn.MAXIFS(Interactions!$A$3:$A$502,Interactions!$B$3:$B$502,$A108)))</f>
        <v/>
      </c>
      <c r="AG108" s="32" t="str">
        <f aca="false">IF($A108="","",COUNTIFS(Opportunities!$A$3:$A$502,$A108,Opportunities!$X$3:$X$502,"Yes"))</f>
        <v/>
      </c>
      <c r="AH108" s="32" t="str">
        <f aca="false">IF($A108="","",_xlfn.TEXTJOIN(", ",TRUE(),IF(COUNTIF($A$3:$A$502,$A108)&gt;1,"Duplicate name",""),IF(OR(AND(G108=2,I108=""),AND(J108=2,L108=""),AND(M108=2,O108=""),AND(P108=2,R108="")),"Source missing for a 2",""),IF(F108="","No owner",IF(COUNTIFS(R_TeamName,F108,R_TeamActive,"No")&gt;0,"Needs new owner","")),IF(AND(V108="Yes",X108&lt;&gt;"",X108&lt;S_SemStart),"Path overdue",""),IF(AND(S108&lt;&gt;"",S108&lt;S_Today-365),"Stale research",""),IF(AND(AE108="Research",COUNTIF('Commercial Evidence'!$A$3:$A$502,$A108)=0),"Add commercial evidence","")))</f>
        <v/>
      </c>
      <c r="AI108" s="34" t="str">
        <f aca="false">IF(OR($A108="",Z108="Yes"),"",IF(AND(AE108="Priority",AG108=0,COUNTIFS(Opportunities!$A$3:$A$502,$A108,Opportunities!$Y$3:$Y$502,"Renewal due")=0),600000+(10-AC108)*1000+(4-AD108)*100+ROW()/100000,IF(V108="Yes",700000+IF(X108="",0,X108-40000)/10+ROW()/100000,IF(AND(AE108="Quick Win",U108&lt;&gt;"",AG108=0),800000+(10-AC108)*1000+ROW()/100000,IF(AND(AE108="Build a Path",COUNTIF($V$3:$V$502,"Yes")&lt;S_PathCap),900000+(10-AC108)*1000+(4-AD108)*100+ROW()/100000,"")))))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8"/>
      <c r="T109" s="27"/>
      <c r="U109" s="27"/>
      <c r="V109" s="27"/>
      <c r="W109" s="27"/>
      <c r="X109" s="28"/>
      <c r="Y109" s="27"/>
      <c r="Z109" s="27"/>
      <c r="AA109" s="27"/>
      <c r="AB109" s="32" t="str">
        <f aca="false">IF($A109="","",IF(COUNTIF('Commercial Evidence'!$A$3:$A$502,$A109)=0,"",IF(COUNTIFS('Commercial Evidence'!$A$3:$A$502,$A109,'Commercial Evidence'!$B$3:$B$502,"Previous CBS Talks spend")+COUNTIFS('Commercial Evidence'!$A$3:$A$502,$A109,'Commercial Evidence'!$B$3:$B$502,"Sponsors student organisations")&gt;0,2,IF(COUNTIFS('Commercial Evidence'!$A$3:$A$502,$A109,'Commercial Evidence'!$B$3:$B$502,"Sponsors university activities")+COUNTIFS('Commercial Evidence'!$A$3:$A$502,$A109,'Commercial Evidence'!$B$3:$B$502,"Sponsors similar events")+COUNTIFS('Commercial Evidence'!$A$3:$A$502,$A109,'Commercial Evidence'!$B$3:$B$502,"Previous CBS Talks partner")&gt;0,1,0))))</f>
        <v/>
      </c>
      <c r="AC109" s="32" t="str">
        <f aca="false">IF($A109="","",IF(COUNT(G109,J109,M109,P109,AB109)&lt;5,"",G109+J109+M109+P109+AB109))</f>
        <v/>
      </c>
      <c r="AD109" s="32" t="str">
        <f aca="false">IF($A109="","",IF(COUNTIFS(Contacts!$A$3:$A$502,$A109,Contacts!$E$3:$E$502,"Champion",Contacts!$K$3:$K$502,"&lt;&gt;Yes",Contacts!$L$3:$L$502,"&lt;&gt;Yes")+COUNTIFS(Opportunities!$A$3:$A$502,$A109,Opportunities!$C$3:$C$502,"Won",Opportunities!$Q$3:$Q$502,"Satisfied")&gt;0,4,IF(COUNTIFS(Interactions!$B$3:$B$502,$A109,Interactions!$I$3:$I$502,"Yes",Interactions!$A$3:$A$502,"&gt;="&amp;(S_Today-S_WarmDays))&gt;0,3,IF(T109&lt;&gt;"",2,IF(COUNTIFS(Contacts!$A$3:$A$502,$A109,Contacts!$M$3:$M$502,"Yes",Contacts!$K$3:$K$502,"&lt;&gt;Yes",Contacts!$L$3:$L$502,"&lt;&gt;Yes")&gt;0,1,0)))))</f>
        <v/>
      </c>
      <c r="AE109" s="32" t="str">
        <f aca="false">IF($A109="","",IF(Z109="Yes","Do not contact",IF(AC109="","Research",IF(AND(AC109&gt;=S_FitHigh,AD109&gt;=S_AccessHigh),"Priority",IF(AC109&gt;=S_FitHigh,"Build a Path",IF(AD109&gt;=S_AccessHigh,"Quick Win","Low Priority"))))))</f>
        <v/>
      </c>
      <c r="AF109" s="33" t="str">
        <f aca="false">IF($A109="","",IF(_xlfn.MAXIFS(Interactions!$A$3:$A$502,Interactions!$B$3:$B$502,$A109)=0,"",_xlfn.MAXIFS(Interactions!$A$3:$A$502,Interactions!$B$3:$B$502,$A109)))</f>
        <v/>
      </c>
      <c r="AG109" s="32" t="str">
        <f aca="false">IF($A109="","",COUNTIFS(Opportunities!$A$3:$A$502,$A109,Opportunities!$X$3:$X$502,"Yes"))</f>
        <v/>
      </c>
      <c r="AH109" s="32" t="str">
        <f aca="false">IF($A109="","",_xlfn.TEXTJOIN(", ",TRUE(),IF(COUNTIF($A$3:$A$502,$A109)&gt;1,"Duplicate name",""),IF(OR(AND(G109=2,I109=""),AND(J109=2,L109=""),AND(M109=2,O109=""),AND(P109=2,R109="")),"Source missing for a 2",""),IF(F109="","No owner",IF(COUNTIFS(R_TeamName,F109,R_TeamActive,"No")&gt;0,"Needs new owner","")),IF(AND(V109="Yes",X109&lt;&gt;"",X109&lt;S_SemStart),"Path overdue",""),IF(AND(S109&lt;&gt;"",S109&lt;S_Today-365),"Stale research",""),IF(AND(AE109="Research",COUNTIF('Commercial Evidence'!$A$3:$A$502,$A109)=0),"Add commercial evidence","")))</f>
        <v/>
      </c>
      <c r="AI109" s="34" t="str">
        <f aca="false">IF(OR($A109="",Z109="Yes"),"",IF(AND(AE109="Priority",AG109=0,COUNTIFS(Opportunities!$A$3:$A$502,$A109,Opportunities!$Y$3:$Y$502,"Renewal due")=0),600000+(10-AC109)*1000+(4-AD109)*100+ROW()/100000,IF(V109="Yes",700000+IF(X109="",0,X109-40000)/10+ROW()/100000,IF(AND(AE109="Quick Win",U109&lt;&gt;"",AG109=0),800000+(10-AC109)*1000+ROW()/100000,IF(AND(AE109="Build a Path",COUNTIF($V$3:$V$502,"Yes")&lt;S_PathCap),900000+(10-AC109)*1000+(4-AD109)*100+ROW()/100000,"")))))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8"/>
      <c r="T110" s="27"/>
      <c r="U110" s="27"/>
      <c r="V110" s="27"/>
      <c r="W110" s="27"/>
      <c r="X110" s="28"/>
      <c r="Y110" s="27"/>
      <c r="Z110" s="27"/>
      <c r="AA110" s="27"/>
      <c r="AB110" s="32" t="str">
        <f aca="false">IF($A110="","",IF(COUNTIF('Commercial Evidence'!$A$3:$A$502,$A110)=0,"",IF(COUNTIFS('Commercial Evidence'!$A$3:$A$502,$A110,'Commercial Evidence'!$B$3:$B$502,"Previous CBS Talks spend")+COUNTIFS('Commercial Evidence'!$A$3:$A$502,$A110,'Commercial Evidence'!$B$3:$B$502,"Sponsors student organisations")&gt;0,2,IF(COUNTIFS('Commercial Evidence'!$A$3:$A$502,$A110,'Commercial Evidence'!$B$3:$B$502,"Sponsors university activities")+COUNTIFS('Commercial Evidence'!$A$3:$A$502,$A110,'Commercial Evidence'!$B$3:$B$502,"Sponsors similar events")+COUNTIFS('Commercial Evidence'!$A$3:$A$502,$A110,'Commercial Evidence'!$B$3:$B$502,"Previous CBS Talks partner")&gt;0,1,0))))</f>
        <v/>
      </c>
      <c r="AC110" s="32" t="str">
        <f aca="false">IF($A110="","",IF(COUNT(G110,J110,M110,P110,AB110)&lt;5,"",G110+J110+M110+P110+AB110))</f>
        <v/>
      </c>
      <c r="AD110" s="32" t="str">
        <f aca="false">IF($A110="","",IF(COUNTIFS(Contacts!$A$3:$A$502,$A110,Contacts!$E$3:$E$502,"Champion",Contacts!$K$3:$K$502,"&lt;&gt;Yes",Contacts!$L$3:$L$502,"&lt;&gt;Yes")+COUNTIFS(Opportunities!$A$3:$A$502,$A110,Opportunities!$C$3:$C$502,"Won",Opportunities!$Q$3:$Q$502,"Satisfied")&gt;0,4,IF(COUNTIFS(Interactions!$B$3:$B$502,$A110,Interactions!$I$3:$I$502,"Yes",Interactions!$A$3:$A$502,"&gt;="&amp;(S_Today-S_WarmDays))&gt;0,3,IF(T110&lt;&gt;"",2,IF(COUNTIFS(Contacts!$A$3:$A$502,$A110,Contacts!$M$3:$M$502,"Yes",Contacts!$K$3:$K$502,"&lt;&gt;Yes",Contacts!$L$3:$L$502,"&lt;&gt;Yes")&gt;0,1,0)))))</f>
        <v/>
      </c>
      <c r="AE110" s="32" t="str">
        <f aca="false">IF($A110="","",IF(Z110="Yes","Do not contact",IF(AC110="","Research",IF(AND(AC110&gt;=S_FitHigh,AD110&gt;=S_AccessHigh),"Priority",IF(AC110&gt;=S_FitHigh,"Build a Path",IF(AD110&gt;=S_AccessHigh,"Quick Win","Low Priority"))))))</f>
        <v/>
      </c>
      <c r="AF110" s="33" t="str">
        <f aca="false">IF($A110="","",IF(_xlfn.MAXIFS(Interactions!$A$3:$A$502,Interactions!$B$3:$B$502,$A110)=0,"",_xlfn.MAXIFS(Interactions!$A$3:$A$502,Interactions!$B$3:$B$502,$A110)))</f>
        <v/>
      </c>
      <c r="AG110" s="32" t="str">
        <f aca="false">IF($A110="","",COUNTIFS(Opportunities!$A$3:$A$502,$A110,Opportunities!$X$3:$X$502,"Yes"))</f>
        <v/>
      </c>
      <c r="AH110" s="32" t="str">
        <f aca="false">IF($A110="","",_xlfn.TEXTJOIN(", ",TRUE(),IF(COUNTIF($A$3:$A$502,$A110)&gt;1,"Duplicate name",""),IF(OR(AND(G110=2,I110=""),AND(J110=2,L110=""),AND(M110=2,O110=""),AND(P110=2,R110="")),"Source missing for a 2",""),IF(F110="","No owner",IF(COUNTIFS(R_TeamName,F110,R_TeamActive,"No")&gt;0,"Needs new owner","")),IF(AND(V110="Yes",X110&lt;&gt;"",X110&lt;S_SemStart),"Path overdue",""),IF(AND(S110&lt;&gt;"",S110&lt;S_Today-365),"Stale research",""),IF(AND(AE110="Research",COUNTIF('Commercial Evidence'!$A$3:$A$502,$A110)=0),"Add commercial evidence","")))</f>
        <v/>
      </c>
      <c r="AI110" s="34" t="str">
        <f aca="false">IF(OR($A110="",Z110="Yes"),"",IF(AND(AE110="Priority",AG110=0,COUNTIFS(Opportunities!$A$3:$A$502,$A110,Opportunities!$Y$3:$Y$502,"Renewal due")=0),600000+(10-AC110)*1000+(4-AD110)*100+ROW()/100000,IF(V110="Yes",700000+IF(X110="",0,X110-40000)/10+ROW()/100000,IF(AND(AE110="Quick Win",U110&lt;&gt;"",AG110=0),800000+(10-AC110)*1000+ROW()/100000,IF(AND(AE110="Build a Path",COUNTIF($V$3:$V$502,"Yes")&lt;S_PathCap),900000+(10-AC110)*1000+(4-AD110)*100+ROW()/100000,"")))))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8"/>
      <c r="T111" s="27"/>
      <c r="U111" s="27"/>
      <c r="V111" s="27"/>
      <c r="W111" s="27"/>
      <c r="X111" s="28"/>
      <c r="Y111" s="27"/>
      <c r="Z111" s="27"/>
      <c r="AA111" s="27"/>
      <c r="AB111" s="32" t="str">
        <f aca="false">IF($A111="","",IF(COUNTIF('Commercial Evidence'!$A$3:$A$502,$A111)=0,"",IF(COUNTIFS('Commercial Evidence'!$A$3:$A$502,$A111,'Commercial Evidence'!$B$3:$B$502,"Previous CBS Talks spend")+COUNTIFS('Commercial Evidence'!$A$3:$A$502,$A111,'Commercial Evidence'!$B$3:$B$502,"Sponsors student organisations")&gt;0,2,IF(COUNTIFS('Commercial Evidence'!$A$3:$A$502,$A111,'Commercial Evidence'!$B$3:$B$502,"Sponsors university activities")+COUNTIFS('Commercial Evidence'!$A$3:$A$502,$A111,'Commercial Evidence'!$B$3:$B$502,"Sponsors similar events")+COUNTIFS('Commercial Evidence'!$A$3:$A$502,$A111,'Commercial Evidence'!$B$3:$B$502,"Previous CBS Talks partner")&gt;0,1,0))))</f>
        <v/>
      </c>
      <c r="AC111" s="32" t="str">
        <f aca="false">IF($A111="","",IF(COUNT(G111,J111,M111,P111,AB111)&lt;5,"",G111+J111+M111+P111+AB111))</f>
        <v/>
      </c>
      <c r="AD111" s="32" t="str">
        <f aca="false">IF($A111="","",IF(COUNTIFS(Contacts!$A$3:$A$502,$A111,Contacts!$E$3:$E$502,"Champion",Contacts!$K$3:$K$502,"&lt;&gt;Yes",Contacts!$L$3:$L$502,"&lt;&gt;Yes")+COUNTIFS(Opportunities!$A$3:$A$502,$A111,Opportunities!$C$3:$C$502,"Won",Opportunities!$Q$3:$Q$502,"Satisfied")&gt;0,4,IF(COUNTIFS(Interactions!$B$3:$B$502,$A111,Interactions!$I$3:$I$502,"Yes",Interactions!$A$3:$A$502,"&gt;="&amp;(S_Today-S_WarmDays))&gt;0,3,IF(T111&lt;&gt;"",2,IF(COUNTIFS(Contacts!$A$3:$A$502,$A111,Contacts!$M$3:$M$502,"Yes",Contacts!$K$3:$K$502,"&lt;&gt;Yes",Contacts!$L$3:$L$502,"&lt;&gt;Yes")&gt;0,1,0)))))</f>
        <v/>
      </c>
      <c r="AE111" s="32" t="str">
        <f aca="false">IF($A111="","",IF(Z111="Yes","Do not contact",IF(AC111="","Research",IF(AND(AC111&gt;=S_FitHigh,AD111&gt;=S_AccessHigh),"Priority",IF(AC111&gt;=S_FitHigh,"Build a Path",IF(AD111&gt;=S_AccessHigh,"Quick Win","Low Priority"))))))</f>
        <v/>
      </c>
      <c r="AF111" s="33" t="str">
        <f aca="false">IF($A111="","",IF(_xlfn.MAXIFS(Interactions!$A$3:$A$502,Interactions!$B$3:$B$502,$A111)=0,"",_xlfn.MAXIFS(Interactions!$A$3:$A$502,Interactions!$B$3:$B$502,$A111)))</f>
        <v/>
      </c>
      <c r="AG111" s="32" t="str">
        <f aca="false">IF($A111="","",COUNTIFS(Opportunities!$A$3:$A$502,$A111,Opportunities!$X$3:$X$502,"Yes"))</f>
        <v/>
      </c>
      <c r="AH111" s="32" t="str">
        <f aca="false">IF($A111="","",_xlfn.TEXTJOIN(", ",TRUE(),IF(COUNTIF($A$3:$A$502,$A111)&gt;1,"Duplicate name",""),IF(OR(AND(G111=2,I111=""),AND(J111=2,L111=""),AND(M111=2,O111=""),AND(P111=2,R111="")),"Source missing for a 2",""),IF(F111="","No owner",IF(COUNTIFS(R_TeamName,F111,R_TeamActive,"No")&gt;0,"Needs new owner","")),IF(AND(V111="Yes",X111&lt;&gt;"",X111&lt;S_SemStart),"Path overdue",""),IF(AND(S111&lt;&gt;"",S111&lt;S_Today-365),"Stale research",""),IF(AND(AE111="Research",COUNTIF('Commercial Evidence'!$A$3:$A$502,$A111)=0),"Add commercial evidence","")))</f>
        <v/>
      </c>
      <c r="AI111" s="34" t="str">
        <f aca="false">IF(OR($A111="",Z111="Yes"),"",IF(AND(AE111="Priority",AG111=0,COUNTIFS(Opportunities!$A$3:$A$502,$A111,Opportunities!$Y$3:$Y$502,"Renewal due")=0),600000+(10-AC111)*1000+(4-AD111)*100+ROW()/100000,IF(V111="Yes",700000+IF(X111="",0,X111-40000)/10+ROW()/100000,IF(AND(AE111="Quick Win",U111&lt;&gt;"",AG111=0),800000+(10-AC111)*1000+ROW()/100000,IF(AND(AE111="Build a Path",COUNTIF($V$3:$V$502,"Yes")&lt;S_PathCap),900000+(10-AC111)*1000+(4-AD111)*100+ROW()/100000,"")))))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8"/>
      <c r="T112" s="27"/>
      <c r="U112" s="27"/>
      <c r="V112" s="27"/>
      <c r="W112" s="27"/>
      <c r="X112" s="28"/>
      <c r="Y112" s="27"/>
      <c r="Z112" s="27"/>
      <c r="AA112" s="27"/>
      <c r="AB112" s="32" t="str">
        <f aca="false">IF($A112="","",IF(COUNTIF('Commercial Evidence'!$A$3:$A$502,$A112)=0,"",IF(COUNTIFS('Commercial Evidence'!$A$3:$A$502,$A112,'Commercial Evidence'!$B$3:$B$502,"Previous CBS Talks spend")+COUNTIFS('Commercial Evidence'!$A$3:$A$502,$A112,'Commercial Evidence'!$B$3:$B$502,"Sponsors student organisations")&gt;0,2,IF(COUNTIFS('Commercial Evidence'!$A$3:$A$502,$A112,'Commercial Evidence'!$B$3:$B$502,"Sponsors university activities")+COUNTIFS('Commercial Evidence'!$A$3:$A$502,$A112,'Commercial Evidence'!$B$3:$B$502,"Sponsors similar events")+COUNTIFS('Commercial Evidence'!$A$3:$A$502,$A112,'Commercial Evidence'!$B$3:$B$502,"Previous CBS Talks partner")&gt;0,1,0))))</f>
        <v/>
      </c>
      <c r="AC112" s="32" t="str">
        <f aca="false">IF($A112="","",IF(COUNT(G112,J112,M112,P112,AB112)&lt;5,"",G112+J112+M112+P112+AB112))</f>
        <v/>
      </c>
      <c r="AD112" s="32" t="str">
        <f aca="false">IF($A112="","",IF(COUNTIFS(Contacts!$A$3:$A$502,$A112,Contacts!$E$3:$E$502,"Champion",Contacts!$K$3:$K$502,"&lt;&gt;Yes",Contacts!$L$3:$L$502,"&lt;&gt;Yes")+COUNTIFS(Opportunities!$A$3:$A$502,$A112,Opportunities!$C$3:$C$502,"Won",Opportunities!$Q$3:$Q$502,"Satisfied")&gt;0,4,IF(COUNTIFS(Interactions!$B$3:$B$502,$A112,Interactions!$I$3:$I$502,"Yes",Interactions!$A$3:$A$502,"&gt;="&amp;(S_Today-S_WarmDays))&gt;0,3,IF(T112&lt;&gt;"",2,IF(COUNTIFS(Contacts!$A$3:$A$502,$A112,Contacts!$M$3:$M$502,"Yes",Contacts!$K$3:$K$502,"&lt;&gt;Yes",Contacts!$L$3:$L$502,"&lt;&gt;Yes")&gt;0,1,0)))))</f>
        <v/>
      </c>
      <c r="AE112" s="32" t="str">
        <f aca="false">IF($A112="","",IF(Z112="Yes","Do not contact",IF(AC112="","Research",IF(AND(AC112&gt;=S_FitHigh,AD112&gt;=S_AccessHigh),"Priority",IF(AC112&gt;=S_FitHigh,"Build a Path",IF(AD112&gt;=S_AccessHigh,"Quick Win","Low Priority"))))))</f>
        <v/>
      </c>
      <c r="AF112" s="33" t="str">
        <f aca="false">IF($A112="","",IF(_xlfn.MAXIFS(Interactions!$A$3:$A$502,Interactions!$B$3:$B$502,$A112)=0,"",_xlfn.MAXIFS(Interactions!$A$3:$A$502,Interactions!$B$3:$B$502,$A112)))</f>
        <v/>
      </c>
      <c r="AG112" s="32" t="str">
        <f aca="false">IF($A112="","",COUNTIFS(Opportunities!$A$3:$A$502,$A112,Opportunities!$X$3:$X$502,"Yes"))</f>
        <v/>
      </c>
      <c r="AH112" s="32" t="str">
        <f aca="false">IF($A112="","",_xlfn.TEXTJOIN(", ",TRUE(),IF(COUNTIF($A$3:$A$502,$A112)&gt;1,"Duplicate name",""),IF(OR(AND(G112=2,I112=""),AND(J112=2,L112=""),AND(M112=2,O112=""),AND(P112=2,R112="")),"Source missing for a 2",""),IF(F112="","No owner",IF(COUNTIFS(R_TeamName,F112,R_TeamActive,"No")&gt;0,"Needs new owner","")),IF(AND(V112="Yes",X112&lt;&gt;"",X112&lt;S_SemStart),"Path overdue",""),IF(AND(S112&lt;&gt;"",S112&lt;S_Today-365),"Stale research",""),IF(AND(AE112="Research",COUNTIF('Commercial Evidence'!$A$3:$A$502,$A112)=0),"Add commercial evidence","")))</f>
        <v/>
      </c>
      <c r="AI112" s="34" t="str">
        <f aca="false">IF(OR($A112="",Z112="Yes"),"",IF(AND(AE112="Priority",AG112=0,COUNTIFS(Opportunities!$A$3:$A$502,$A112,Opportunities!$Y$3:$Y$502,"Renewal due")=0),600000+(10-AC112)*1000+(4-AD112)*100+ROW()/100000,IF(V112="Yes",700000+IF(X112="",0,X112-40000)/10+ROW()/100000,IF(AND(AE112="Quick Win",U112&lt;&gt;"",AG112=0),800000+(10-AC112)*1000+ROW()/100000,IF(AND(AE112="Build a Path",COUNTIF($V$3:$V$502,"Yes")&lt;S_PathCap),900000+(10-AC112)*1000+(4-AD112)*100+ROW()/100000,"")))))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8"/>
      <c r="T113" s="27"/>
      <c r="U113" s="27"/>
      <c r="V113" s="27"/>
      <c r="W113" s="27"/>
      <c r="X113" s="28"/>
      <c r="Y113" s="27"/>
      <c r="Z113" s="27"/>
      <c r="AA113" s="27"/>
      <c r="AB113" s="32" t="str">
        <f aca="false">IF($A113="","",IF(COUNTIF('Commercial Evidence'!$A$3:$A$502,$A113)=0,"",IF(COUNTIFS('Commercial Evidence'!$A$3:$A$502,$A113,'Commercial Evidence'!$B$3:$B$502,"Previous CBS Talks spend")+COUNTIFS('Commercial Evidence'!$A$3:$A$502,$A113,'Commercial Evidence'!$B$3:$B$502,"Sponsors student organisations")&gt;0,2,IF(COUNTIFS('Commercial Evidence'!$A$3:$A$502,$A113,'Commercial Evidence'!$B$3:$B$502,"Sponsors university activities")+COUNTIFS('Commercial Evidence'!$A$3:$A$502,$A113,'Commercial Evidence'!$B$3:$B$502,"Sponsors similar events")+COUNTIFS('Commercial Evidence'!$A$3:$A$502,$A113,'Commercial Evidence'!$B$3:$B$502,"Previous CBS Talks partner")&gt;0,1,0))))</f>
        <v/>
      </c>
      <c r="AC113" s="32" t="str">
        <f aca="false">IF($A113="","",IF(COUNT(G113,J113,M113,P113,AB113)&lt;5,"",G113+J113+M113+P113+AB113))</f>
        <v/>
      </c>
      <c r="AD113" s="32" t="str">
        <f aca="false">IF($A113="","",IF(COUNTIFS(Contacts!$A$3:$A$502,$A113,Contacts!$E$3:$E$502,"Champion",Contacts!$K$3:$K$502,"&lt;&gt;Yes",Contacts!$L$3:$L$502,"&lt;&gt;Yes")+COUNTIFS(Opportunities!$A$3:$A$502,$A113,Opportunities!$C$3:$C$502,"Won",Opportunities!$Q$3:$Q$502,"Satisfied")&gt;0,4,IF(COUNTIFS(Interactions!$B$3:$B$502,$A113,Interactions!$I$3:$I$502,"Yes",Interactions!$A$3:$A$502,"&gt;="&amp;(S_Today-S_WarmDays))&gt;0,3,IF(T113&lt;&gt;"",2,IF(COUNTIFS(Contacts!$A$3:$A$502,$A113,Contacts!$M$3:$M$502,"Yes",Contacts!$K$3:$K$502,"&lt;&gt;Yes",Contacts!$L$3:$L$502,"&lt;&gt;Yes")&gt;0,1,0)))))</f>
        <v/>
      </c>
      <c r="AE113" s="32" t="str">
        <f aca="false">IF($A113="","",IF(Z113="Yes","Do not contact",IF(AC113="","Research",IF(AND(AC113&gt;=S_FitHigh,AD113&gt;=S_AccessHigh),"Priority",IF(AC113&gt;=S_FitHigh,"Build a Path",IF(AD113&gt;=S_AccessHigh,"Quick Win","Low Priority"))))))</f>
        <v/>
      </c>
      <c r="AF113" s="33" t="str">
        <f aca="false">IF($A113="","",IF(_xlfn.MAXIFS(Interactions!$A$3:$A$502,Interactions!$B$3:$B$502,$A113)=0,"",_xlfn.MAXIFS(Interactions!$A$3:$A$502,Interactions!$B$3:$B$502,$A113)))</f>
        <v/>
      </c>
      <c r="AG113" s="32" t="str">
        <f aca="false">IF($A113="","",COUNTIFS(Opportunities!$A$3:$A$502,$A113,Opportunities!$X$3:$X$502,"Yes"))</f>
        <v/>
      </c>
      <c r="AH113" s="32" t="str">
        <f aca="false">IF($A113="","",_xlfn.TEXTJOIN(", ",TRUE(),IF(COUNTIF($A$3:$A$502,$A113)&gt;1,"Duplicate name",""),IF(OR(AND(G113=2,I113=""),AND(J113=2,L113=""),AND(M113=2,O113=""),AND(P113=2,R113="")),"Source missing for a 2",""),IF(F113="","No owner",IF(COUNTIFS(R_TeamName,F113,R_TeamActive,"No")&gt;0,"Needs new owner","")),IF(AND(V113="Yes",X113&lt;&gt;"",X113&lt;S_SemStart),"Path overdue",""),IF(AND(S113&lt;&gt;"",S113&lt;S_Today-365),"Stale research",""),IF(AND(AE113="Research",COUNTIF('Commercial Evidence'!$A$3:$A$502,$A113)=0),"Add commercial evidence","")))</f>
        <v/>
      </c>
      <c r="AI113" s="34" t="str">
        <f aca="false">IF(OR($A113="",Z113="Yes"),"",IF(AND(AE113="Priority",AG113=0,COUNTIFS(Opportunities!$A$3:$A$502,$A113,Opportunities!$Y$3:$Y$502,"Renewal due")=0),600000+(10-AC113)*1000+(4-AD113)*100+ROW()/100000,IF(V113="Yes",700000+IF(X113="",0,X113-40000)/10+ROW()/100000,IF(AND(AE113="Quick Win",U113&lt;&gt;"",AG113=0),800000+(10-AC113)*1000+ROW()/100000,IF(AND(AE113="Build a Path",COUNTIF($V$3:$V$502,"Yes")&lt;S_PathCap),900000+(10-AC113)*1000+(4-AD113)*100+ROW()/100000,"")))))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8"/>
      <c r="T114" s="27"/>
      <c r="U114" s="27"/>
      <c r="V114" s="27"/>
      <c r="W114" s="27"/>
      <c r="X114" s="28"/>
      <c r="Y114" s="27"/>
      <c r="Z114" s="27"/>
      <c r="AA114" s="27"/>
      <c r="AB114" s="32" t="str">
        <f aca="false">IF($A114="","",IF(COUNTIF('Commercial Evidence'!$A$3:$A$502,$A114)=0,"",IF(COUNTIFS('Commercial Evidence'!$A$3:$A$502,$A114,'Commercial Evidence'!$B$3:$B$502,"Previous CBS Talks spend")+COUNTIFS('Commercial Evidence'!$A$3:$A$502,$A114,'Commercial Evidence'!$B$3:$B$502,"Sponsors student organisations")&gt;0,2,IF(COUNTIFS('Commercial Evidence'!$A$3:$A$502,$A114,'Commercial Evidence'!$B$3:$B$502,"Sponsors university activities")+COUNTIFS('Commercial Evidence'!$A$3:$A$502,$A114,'Commercial Evidence'!$B$3:$B$502,"Sponsors similar events")+COUNTIFS('Commercial Evidence'!$A$3:$A$502,$A114,'Commercial Evidence'!$B$3:$B$502,"Previous CBS Talks partner")&gt;0,1,0))))</f>
        <v/>
      </c>
      <c r="AC114" s="32" t="str">
        <f aca="false">IF($A114="","",IF(COUNT(G114,J114,M114,P114,AB114)&lt;5,"",G114+J114+M114+P114+AB114))</f>
        <v/>
      </c>
      <c r="AD114" s="32" t="str">
        <f aca="false">IF($A114="","",IF(COUNTIFS(Contacts!$A$3:$A$502,$A114,Contacts!$E$3:$E$502,"Champion",Contacts!$K$3:$K$502,"&lt;&gt;Yes",Contacts!$L$3:$L$502,"&lt;&gt;Yes")+COUNTIFS(Opportunities!$A$3:$A$502,$A114,Opportunities!$C$3:$C$502,"Won",Opportunities!$Q$3:$Q$502,"Satisfied")&gt;0,4,IF(COUNTIFS(Interactions!$B$3:$B$502,$A114,Interactions!$I$3:$I$502,"Yes",Interactions!$A$3:$A$502,"&gt;="&amp;(S_Today-S_WarmDays))&gt;0,3,IF(T114&lt;&gt;"",2,IF(COUNTIFS(Contacts!$A$3:$A$502,$A114,Contacts!$M$3:$M$502,"Yes",Contacts!$K$3:$K$502,"&lt;&gt;Yes",Contacts!$L$3:$L$502,"&lt;&gt;Yes")&gt;0,1,0)))))</f>
        <v/>
      </c>
      <c r="AE114" s="32" t="str">
        <f aca="false">IF($A114="","",IF(Z114="Yes","Do not contact",IF(AC114="","Research",IF(AND(AC114&gt;=S_FitHigh,AD114&gt;=S_AccessHigh),"Priority",IF(AC114&gt;=S_FitHigh,"Build a Path",IF(AD114&gt;=S_AccessHigh,"Quick Win","Low Priority"))))))</f>
        <v/>
      </c>
      <c r="AF114" s="33" t="str">
        <f aca="false">IF($A114="","",IF(_xlfn.MAXIFS(Interactions!$A$3:$A$502,Interactions!$B$3:$B$502,$A114)=0,"",_xlfn.MAXIFS(Interactions!$A$3:$A$502,Interactions!$B$3:$B$502,$A114)))</f>
        <v/>
      </c>
      <c r="AG114" s="32" t="str">
        <f aca="false">IF($A114="","",COUNTIFS(Opportunities!$A$3:$A$502,$A114,Opportunities!$X$3:$X$502,"Yes"))</f>
        <v/>
      </c>
      <c r="AH114" s="32" t="str">
        <f aca="false">IF($A114="","",_xlfn.TEXTJOIN(", ",TRUE(),IF(COUNTIF($A$3:$A$502,$A114)&gt;1,"Duplicate name",""),IF(OR(AND(G114=2,I114=""),AND(J114=2,L114=""),AND(M114=2,O114=""),AND(P114=2,R114="")),"Source missing for a 2",""),IF(F114="","No owner",IF(COUNTIFS(R_TeamName,F114,R_TeamActive,"No")&gt;0,"Needs new owner","")),IF(AND(V114="Yes",X114&lt;&gt;"",X114&lt;S_SemStart),"Path overdue",""),IF(AND(S114&lt;&gt;"",S114&lt;S_Today-365),"Stale research",""),IF(AND(AE114="Research",COUNTIF('Commercial Evidence'!$A$3:$A$502,$A114)=0),"Add commercial evidence","")))</f>
        <v/>
      </c>
      <c r="AI114" s="34" t="str">
        <f aca="false">IF(OR($A114="",Z114="Yes"),"",IF(AND(AE114="Priority",AG114=0,COUNTIFS(Opportunities!$A$3:$A$502,$A114,Opportunities!$Y$3:$Y$502,"Renewal due")=0),600000+(10-AC114)*1000+(4-AD114)*100+ROW()/100000,IF(V114="Yes",700000+IF(X114="",0,X114-40000)/10+ROW()/100000,IF(AND(AE114="Quick Win",U114&lt;&gt;"",AG114=0),800000+(10-AC114)*1000+ROW()/100000,IF(AND(AE114="Build a Path",COUNTIF($V$3:$V$502,"Yes")&lt;S_PathCap),900000+(10-AC114)*1000+(4-AD114)*100+ROW()/100000,"")))))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8"/>
      <c r="T115" s="27"/>
      <c r="U115" s="27"/>
      <c r="V115" s="27"/>
      <c r="W115" s="27"/>
      <c r="X115" s="28"/>
      <c r="Y115" s="27"/>
      <c r="Z115" s="27"/>
      <c r="AA115" s="27"/>
      <c r="AB115" s="32" t="str">
        <f aca="false">IF($A115="","",IF(COUNTIF('Commercial Evidence'!$A$3:$A$502,$A115)=0,"",IF(COUNTIFS('Commercial Evidence'!$A$3:$A$502,$A115,'Commercial Evidence'!$B$3:$B$502,"Previous CBS Talks spend")+COUNTIFS('Commercial Evidence'!$A$3:$A$502,$A115,'Commercial Evidence'!$B$3:$B$502,"Sponsors student organisations")&gt;0,2,IF(COUNTIFS('Commercial Evidence'!$A$3:$A$502,$A115,'Commercial Evidence'!$B$3:$B$502,"Sponsors university activities")+COUNTIFS('Commercial Evidence'!$A$3:$A$502,$A115,'Commercial Evidence'!$B$3:$B$502,"Sponsors similar events")+COUNTIFS('Commercial Evidence'!$A$3:$A$502,$A115,'Commercial Evidence'!$B$3:$B$502,"Previous CBS Talks partner")&gt;0,1,0))))</f>
        <v/>
      </c>
      <c r="AC115" s="32" t="str">
        <f aca="false">IF($A115="","",IF(COUNT(G115,J115,M115,P115,AB115)&lt;5,"",G115+J115+M115+P115+AB115))</f>
        <v/>
      </c>
      <c r="AD115" s="32" t="str">
        <f aca="false">IF($A115="","",IF(COUNTIFS(Contacts!$A$3:$A$502,$A115,Contacts!$E$3:$E$502,"Champion",Contacts!$K$3:$K$502,"&lt;&gt;Yes",Contacts!$L$3:$L$502,"&lt;&gt;Yes")+COUNTIFS(Opportunities!$A$3:$A$502,$A115,Opportunities!$C$3:$C$502,"Won",Opportunities!$Q$3:$Q$502,"Satisfied")&gt;0,4,IF(COUNTIFS(Interactions!$B$3:$B$502,$A115,Interactions!$I$3:$I$502,"Yes",Interactions!$A$3:$A$502,"&gt;="&amp;(S_Today-S_WarmDays))&gt;0,3,IF(T115&lt;&gt;"",2,IF(COUNTIFS(Contacts!$A$3:$A$502,$A115,Contacts!$M$3:$M$502,"Yes",Contacts!$K$3:$K$502,"&lt;&gt;Yes",Contacts!$L$3:$L$502,"&lt;&gt;Yes")&gt;0,1,0)))))</f>
        <v/>
      </c>
      <c r="AE115" s="32" t="str">
        <f aca="false">IF($A115="","",IF(Z115="Yes","Do not contact",IF(AC115="","Research",IF(AND(AC115&gt;=S_FitHigh,AD115&gt;=S_AccessHigh),"Priority",IF(AC115&gt;=S_FitHigh,"Build a Path",IF(AD115&gt;=S_AccessHigh,"Quick Win","Low Priority"))))))</f>
        <v/>
      </c>
      <c r="AF115" s="33" t="str">
        <f aca="false">IF($A115="","",IF(_xlfn.MAXIFS(Interactions!$A$3:$A$502,Interactions!$B$3:$B$502,$A115)=0,"",_xlfn.MAXIFS(Interactions!$A$3:$A$502,Interactions!$B$3:$B$502,$A115)))</f>
        <v/>
      </c>
      <c r="AG115" s="32" t="str">
        <f aca="false">IF($A115="","",COUNTIFS(Opportunities!$A$3:$A$502,$A115,Opportunities!$X$3:$X$502,"Yes"))</f>
        <v/>
      </c>
      <c r="AH115" s="32" t="str">
        <f aca="false">IF($A115="","",_xlfn.TEXTJOIN(", ",TRUE(),IF(COUNTIF($A$3:$A$502,$A115)&gt;1,"Duplicate name",""),IF(OR(AND(G115=2,I115=""),AND(J115=2,L115=""),AND(M115=2,O115=""),AND(P115=2,R115="")),"Source missing for a 2",""),IF(F115="","No owner",IF(COUNTIFS(R_TeamName,F115,R_TeamActive,"No")&gt;0,"Needs new owner","")),IF(AND(V115="Yes",X115&lt;&gt;"",X115&lt;S_SemStart),"Path overdue",""),IF(AND(S115&lt;&gt;"",S115&lt;S_Today-365),"Stale research",""),IF(AND(AE115="Research",COUNTIF('Commercial Evidence'!$A$3:$A$502,$A115)=0),"Add commercial evidence","")))</f>
        <v/>
      </c>
      <c r="AI115" s="34" t="str">
        <f aca="false">IF(OR($A115="",Z115="Yes"),"",IF(AND(AE115="Priority",AG115=0,COUNTIFS(Opportunities!$A$3:$A$502,$A115,Opportunities!$Y$3:$Y$502,"Renewal due")=0),600000+(10-AC115)*1000+(4-AD115)*100+ROW()/100000,IF(V115="Yes",700000+IF(X115="",0,X115-40000)/10+ROW()/100000,IF(AND(AE115="Quick Win",U115&lt;&gt;"",AG115=0),800000+(10-AC115)*1000+ROW()/100000,IF(AND(AE115="Build a Path",COUNTIF($V$3:$V$502,"Yes")&lt;S_PathCap),900000+(10-AC115)*1000+(4-AD115)*100+ROW()/100000,"")))))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8"/>
      <c r="T116" s="27"/>
      <c r="U116" s="27"/>
      <c r="V116" s="27"/>
      <c r="W116" s="27"/>
      <c r="X116" s="28"/>
      <c r="Y116" s="27"/>
      <c r="Z116" s="27"/>
      <c r="AA116" s="27"/>
      <c r="AB116" s="32" t="str">
        <f aca="false">IF($A116="","",IF(COUNTIF('Commercial Evidence'!$A$3:$A$502,$A116)=0,"",IF(COUNTIFS('Commercial Evidence'!$A$3:$A$502,$A116,'Commercial Evidence'!$B$3:$B$502,"Previous CBS Talks spend")+COUNTIFS('Commercial Evidence'!$A$3:$A$502,$A116,'Commercial Evidence'!$B$3:$B$502,"Sponsors student organisations")&gt;0,2,IF(COUNTIFS('Commercial Evidence'!$A$3:$A$502,$A116,'Commercial Evidence'!$B$3:$B$502,"Sponsors university activities")+COUNTIFS('Commercial Evidence'!$A$3:$A$502,$A116,'Commercial Evidence'!$B$3:$B$502,"Sponsors similar events")+COUNTIFS('Commercial Evidence'!$A$3:$A$502,$A116,'Commercial Evidence'!$B$3:$B$502,"Previous CBS Talks partner")&gt;0,1,0))))</f>
        <v/>
      </c>
      <c r="AC116" s="32" t="str">
        <f aca="false">IF($A116="","",IF(COUNT(G116,J116,M116,P116,AB116)&lt;5,"",G116+J116+M116+P116+AB116))</f>
        <v/>
      </c>
      <c r="AD116" s="32" t="str">
        <f aca="false">IF($A116="","",IF(COUNTIFS(Contacts!$A$3:$A$502,$A116,Contacts!$E$3:$E$502,"Champion",Contacts!$K$3:$K$502,"&lt;&gt;Yes",Contacts!$L$3:$L$502,"&lt;&gt;Yes")+COUNTIFS(Opportunities!$A$3:$A$502,$A116,Opportunities!$C$3:$C$502,"Won",Opportunities!$Q$3:$Q$502,"Satisfied")&gt;0,4,IF(COUNTIFS(Interactions!$B$3:$B$502,$A116,Interactions!$I$3:$I$502,"Yes",Interactions!$A$3:$A$502,"&gt;="&amp;(S_Today-S_WarmDays))&gt;0,3,IF(T116&lt;&gt;"",2,IF(COUNTIFS(Contacts!$A$3:$A$502,$A116,Contacts!$M$3:$M$502,"Yes",Contacts!$K$3:$K$502,"&lt;&gt;Yes",Contacts!$L$3:$L$502,"&lt;&gt;Yes")&gt;0,1,0)))))</f>
        <v/>
      </c>
      <c r="AE116" s="32" t="str">
        <f aca="false">IF($A116="","",IF(Z116="Yes","Do not contact",IF(AC116="","Research",IF(AND(AC116&gt;=S_FitHigh,AD116&gt;=S_AccessHigh),"Priority",IF(AC116&gt;=S_FitHigh,"Build a Path",IF(AD116&gt;=S_AccessHigh,"Quick Win","Low Priority"))))))</f>
        <v/>
      </c>
      <c r="AF116" s="33" t="str">
        <f aca="false">IF($A116="","",IF(_xlfn.MAXIFS(Interactions!$A$3:$A$502,Interactions!$B$3:$B$502,$A116)=0,"",_xlfn.MAXIFS(Interactions!$A$3:$A$502,Interactions!$B$3:$B$502,$A116)))</f>
        <v/>
      </c>
      <c r="AG116" s="32" t="str">
        <f aca="false">IF($A116="","",COUNTIFS(Opportunities!$A$3:$A$502,$A116,Opportunities!$X$3:$X$502,"Yes"))</f>
        <v/>
      </c>
      <c r="AH116" s="32" t="str">
        <f aca="false">IF($A116="","",_xlfn.TEXTJOIN(", ",TRUE(),IF(COUNTIF($A$3:$A$502,$A116)&gt;1,"Duplicate name",""),IF(OR(AND(G116=2,I116=""),AND(J116=2,L116=""),AND(M116=2,O116=""),AND(P116=2,R116="")),"Source missing for a 2",""),IF(F116="","No owner",IF(COUNTIFS(R_TeamName,F116,R_TeamActive,"No")&gt;0,"Needs new owner","")),IF(AND(V116="Yes",X116&lt;&gt;"",X116&lt;S_SemStart),"Path overdue",""),IF(AND(S116&lt;&gt;"",S116&lt;S_Today-365),"Stale research",""),IF(AND(AE116="Research",COUNTIF('Commercial Evidence'!$A$3:$A$502,$A116)=0),"Add commercial evidence","")))</f>
        <v/>
      </c>
      <c r="AI116" s="34" t="str">
        <f aca="false">IF(OR($A116="",Z116="Yes"),"",IF(AND(AE116="Priority",AG116=0,COUNTIFS(Opportunities!$A$3:$A$502,$A116,Opportunities!$Y$3:$Y$502,"Renewal due")=0),600000+(10-AC116)*1000+(4-AD116)*100+ROW()/100000,IF(V116="Yes",700000+IF(X116="",0,X116-40000)/10+ROW()/100000,IF(AND(AE116="Quick Win",U116&lt;&gt;"",AG116=0),800000+(10-AC116)*1000+ROW()/100000,IF(AND(AE116="Build a Path",COUNTIF($V$3:$V$502,"Yes")&lt;S_PathCap),900000+(10-AC116)*1000+(4-AD116)*100+ROW()/100000,"")))))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8"/>
      <c r="T117" s="27"/>
      <c r="U117" s="27"/>
      <c r="V117" s="27"/>
      <c r="W117" s="27"/>
      <c r="X117" s="28"/>
      <c r="Y117" s="27"/>
      <c r="Z117" s="27"/>
      <c r="AA117" s="27"/>
      <c r="AB117" s="32" t="str">
        <f aca="false">IF($A117="","",IF(COUNTIF('Commercial Evidence'!$A$3:$A$502,$A117)=0,"",IF(COUNTIFS('Commercial Evidence'!$A$3:$A$502,$A117,'Commercial Evidence'!$B$3:$B$502,"Previous CBS Talks spend")+COUNTIFS('Commercial Evidence'!$A$3:$A$502,$A117,'Commercial Evidence'!$B$3:$B$502,"Sponsors student organisations")&gt;0,2,IF(COUNTIFS('Commercial Evidence'!$A$3:$A$502,$A117,'Commercial Evidence'!$B$3:$B$502,"Sponsors university activities")+COUNTIFS('Commercial Evidence'!$A$3:$A$502,$A117,'Commercial Evidence'!$B$3:$B$502,"Sponsors similar events")+COUNTIFS('Commercial Evidence'!$A$3:$A$502,$A117,'Commercial Evidence'!$B$3:$B$502,"Previous CBS Talks partner")&gt;0,1,0))))</f>
        <v/>
      </c>
      <c r="AC117" s="32" t="str">
        <f aca="false">IF($A117="","",IF(COUNT(G117,J117,M117,P117,AB117)&lt;5,"",G117+J117+M117+P117+AB117))</f>
        <v/>
      </c>
      <c r="AD117" s="32" t="str">
        <f aca="false">IF($A117="","",IF(COUNTIFS(Contacts!$A$3:$A$502,$A117,Contacts!$E$3:$E$502,"Champion",Contacts!$K$3:$K$502,"&lt;&gt;Yes",Contacts!$L$3:$L$502,"&lt;&gt;Yes")+COUNTIFS(Opportunities!$A$3:$A$502,$A117,Opportunities!$C$3:$C$502,"Won",Opportunities!$Q$3:$Q$502,"Satisfied")&gt;0,4,IF(COUNTIFS(Interactions!$B$3:$B$502,$A117,Interactions!$I$3:$I$502,"Yes",Interactions!$A$3:$A$502,"&gt;="&amp;(S_Today-S_WarmDays))&gt;0,3,IF(T117&lt;&gt;"",2,IF(COUNTIFS(Contacts!$A$3:$A$502,$A117,Contacts!$M$3:$M$502,"Yes",Contacts!$K$3:$K$502,"&lt;&gt;Yes",Contacts!$L$3:$L$502,"&lt;&gt;Yes")&gt;0,1,0)))))</f>
        <v/>
      </c>
      <c r="AE117" s="32" t="str">
        <f aca="false">IF($A117="","",IF(Z117="Yes","Do not contact",IF(AC117="","Research",IF(AND(AC117&gt;=S_FitHigh,AD117&gt;=S_AccessHigh),"Priority",IF(AC117&gt;=S_FitHigh,"Build a Path",IF(AD117&gt;=S_AccessHigh,"Quick Win","Low Priority"))))))</f>
        <v/>
      </c>
      <c r="AF117" s="33" t="str">
        <f aca="false">IF($A117="","",IF(_xlfn.MAXIFS(Interactions!$A$3:$A$502,Interactions!$B$3:$B$502,$A117)=0,"",_xlfn.MAXIFS(Interactions!$A$3:$A$502,Interactions!$B$3:$B$502,$A117)))</f>
        <v/>
      </c>
      <c r="AG117" s="32" t="str">
        <f aca="false">IF($A117="","",COUNTIFS(Opportunities!$A$3:$A$502,$A117,Opportunities!$X$3:$X$502,"Yes"))</f>
        <v/>
      </c>
      <c r="AH117" s="32" t="str">
        <f aca="false">IF($A117="","",_xlfn.TEXTJOIN(", ",TRUE(),IF(COUNTIF($A$3:$A$502,$A117)&gt;1,"Duplicate name",""),IF(OR(AND(G117=2,I117=""),AND(J117=2,L117=""),AND(M117=2,O117=""),AND(P117=2,R117="")),"Source missing for a 2",""),IF(F117="","No owner",IF(COUNTIFS(R_TeamName,F117,R_TeamActive,"No")&gt;0,"Needs new owner","")),IF(AND(V117="Yes",X117&lt;&gt;"",X117&lt;S_SemStart),"Path overdue",""),IF(AND(S117&lt;&gt;"",S117&lt;S_Today-365),"Stale research",""),IF(AND(AE117="Research",COUNTIF('Commercial Evidence'!$A$3:$A$502,$A117)=0),"Add commercial evidence","")))</f>
        <v/>
      </c>
      <c r="AI117" s="34" t="str">
        <f aca="false">IF(OR($A117="",Z117="Yes"),"",IF(AND(AE117="Priority",AG117=0,COUNTIFS(Opportunities!$A$3:$A$502,$A117,Opportunities!$Y$3:$Y$502,"Renewal due")=0),600000+(10-AC117)*1000+(4-AD117)*100+ROW()/100000,IF(V117="Yes",700000+IF(X117="",0,X117-40000)/10+ROW()/100000,IF(AND(AE117="Quick Win",U117&lt;&gt;"",AG117=0),800000+(10-AC117)*1000+ROW()/100000,IF(AND(AE117="Build a Path",COUNTIF($V$3:$V$502,"Yes")&lt;S_PathCap),900000+(10-AC117)*1000+(4-AD117)*100+ROW()/100000,"")))))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8"/>
      <c r="T118" s="27"/>
      <c r="U118" s="27"/>
      <c r="V118" s="27"/>
      <c r="W118" s="27"/>
      <c r="X118" s="28"/>
      <c r="Y118" s="27"/>
      <c r="Z118" s="27"/>
      <c r="AA118" s="27"/>
      <c r="AB118" s="32" t="str">
        <f aca="false">IF($A118="","",IF(COUNTIF('Commercial Evidence'!$A$3:$A$502,$A118)=0,"",IF(COUNTIFS('Commercial Evidence'!$A$3:$A$502,$A118,'Commercial Evidence'!$B$3:$B$502,"Previous CBS Talks spend")+COUNTIFS('Commercial Evidence'!$A$3:$A$502,$A118,'Commercial Evidence'!$B$3:$B$502,"Sponsors student organisations")&gt;0,2,IF(COUNTIFS('Commercial Evidence'!$A$3:$A$502,$A118,'Commercial Evidence'!$B$3:$B$502,"Sponsors university activities")+COUNTIFS('Commercial Evidence'!$A$3:$A$502,$A118,'Commercial Evidence'!$B$3:$B$502,"Sponsors similar events")+COUNTIFS('Commercial Evidence'!$A$3:$A$502,$A118,'Commercial Evidence'!$B$3:$B$502,"Previous CBS Talks partner")&gt;0,1,0))))</f>
        <v/>
      </c>
      <c r="AC118" s="32" t="str">
        <f aca="false">IF($A118="","",IF(COUNT(G118,J118,M118,P118,AB118)&lt;5,"",G118+J118+M118+P118+AB118))</f>
        <v/>
      </c>
      <c r="AD118" s="32" t="str">
        <f aca="false">IF($A118="","",IF(COUNTIFS(Contacts!$A$3:$A$502,$A118,Contacts!$E$3:$E$502,"Champion",Contacts!$K$3:$K$502,"&lt;&gt;Yes",Contacts!$L$3:$L$502,"&lt;&gt;Yes")+COUNTIFS(Opportunities!$A$3:$A$502,$A118,Opportunities!$C$3:$C$502,"Won",Opportunities!$Q$3:$Q$502,"Satisfied")&gt;0,4,IF(COUNTIFS(Interactions!$B$3:$B$502,$A118,Interactions!$I$3:$I$502,"Yes",Interactions!$A$3:$A$502,"&gt;="&amp;(S_Today-S_WarmDays))&gt;0,3,IF(T118&lt;&gt;"",2,IF(COUNTIFS(Contacts!$A$3:$A$502,$A118,Contacts!$M$3:$M$502,"Yes",Contacts!$K$3:$K$502,"&lt;&gt;Yes",Contacts!$L$3:$L$502,"&lt;&gt;Yes")&gt;0,1,0)))))</f>
        <v/>
      </c>
      <c r="AE118" s="32" t="str">
        <f aca="false">IF($A118="","",IF(Z118="Yes","Do not contact",IF(AC118="","Research",IF(AND(AC118&gt;=S_FitHigh,AD118&gt;=S_AccessHigh),"Priority",IF(AC118&gt;=S_FitHigh,"Build a Path",IF(AD118&gt;=S_AccessHigh,"Quick Win","Low Priority"))))))</f>
        <v/>
      </c>
      <c r="AF118" s="33" t="str">
        <f aca="false">IF($A118="","",IF(_xlfn.MAXIFS(Interactions!$A$3:$A$502,Interactions!$B$3:$B$502,$A118)=0,"",_xlfn.MAXIFS(Interactions!$A$3:$A$502,Interactions!$B$3:$B$502,$A118)))</f>
        <v/>
      </c>
      <c r="AG118" s="32" t="str">
        <f aca="false">IF($A118="","",COUNTIFS(Opportunities!$A$3:$A$502,$A118,Opportunities!$X$3:$X$502,"Yes"))</f>
        <v/>
      </c>
      <c r="AH118" s="32" t="str">
        <f aca="false">IF($A118="","",_xlfn.TEXTJOIN(", ",TRUE(),IF(COUNTIF($A$3:$A$502,$A118)&gt;1,"Duplicate name",""),IF(OR(AND(G118=2,I118=""),AND(J118=2,L118=""),AND(M118=2,O118=""),AND(P118=2,R118="")),"Source missing for a 2",""),IF(F118="","No owner",IF(COUNTIFS(R_TeamName,F118,R_TeamActive,"No")&gt;0,"Needs new owner","")),IF(AND(V118="Yes",X118&lt;&gt;"",X118&lt;S_SemStart),"Path overdue",""),IF(AND(S118&lt;&gt;"",S118&lt;S_Today-365),"Stale research",""),IF(AND(AE118="Research",COUNTIF('Commercial Evidence'!$A$3:$A$502,$A118)=0),"Add commercial evidence","")))</f>
        <v/>
      </c>
      <c r="AI118" s="34" t="str">
        <f aca="false">IF(OR($A118="",Z118="Yes"),"",IF(AND(AE118="Priority",AG118=0,COUNTIFS(Opportunities!$A$3:$A$502,$A118,Opportunities!$Y$3:$Y$502,"Renewal due")=0),600000+(10-AC118)*1000+(4-AD118)*100+ROW()/100000,IF(V118="Yes",700000+IF(X118="",0,X118-40000)/10+ROW()/100000,IF(AND(AE118="Quick Win",U118&lt;&gt;"",AG118=0),800000+(10-AC118)*1000+ROW()/100000,IF(AND(AE118="Build a Path",COUNTIF($V$3:$V$502,"Yes")&lt;S_PathCap),900000+(10-AC118)*1000+(4-AD118)*100+ROW()/100000,"")))))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8"/>
      <c r="T119" s="27"/>
      <c r="U119" s="27"/>
      <c r="V119" s="27"/>
      <c r="W119" s="27"/>
      <c r="X119" s="28"/>
      <c r="Y119" s="27"/>
      <c r="Z119" s="27"/>
      <c r="AA119" s="27"/>
      <c r="AB119" s="32" t="str">
        <f aca="false">IF($A119="","",IF(COUNTIF('Commercial Evidence'!$A$3:$A$502,$A119)=0,"",IF(COUNTIFS('Commercial Evidence'!$A$3:$A$502,$A119,'Commercial Evidence'!$B$3:$B$502,"Previous CBS Talks spend")+COUNTIFS('Commercial Evidence'!$A$3:$A$502,$A119,'Commercial Evidence'!$B$3:$B$502,"Sponsors student organisations")&gt;0,2,IF(COUNTIFS('Commercial Evidence'!$A$3:$A$502,$A119,'Commercial Evidence'!$B$3:$B$502,"Sponsors university activities")+COUNTIFS('Commercial Evidence'!$A$3:$A$502,$A119,'Commercial Evidence'!$B$3:$B$502,"Sponsors similar events")+COUNTIFS('Commercial Evidence'!$A$3:$A$502,$A119,'Commercial Evidence'!$B$3:$B$502,"Previous CBS Talks partner")&gt;0,1,0))))</f>
        <v/>
      </c>
      <c r="AC119" s="32" t="str">
        <f aca="false">IF($A119="","",IF(COUNT(G119,J119,M119,P119,AB119)&lt;5,"",G119+J119+M119+P119+AB119))</f>
        <v/>
      </c>
      <c r="AD119" s="32" t="str">
        <f aca="false">IF($A119="","",IF(COUNTIFS(Contacts!$A$3:$A$502,$A119,Contacts!$E$3:$E$502,"Champion",Contacts!$K$3:$K$502,"&lt;&gt;Yes",Contacts!$L$3:$L$502,"&lt;&gt;Yes")+COUNTIFS(Opportunities!$A$3:$A$502,$A119,Opportunities!$C$3:$C$502,"Won",Opportunities!$Q$3:$Q$502,"Satisfied")&gt;0,4,IF(COUNTIFS(Interactions!$B$3:$B$502,$A119,Interactions!$I$3:$I$502,"Yes",Interactions!$A$3:$A$502,"&gt;="&amp;(S_Today-S_WarmDays))&gt;0,3,IF(T119&lt;&gt;"",2,IF(COUNTIFS(Contacts!$A$3:$A$502,$A119,Contacts!$M$3:$M$502,"Yes",Contacts!$K$3:$K$502,"&lt;&gt;Yes",Contacts!$L$3:$L$502,"&lt;&gt;Yes")&gt;0,1,0)))))</f>
        <v/>
      </c>
      <c r="AE119" s="32" t="str">
        <f aca="false">IF($A119="","",IF(Z119="Yes","Do not contact",IF(AC119="","Research",IF(AND(AC119&gt;=S_FitHigh,AD119&gt;=S_AccessHigh),"Priority",IF(AC119&gt;=S_FitHigh,"Build a Path",IF(AD119&gt;=S_AccessHigh,"Quick Win","Low Priority"))))))</f>
        <v/>
      </c>
      <c r="AF119" s="33" t="str">
        <f aca="false">IF($A119="","",IF(_xlfn.MAXIFS(Interactions!$A$3:$A$502,Interactions!$B$3:$B$502,$A119)=0,"",_xlfn.MAXIFS(Interactions!$A$3:$A$502,Interactions!$B$3:$B$502,$A119)))</f>
        <v/>
      </c>
      <c r="AG119" s="32" t="str">
        <f aca="false">IF($A119="","",COUNTIFS(Opportunities!$A$3:$A$502,$A119,Opportunities!$X$3:$X$502,"Yes"))</f>
        <v/>
      </c>
      <c r="AH119" s="32" t="str">
        <f aca="false">IF($A119="","",_xlfn.TEXTJOIN(", ",TRUE(),IF(COUNTIF($A$3:$A$502,$A119)&gt;1,"Duplicate name",""),IF(OR(AND(G119=2,I119=""),AND(J119=2,L119=""),AND(M119=2,O119=""),AND(P119=2,R119="")),"Source missing for a 2",""),IF(F119="","No owner",IF(COUNTIFS(R_TeamName,F119,R_TeamActive,"No")&gt;0,"Needs new owner","")),IF(AND(V119="Yes",X119&lt;&gt;"",X119&lt;S_SemStart),"Path overdue",""),IF(AND(S119&lt;&gt;"",S119&lt;S_Today-365),"Stale research",""),IF(AND(AE119="Research",COUNTIF('Commercial Evidence'!$A$3:$A$502,$A119)=0),"Add commercial evidence","")))</f>
        <v/>
      </c>
      <c r="AI119" s="34" t="str">
        <f aca="false">IF(OR($A119="",Z119="Yes"),"",IF(AND(AE119="Priority",AG119=0,COUNTIFS(Opportunities!$A$3:$A$502,$A119,Opportunities!$Y$3:$Y$502,"Renewal due")=0),600000+(10-AC119)*1000+(4-AD119)*100+ROW()/100000,IF(V119="Yes",700000+IF(X119="",0,X119-40000)/10+ROW()/100000,IF(AND(AE119="Quick Win",U119&lt;&gt;"",AG119=0),800000+(10-AC119)*1000+ROW()/100000,IF(AND(AE119="Build a Path",COUNTIF($V$3:$V$502,"Yes")&lt;S_PathCap),900000+(10-AC119)*1000+(4-AD119)*100+ROW()/100000,"")))))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8"/>
      <c r="T120" s="27"/>
      <c r="U120" s="27"/>
      <c r="V120" s="27"/>
      <c r="W120" s="27"/>
      <c r="X120" s="28"/>
      <c r="Y120" s="27"/>
      <c r="Z120" s="27"/>
      <c r="AA120" s="27"/>
      <c r="AB120" s="32" t="str">
        <f aca="false">IF($A120="","",IF(COUNTIF('Commercial Evidence'!$A$3:$A$502,$A120)=0,"",IF(COUNTIFS('Commercial Evidence'!$A$3:$A$502,$A120,'Commercial Evidence'!$B$3:$B$502,"Previous CBS Talks spend")+COUNTIFS('Commercial Evidence'!$A$3:$A$502,$A120,'Commercial Evidence'!$B$3:$B$502,"Sponsors student organisations")&gt;0,2,IF(COUNTIFS('Commercial Evidence'!$A$3:$A$502,$A120,'Commercial Evidence'!$B$3:$B$502,"Sponsors university activities")+COUNTIFS('Commercial Evidence'!$A$3:$A$502,$A120,'Commercial Evidence'!$B$3:$B$502,"Sponsors similar events")+COUNTIFS('Commercial Evidence'!$A$3:$A$502,$A120,'Commercial Evidence'!$B$3:$B$502,"Previous CBS Talks partner")&gt;0,1,0))))</f>
        <v/>
      </c>
      <c r="AC120" s="32" t="str">
        <f aca="false">IF($A120="","",IF(COUNT(G120,J120,M120,P120,AB120)&lt;5,"",G120+J120+M120+P120+AB120))</f>
        <v/>
      </c>
      <c r="AD120" s="32" t="str">
        <f aca="false">IF($A120="","",IF(COUNTIFS(Contacts!$A$3:$A$502,$A120,Contacts!$E$3:$E$502,"Champion",Contacts!$K$3:$K$502,"&lt;&gt;Yes",Contacts!$L$3:$L$502,"&lt;&gt;Yes")+COUNTIFS(Opportunities!$A$3:$A$502,$A120,Opportunities!$C$3:$C$502,"Won",Opportunities!$Q$3:$Q$502,"Satisfied")&gt;0,4,IF(COUNTIFS(Interactions!$B$3:$B$502,$A120,Interactions!$I$3:$I$502,"Yes",Interactions!$A$3:$A$502,"&gt;="&amp;(S_Today-S_WarmDays))&gt;0,3,IF(T120&lt;&gt;"",2,IF(COUNTIFS(Contacts!$A$3:$A$502,$A120,Contacts!$M$3:$M$502,"Yes",Contacts!$K$3:$K$502,"&lt;&gt;Yes",Contacts!$L$3:$L$502,"&lt;&gt;Yes")&gt;0,1,0)))))</f>
        <v/>
      </c>
      <c r="AE120" s="32" t="str">
        <f aca="false">IF($A120="","",IF(Z120="Yes","Do not contact",IF(AC120="","Research",IF(AND(AC120&gt;=S_FitHigh,AD120&gt;=S_AccessHigh),"Priority",IF(AC120&gt;=S_FitHigh,"Build a Path",IF(AD120&gt;=S_AccessHigh,"Quick Win","Low Priority"))))))</f>
        <v/>
      </c>
      <c r="AF120" s="33" t="str">
        <f aca="false">IF($A120="","",IF(_xlfn.MAXIFS(Interactions!$A$3:$A$502,Interactions!$B$3:$B$502,$A120)=0,"",_xlfn.MAXIFS(Interactions!$A$3:$A$502,Interactions!$B$3:$B$502,$A120)))</f>
        <v/>
      </c>
      <c r="AG120" s="32" t="str">
        <f aca="false">IF($A120="","",COUNTIFS(Opportunities!$A$3:$A$502,$A120,Opportunities!$X$3:$X$502,"Yes"))</f>
        <v/>
      </c>
      <c r="AH120" s="32" t="str">
        <f aca="false">IF($A120="","",_xlfn.TEXTJOIN(", ",TRUE(),IF(COUNTIF($A$3:$A$502,$A120)&gt;1,"Duplicate name",""),IF(OR(AND(G120=2,I120=""),AND(J120=2,L120=""),AND(M120=2,O120=""),AND(P120=2,R120="")),"Source missing for a 2",""),IF(F120="","No owner",IF(COUNTIFS(R_TeamName,F120,R_TeamActive,"No")&gt;0,"Needs new owner","")),IF(AND(V120="Yes",X120&lt;&gt;"",X120&lt;S_SemStart),"Path overdue",""),IF(AND(S120&lt;&gt;"",S120&lt;S_Today-365),"Stale research",""),IF(AND(AE120="Research",COUNTIF('Commercial Evidence'!$A$3:$A$502,$A120)=0),"Add commercial evidence","")))</f>
        <v/>
      </c>
      <c r="AI120" s="34" t="str">
        <f aca="false">IF(OR($A120="",Z120="Yes"),"",IF(AND(AE120="Priority",AG120=0,COUNTIFS(Opportunities!$A$3:$A$502,$A120,Opportunities!$Y$3:$Y$502,"Renewal due")=0),600000+(10-AC120)*1000+(4-AD120)*100+ROW()/100000,IF(V120="Yes",700000+IF(X120="",0,X120-40000)/10+ROW()/100000,IF(AND(AE120="Quick Win",U120&lt;&gt;"",AG120=0),800000+(10-AC120)*1000+ROW()/100000,IF(AND(AE120="Build a Path",COUNTIF($V$3:$V$502,"Yes")&lt;S_PathCap),900000+(10-AC120)*1000+(4-AD120)*100+ROW()/100000,"")))))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8"/>
      <c r="T121" s="27"/>
      <c r="U121" s="27"/>
      <c r="V121" s="27"/>
      <c r="W121" s="27"/>
      <c r="X121" s="28"/>
      <c r="Y121" s="27"/>
      <c r="Z121" s="27"/>
      <c r="AA121" s="27"/>
      <c r="AB121" s="32" t="str">
        <f aca="false">IF($A121="","",IF(COUNTIF('Commercial Evidence'!$A$3:$A$502,$A121)=0,"",IF(COUNTIFS('Commercial Evidence'!$A$3:$A$502,$A121,'Commercial Evidence'!$B$3:$B$502,"Previous CBS Talks spend")+COUNTIFS('Commercial Evidence'!$A$3:$A$502,$A121,'Commercial Evidence'!$B$3:$B$502,"Sponsors student organisations")&gt;0,2,IF(COUNTIFS('Commercial Evidence'!$A$3:$A$502,$A121,'Commercial Evidence'!$B$3:$B$502,"Sponsors university activities")+COUNTIFS('Commercial Evidence'!$A$3:$A$502,$A121,'Commercial Evidence'!$B$3:$B$502,"Sponsors similar events")+COUNTIFS('Commercial Evidence'!$A$3:$A$502,$A121,'Commercial Evidence'!$B$3:$B$502,"Previous CBS Talks partner")&gt;0,1,0))))</f>
        <v/>
      </c>
      <c r="AC121" s="32" t="str">
        <f aca="false">IF($A121="","",IF(COUNT(G121,J121,M121,P121,AB121)&lt;5,"",G121+J121+M121+P121+AB121))</f>
        <v/>
      </c>
      <c r="AD121" s="32" t="str">
        <f aca="false">IF($A121="","",IF(COUNTIFS(Contacts!$A$3:$A$502,$A121,Contacts!$E$3:$E$502,"Champion",Contacts!$K$3:$K$502,"&lt;&gt;Yes",Contacts!$L$3:$L$502,"&lt;&gt;Yes")+COUNTIFS(Opportunities!$A$3:$A$502,$A121,Opportunities!$C$3:$C$502,"Won",Opportunities!$Q$3:$Q$502,"Satisfied")&gt;0,4,IF(COUNTIFS(Interactions!$B$3:$B$502,$A121,Interactions!$I$3:$I$502,"Yes",Interactions!$A$3:$A$502,"&gt;="&amp;(S_Today-S_WarmDays))&gt;0,3,IF(T121&lt;&gt;"",2,IF(COUNTIFS(Contacts!$A$3:$A$502,$A121,Contacts!$M$3:$M$502,"Yes",Contacts!$K$3:$K$502,"&lt;&gt;Yes",Contacts!$L$3:$L$502,"&lt;&gt;Yes")&gt;0,1,0)))))</f>
        <v/>
      </c>
      <c r="AE121" s="32" t="str">
        <f aca="false">IF($A121="","",IF(Z121="Yes","Do not contact",IF(AC121="","Research",IF(AND(AC121&gt;=S_FitHigh,AD121&gt;=S_AccessHigh),"Priority",IF(AC121&gt;=S_FitHigh,"Build a Path",IF(AD121&gt;=S_AccessHigh,"Quick Win","Low Priority"))))))</f>
        <v/>
      </c>
      <c r="AF121" s="33" t="str">
        <f aca="false">IF($A121="","",IF(_xlfn.MAXIFS(Interactions!$A$3:$A$502,Interactions!$B$3:$B$502,$A121)=0,"",_xlfn.MAXIFS(Interactions!$A$3:$A$502,Interactions!$B$3:$B$502,$A121)))</f>
        <v/>
      </c>
      <c r="AG121" s="32" t="str">
        <f aca="false">IF($A121="","",COUNTIFS(Opportunities!$A$3:$A$502,$A121,Opportunities!$X$3:$X$502,"Yes"))</f>
        <v/>
      </c>
      <c r="AH121" s="32" t="str">
        <f aca="false">IF($A121="","",_xlfn.TEXTJOIN(", ",TRUE(),IF(COUNTIF($A$3:$A$502,$A121)&gt;1,"Duplicate name",""),IF(OR(AND(G121=2,I121=""),AND(J121=2,L121=""),AND(M121=2,O121=""),AND(P121=2,R121="")),"Source missing for a 2",""),IF(F121="","No owner",IF(COUNTIFS(R_TeamName,F121,R_TeamActive,"No")&gt;0,"Needs new owner","")),IF(AND(V121="Yes",X121&lt;&gt;"",X121&lt;S_SemStart),"Path overdue",""),IF(AND(S121&lt;&gt;"",S121&lt;S_Today-365),"Stale research",""),IF(AND(AE121="Research",COUNTIF('Commercial Evidence'!$A$3:$A$502,$A121)=0),"Add commercial evidence","")))</f>
        <v/>
      </c>
      <c r="AI121" s="34" t="str">
        <f aca="false">IF(OR($A121="",Z121="Yes"),"",IF(AND(AE121="Priority",AG121=0,COUNTIFS(Opportunities!$A$3:$A$502,$A121,Opportunities!$Y$3:$Y$502,"Renewal due")=0),600000+(10-AC121)*1000+(4-AD121)*100+ROW()/100000,IF(V121="Yes",700000+IF(X121="",0,X121-40000)/10+ROW()/100000,IF(AND(AE121="Quick Win",U121&lt;&gt;"",AG121=0),800000+(10-AC121)*1000+ROW()/100000,IF(AND(AE121="Build a Path",COUNTIF($V$3:$V$502,"Yes")&lt;S_PathCap),900000+(10-AC121)*1000+(4-AD121)*100+ROW()/100000,"")))))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8"/>
      <c r="T122" s="27"/>
      <c r="U122" s="27"/>
      <c r="V122" s="27"/>
      <c r="W122" s="27"/>
      <c r="X122" s="28"/>
      <c r="Y122" s="27"/>
      <c r="Z122" s="27"/>
      <c r="AA122" s="27"/>
      <c r="AB122" s="32" t="str">
        <f aca="false">IF($A122="","",IF(COUNTIF('Commercial Evidence'!$A$3:$A$502,$A122)=0,"",IF(COUNTIFS('Commercial Evidence'!$A$3:$A$502,$A122,'Commercial Evidence'!$B$3:$B$502,"Previous CBS Talks spend")+COUNTIFS('Commercial Evidence'!$A$3:$A$502,$A122,'Commercial Evidence'!$B$3:$B$502,"Sponsors student organisations")&gt;0,2,IF(COUNTIFS('Commercial Evidence'!$A$3:$A$502,$A122,'Commercial Evidence'!$B$3:$B$502,"Sponsors university activities")+COUNTIFS('Commercial Evidence'!$A$3:$A$502,$A122,'Commercial Evidence'!$B$3:$B$502,"Sponsors similar events")+COUNTIFS('Commercial Evidence'!$A$3:$A$502,$A122,'Commercial Evidence'!$B$3:$B$502,"Previous CBS Talks partner")&gt;0,1,0))))</f>
        <v/>
      </c>
      <c r="AC122" s="32" t="str">
        <f aca="false">IF($A122="","",IF(COUNT(G122,J122,M122,P122,AB122)&lt;5,"",G122+J122+M122+P122+AB122))</f>
        <v/>
      </c>
      <c r="AD122" s="32" t="str">
        <f aca="false">IF($A122="","",IF(COUNTIFS(Contacts!$A$3:$A$502,$A122,Contacts!$E$3:$E$502,"Champion",Contacts!$K$3:$K$502,"&lt;&gt;Yes",Contacts!$L$3:$L$502,"&lt;&gt;Yes")+COUNTIFS(Opportunities!$A$3:$A$502,$A122,Opportunities!$C$3:$C$502,"Won",Opportunities!$Q$3:$Q$502,"Satisfied")&gt;0,4,IF(COUNTIFS(Interactions!$B$3:$B$502,$A122,Interactions!$I$3:$I$502,"Yes",Interactions!$A$3:$A$502,"&gt;="&amp;(S_Today-S_WarmDays))&gt;0,3,IF(T122&lt;&gt;"",2,IF(COUNTIFS(Contacts!$A$3:$A$502,$A122,Contacts!$M$3:$M$502,"Yes",Contacts!$K$3:$K$502,"&lt;&gt;Yes",Contacts!$L$3:$L$502,"&lt;&gt;Yes")&gt;0,1,0)))))</f>
        <v/>
      </c>
      <c r="AE122" s="32" t="str">
        <f aca="false">IF($A122="","",IF(Z122="Yes","Do not contact",IF(AC122="","Research",IF(AND(AC122&gt;=S_FitHigh,AD122&gt;=S_AccessHigh),"Priority",IF(AC122&gt;=S_FitHigh,"Build a Path",IF(AD122&gt;=S_AccessHigh,"Quick Win","Low Priority"))))))</f>
        <v/>
      </c>
      <c r="AF122" s="33" t="str">
        <f aca="false">IF($A122="","",IF(_xlfn.MAXIFS(Interactions!$A$3:$A$502,Interactions!$B$3:$B$502,$A122)=0,"",_xlfn.MAXIFS(Interactions!$A$3:$A$502,Interactions!$B$3:$B$502,$A122)))</f>
        <v/>
      </c>
      <c r="AG122" s="32" t="str">
        <f aca="false">IF($A122="","",COUNTIFS(Opportunities!$A$3:$A$502,$A122,Opportunities!$X$3:$X$502,"Yes"))</f>
        <v/>
      </c>
      <c r="AH122" s="32" t="str">
        <f aca="false">IF($A122="","",_xlfn.TEXTJOIN(", ",TRUE(),IF(COUNTIF($A$3:$A$502,$A122)&gt;1,"Duplicate name",""),IF(OR(AND(G122=2,I122=""),AND(J122=2,L122=""),AND(M122=2,O122=""),AND(P122=2,R122="")),"Source missing for a 2",""),IF(F122="","No owner",IF(COUNTIFS(R_TeamName,F122,R_TeamActive,"No")&gt;0,"Needs new owner","")),IF(AND(V122="Yes",X122&lt;&gt;"",X122&lt;S_SemStart),"Path overdue",""),IF(AND(S122&lt;&gt;"",S122&lt;S_Today-365),"Stale research",""),IF(AND(AE122="Research",COUNTIF('Commercial Evidence'!$A$3:$A$502,$A122)=0),"Add commercial evidence","")))</f>
        <v/>
      </c>
      <c r="AI122" s="34" t="str">
        <f aca="false">IF(OR($A122="",Z122="Yes"),"",IF(AND(AE122="Priority",AG122=0,COUNTIFS(Opportunities!$A$3:$A$502,$A122,Opportunities!$Y$3:$Y$502,"Renewal due")=0),600000+(10-AC122)*1000+(4-AD122)*100+ROW()/100000,IF(V122="Yes",700000+IF(X122="",0,X122-40000)/10+ROW()/100000,IF(AND(AE122="Quick Win",U122&lt;&gt;"",AG122=0),800000+(10-AC122)*1000+ROW()/100000,IF(AND(AE122="Build a Path",COUNTIF($V$3:$V$502,"Yes")&lt;S_PathCap),900000+(10-AC122)*1000+(4-AD122)*100+ROW()/100000,"")))))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8"/>
      <c r="T123" s="27"/>
      <c r="U123" s="27"/>
      <c r="V123" s="27"/>
      <c r="W123" s="27"/>
      <c r="X123" s="28"/>
      <c r="Y123" s="27"/>
      <c r="Z123" s="27"/>
      <c r="AA123" s="27"/>
      <c r="AB123" s="32" t="str">
        <f aca="false">IF($A123="","",IF(COUNTIF('Commercial Evidence'!$A$3:$A$502,$A123)=0,"",IF(COUNTIFS('Commercial Evidence'!$A$3:$A$502,$A123,'Commercial Evidence'!$B$3:$B$502,"Previous CBS Talks spend")+COUNTIFS('Commercial Evidence'!$A$3:$A$502,$A123,'Commercial Evidence'!$B$3:$B$502,"Sponsors student organisations")&gt;0,2,IF(COUNTIFS('Commercial Evidence'!$A$3:$A$502,$A123,'Commercial Evidence'!$B$3:$B$502,"Sponsors university activities")+COUNTIFS('Commercial Evidence'!$A$3:$A$502,$A123,'Commercial Evidence'!$B$3:$B$502,"Sponsors similar events")+COUNTIFS('Commercial Evidence'!$A$3:$A$502,$A123,'Commercial Evidence'!$B$3:$B$502,"Previous CBS Talks partner")&gt;0,1,0))))</f>
        <v/>
      </c>
      <c r="AC123" s="32" t="str">
        <f aca="false">IF($A123="","",IF(COUNT(G123,J123,M123,P123,AB123)&lt;5,"",G123+J123+M123+P123+AB123))</f>
        <v/>
      </c>
      <c r="AD123" s="32" t="str">
        <f aca="false">IF($A123="","",IF(COUNTIFS(Contacts!$A$3:$A$502,$A123,Contacts!$E$3:$E$502,"Champion",Contacts!$K$3:$K$502,"&lt;&gt;Yes",Contacts!$L$3:$L$502,"&lt;&gt;Yes")+COUNTIFS(Opportunities!$A$3:$A$502,$A123,Opportunities!$C$3:$C$502,"Won",Opportunities!$Q$3:$Q$502,"Satisfied")&gt;0,4,IF(COUNTIFS(Interactions!$B$3:$B$502,$A123,Interactions!$I$3:$I$502,"Yes",Interactions!$A$3:$A$502,"&gt;="&amp;(S_Today-S_WarmDays))&gt;0,3,IF(T123&lt;&gt;"",2,IF(COUNTIFS(Contacts!$A$3:$A$502,$A123,Contacts!$M$3:$M$502,"Yes",Contacts!$K$3:$K$502,"&lt;&gt;Yes",Contacts!$L$3:$L$502,"&lt;&gt;Yes")&gt;0,1,0)))))</f>
        <v/>
      </c>
      <c r="AE123" s="32" t="str">
        <f aca="false">IF($A123="","",IF(Z123="Yes","Do not contact",IF(AC123="","Research",IF(AND(AC123&gt;=S_FitHigh,AD123&gt;=S_AccessHigh),"Priority",IF(AC123&gt;=S_FitHigh,"Build a Path",IF(AD123&gt;=S_AccessHigh,"Quick Win","Low Priority"))))))</f>
        <v/>
      </c>
      <c r="AF123" s="33" t="str">
        <f aca="false">IF($A123="","",IF(_xlfn.MAXIFS(Interactions!$A$3:$A$502,Interactions!$B$3:$B$502,$A123)=0,"",_xlfn.MAXIFS(Interactions!$A$3:$A$502,Interactions!$B$3:$B$502,$A123)))</f>
        <v/>
      </c>
      <c r="AG123" s="32" t="str">
        <f aca="false">IF($A123="","",COUNTIFS(Opportunities!$A$3:$A$502,$A123,Opportunities!$X$3:$X$502,"Yes"))</f>
        <v/>
      </c>
      <c r="AH123" s="32" t="str">
        <f aca="false">IF($A123="","",_xlfn.TEXTJOIN(", ",TRUE(),IF(COUNTIF($A$3:$A$502,$A123)&gt;1,"Duplicate name",""),IF(OR(AND(G123=2,I123=""),AND(J123=2,L123=""),AND(M123=2,O123=""),AND(P123=2,R123="")),"Source missing for a 2",""),IF(F123="","No owner",IF(COUNTIFS(R_TeamName,F123,R_TeamActive,"No")&gt;0,"Needs new owner","")),IF(AND(V123="Yes",X123&lt;&gt;"",X123&lt;S_SemStart),"Path overdue",""),IF(AND(S123&lt;&gt;"",S123&lt;S_Today-365),"Stale research",""),IF(AND(AE123="Research",COUNTIF('Commercial Evidence'!$A$3:$A$502,$A123)=0),"Add commercial evidence","")))</f>
        <v/>
      </c>
      <c r="AI123" s="34" t="str">
        <f aca="false">IF(OR($A123="",Z123="Yes"),"",IF(AND(AE123="Priority",AG123=0,COUNTIFS(Opportunities!$A$3:$A$502,$A123,Opportunities!$Y$3:$Y$502,"Renewal due")=0),600000+(10-AC123)*1000+(4-AD123)*100+ROW()/100000,IF(V123="Yes",700000+IF(X123="",0,X123-40000)/10+ROW()/100000,IF(AND(AE123="Quick Win",U123&lt;&gt;"",AG123=0),800000+(10-AC123)*1000+ROW()/100000,IF(AND(AE123="Build a Path",COUNTIF($V$3:$V$502,"Yes")&lt;S_PathCap),900000+(10-AC123)*1000+(4-AD123)*100+ROW()/100000,"")))))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8"/>
      <c r="T124" s="27"/>
      <c r="U124" s="27"/>
      <c r="V124" s="27"/>
      <c r="W124" s="27"/>
      <c r="X124" s="28"/>
      <c r="Y124" s="27"/>
      <c r="Z124" s="27"/>
      <c r="AA124" s="27"/>
      <c r="AB124" s="32" t="str">
        <f aca="false">IF($A124="","",IF(COUNTIF('Commercial Evidence'!$A$3:$A$502,$A124)=0,"",IF(COUNTIFS('Commercial Evidence'!$A$3:$A$502,$A124,'Commercial Evidence'!$B$3:$B$502,"Previous CBS Talks spend")+COUNTIFS('Commercial Evidence'!$A$3:$A$502,$A124,'Commercial Evidence'!$B$3:$B$502,"Sponsors student organisations")&gt;0,2,IF(COUNTIFS('Commercial Evidence'!$A$3:$A$502,$A124,'Commercial Evidence'!$B$3:$B$502,"Sponsors university activities")+COUNTIFS('Commercial Evidence'!$A$3:$A$502,$A124,'Commercial Evidence'!$B$3:$B$502,"Sponsors similar events")+COUNTIFS('Commercial Evidence'!$A$3:$A$502,$A124,'Commercial Evidence'!$B$3:$B$502,"Previous CBS Talks partner")&gt;0,1,0))))</f>
        <v/>
      </c>
      <c r="AC124" s="32" t="str">
        <f aca="false">IF($A124="","",IF(COUNT(G124,J124,M124,P124,AB124)&lt;5,"",G124+J124+M124+P124+AB124))</f>
        <v/>
      </c>
      <c r="AD124" s="32" t="str">
        <f aca="false">IF($A124="","",IF(COUNTIFS(Contacts!$A$3:$A$502,$A124,Contacts!$E$3:$E$502,"Champion",Contacts!$K$3:$K$502,"&lt;&gt;Yes",Contacts!$L$3:$L$502,"&lt;&gt;Yes")+COUNTIFS(Opportunities!$A$3:$A$502,$A124,Opportunities!$C$3:$C$502,"Won",Opportunities!$Q$3:$Q$502,"Satisfied")&gt;0,4,IF(COUNTIFS(Interactions!$B$3:$B$502,$A124,Interactions!$I$3:$I$502,"Yes",Interactions!$A$3:$A$502,"&gt;="&amp;(S_Today-S_WarmDays))&gt;0,3,IF(T124&lt;&gt;"",2,IF(COUNTIFS(Contacts!$A$3:$A$502,$A124,Contacts!$M$3:$M$502,"Yes",Contacts!$K$3:$K$502,"&lt;&gt;Yes",Contacts!$L$3:$L$502,"&lt;&gt;Yes")&gt;0,1,0)))))</f>
        <v/>
      </c>
      <c r="AE124" s="32" t="str">
        <f aca="false">IF($A124="","",IF(Z124="Yes","Do not contact",IF(AC124="","Research",IF(AND(AC124&gt;=S_FitHigh,AD124&gt;=S_AccessHigh),"Priority",IF(AC124&gt;=S_FitHigh,"Build a Path",IF(AD124&gt;=S_AccessHigh,"Quick Win","Low Priority"))))))</f>
        <v/>
      </c>
      <c r="AF124" s="33" t="str">
        <f aca="false">IF($A124="","",IF(_xlfn.MAXIFS(Interactions!$A$3:$A$502,Interactions!$B$3:$B$502,$A124)=0,"",_xlfn.MAXIFS(Interactions!$A$3:$A$502,Interactions!$B$3:$B$502,$A124)))</f>
        <v/>
      </c>
      <c r="AG124" s="32" t="str">
        <f aca="false">IF($A124="","",COUNTIFS(Opportunities!$A$3:$A$502,$A124,Opportunities!$X$3:$X$502,"Yes"))</f>
        <v/>
      </c>
      <c r="AH124" s="32" t="str">
        <f aca="false">IF($A124="","",_xlfn.TEXTJOIN(", ",TRUE(),IF(COUNTIF($A$3:$A$502,$A124)&gt;1,"Duplicate name",""),IF(OR(AND(G124=2,I124=""),AND(J124=2,L124=""),AND(M124=2,O124=""),AND(P124=2,R124="")),"Source missing for a 2",""),IF(F124="","No owner",IF(COUNTIFS(R_TeamName,F124,R_TeamActive,"No")&gt;0,"Needs new owner","")),IF(AND(V124="Yes",X124&lt;&gt;"",X124&lt;S_SemStart),"Path overdue",""),IF(AND(S124&lt;&gt;"",S124&lt;S_Today-365),"Stale research",""),IF(AND(AE124="Research",COUNTIF('Commercial Evidence'!$A$3:$A$502,$A124)=0),"Add commercial evidence","")))</f>
        <v/>
      </c>
      <c r="AI124" s="34" t="str">
        <f aca="false">IF(OR($A124="",Z124="Yes"),"",IF(AND(AE124="Priority",AG124=0,COUNTIFS(Opportunities!$A$3:$A$502,$A124,Opportunities!$Y$3:$Y$502,"Renewal due")=0),600000+(10-AC124)*1000+(4-AD124)*100+ROW()/100000,IF(V124="Yes",700000+IF(X124="",0,X124-40000)/10+ROW()/100000,IF(AND(AE124="Quick Win",U124&lt;&gt;"",AG124=0),800000+(10-AC124)*1000+ROW()/100000,IF(AND(AE124="Build a Path",COUNTIF($V$3:$V$502,"Yes")&lt;S_PathCap),900000+(10-AC124)*1000+(4-AD124)*100+ROW()/100000,"")))))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8"/>
      <c r="T125" s="27"/>
      <c r="U125" s="27"/>
      <c r="V125" s="27"/>
      <c r="W125" s="27"/>
      <c r="X125" s="28"/>
      <c r="Y125" s="27"/>
      <c r="Z125" s="27"/>
      <c r="AA125" s="27"/>
      <c r="AB125" s="32" t="str">
        <f aca="false">IF($A125="","",IF(COUNTIF('Commercial Evidence'!$A$3:$A$502,$A125)=0,"",IF(COUNTIFS('Commercial Evidence'!$A$3:$A$502,$A125,'Commercial Evidence'!$B$3:$B$502,"Previous CBS Talks spend")+COUNTIFS('Commercial Evidence'!$A$3:$A$502,$A125,'Commercial Evidence'!$B$3:$B$502,"Sponsors student organisations")&gt;0,2,IF(COUNTIFS('Commercial Evidence'!$A$3:$A$502,$A125,'Commercial Evidence'!$B$3:$B$502,"Sponsors university activities")+COUNTIFS('Commercial Evidence'!$A$3:$A$502,$A125,'Commercial Evidence'!$B$3:$B$502,"Sponsors similar events")+COUNTIFS('Commercial Evidence'!$A$3:$A$502,$A125,'Commercial Evidence'!$B$3:$B$502,"Previous CBS Talks partner")&gt;0,1,0))))</f>
        <v/>
      </c>
      <c r="AC125" s="32" t="str">
        <f aca="false">IF($A125="","",IF(COUNT(G125,J125,M125,P125,AB125)&lt;5,"",G125+J125+M125+P125+AB125))</f>
        <v/>
      </c>
      <c r="AD125" s="32" t="str">
        <f aca="false">IF($A125="","",IF(COUNTIFS(Contacts!$A$3:$A$502,$A125,Contacts!$E$3:$E$502,"Champion",Contacts!$K$3:$K$502,"&lt;&gt;Yes",Contacts!$L$3:$L$502,"&lt;&gt;Yes")+COUNTIFS(Opportunities!$A$3:$A$502,$A125,Opportunities!$C$3:$C$502,"Won",Opportunities!$Q$3:$Q$502,"Satisfied")&gt;0,4,IF(COUNTIFS(Interactions!$B$3:$B$502,$A125,Interactions!$I$3:$I$502,"Yes",Interactions!$A$3:$A$502,"&gt;="&amp;(S_Today-S_WarmDays))&gt;0,3,IF(T125&lt;&gt;"",2,IF(COUNTIFS(Contacts!$A$3:$A$502,$A125,Contacts!$M$3:$M$502,"Yes",Contacts!$K$3:$K$502,"&lt;&gt;Yes",Contacts!$L$3:$L$502,"&lt;&gt;Yes")&gt;0,1,0)))))</f>
        <v/>
      </c>
      <c r="AE125" s="32" t="str">
        <f aca="false">IF($A125="","",IF(Z125="Yes","Do not contact",IF(AC125="","Research",IF(AND(AC125&gt;=S_FitHigh,AD125&gt;=S_AccessHigh),"Priority",IF(AC125&gt;=S_FitHigh,"Build a Path",IF(AD125&gt;=S_AccessHigh,"Quick Win","Low Priority"))))))</f>
        <v/>
      </c>
      <c r="AF125" s="33" t="str">
        <f aca="false">IF($A125="","",IF(_xlfn.MAXIFS(Interactions!$A$3:$A$502,Interactions!$B$3:$B$502,$A125)=0,"",_xlfn.MAXIFS(Interactions!$A$3:$A$502,Interactions!$B$3:$B$502,$A125)))</f>
        <v/>
      </c>
      <c r="AG125" s="32" t="str">
        <f aca="false">IF($A125="","",COUNTIFS(Opportunities!$A$3:$A$502,$A125,Opportunities!$X$3:$X$502,"Yes"))</f>
        <v/>
      </c>
      <c r="AH125" s="32" t="str">
        <f aca="false">IF($A125="","",_xlfn.TEXTJOIN(", ",TRUE(),IF(COUNTIF($A$3:$A$502,$A125)&gt;1,"Duplicate name",""),IF(OR(AND(G125=2,I125=""),AND(J125=2,L125=""),AND(M125=2,O125=""),AND(P125=2,R125="")),"Source missing for a 2",""),IF(F125="","No owner",IF(COUNTIFS(R_TeamName,F125,R_TeamActive,"No")&gt;0,"Needs new owner","")),IF(AND(V125="Yes",X125&lt;&gt;"",X125&lt;S_SemStart),"Path overdue",""),IF(AND(S125&lt;&gt;"",S125&lt;S_Today-365),"Stale research",""),IF(AND(AE125="Research",COUNTIF('Commercial Evidence'!$A$3:$A$502,$A125)=0),"Add commercial evidence","")))</f>
        <v/>
      </c>
      <c r="AI125" s="34" t="str">
        <f aca="false">IF(OR($A125="",Z125="Yes"),"",IF(AND(AE125="Priority",AG125=0,COUNTIFS(Opportunities!$A$3:$A$502,$A125,Opportunities!$Y$3:$Y$502,"Renewal due")=0),600000+(10-AC125)*1000+(4-AD125)*100+ROW()/100000,IF(V125="Yes",700000+IF(X125="",0,X125-40000)/10+ROW()/100000,IF(AND(AE125="Quick Win",U125&lt;&gt;"",AG125=0),800000+(10-AC125)*1000+ROW()/100000,IF(AND(AE125="Build a Path",COUNTIF($V$3:$V$502,"Yes")&lt;S_PathCap),900000+(10-AC125)*1000+(4-AD125)*100+ROW()/100000,"")))))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8"/>
      <c r="T126" s="27"/>
      <c r="U126" s="27"/>
      <c r="V126" s="27"/>
      <c r="W126" s="27"/>
      <c r="X126" s="28"/>
      <c r="Y126" s="27"/>
      <c r="Z126" s="27"/>
      <c r="AA126" s="27"/>
      <c r="AB126" s="32" t="str">
        <f aca="false">IF($A126="","",IF(COUNTIF('Commercial Evidence'!$A$3:$A$502,$A126)=0,"",IF(COUNTIFS('Commercial Evidence'!$A$3:$A$502,$A126,'Commercial Evidence'!$B$3:$B$502,"Previous CBS Talks spend")+COUNTIFS('Commercial Evidence'!$A$3:$A$502,$A126,'Commercial Evidence'!$B$3:$B$502,"Sponsors student organisations")&gt;0,2,IF(COUNTIFS('Commercial Evidence'!$A$3:$A$502,$A126,'Commercial Evidence'!$B$3:$B$502,"Sponsors university activities")+COUNTIFS('Commercial Evidence'!$A$3:$A$502,$A126,'Commercial Evidence'!$B$3:$B$502,"Sponsors similar events")+COUNTIFS('Commercial Evidence'!$A$3:$A$502,$A126,'Commercial Evidence'!$B$3:$B$502,"Previous CBS Talks partner")&gt;0,1,0))))</f>
        <v/>
      </c>
      <c r="AC126" s="32" t="str">
        <f aca="false">IF($A126="","",IF(COUNT(G126,J126,M126,P126,AB126)&lt;5,"",G126+J126+M126+P126+AB126))</f>
        <v/>
      </c>
      <c r="AD126" s="32" t="str">
        <f aca="false">IF($A126="","",IF(COUNTIFS(Contacts!$A$3:$A$502,$A126,Contacts!$E$3:$E$502,"Champion",Contacts!$K$3:$K$502,"&lt;&gt;Yes",Contacts!$L$3:$L$502,"&lt;&gt;Yes")+COUNTIFS(Opportunities!$A$3:$A$502,$A126,Opportunities!$C$3:$C$502,"Won",Opportunities!$Q$3:$Q$502,"Satisfied")&gt;0,4,IF(COUNTIFS(Interactions!$B$3:$B$502,$A126,Interactions!$I$3:$I$502,"Yes",Interactions!$A$3:$A$502,"&gt;="&amp;(S_Today-S_WarmDays))&gt;0,3,IF(T126&lt;&gt;"",2,IF(COUNTIFS(Contacts!$A$3:$A$502,$A126,Contacts!$M$3:$M$502,"Yes",Contacts!$K$3:$K$502,"&lt;&gt;Yes",Contacts!$L$3:$L$502,"&lt;&gt;Yes")&gt;0,1,0)))))</f>
        <v/>
      </c>
      <c r="AE126" s="32" t="str">
        <f aca="false">IF($A126="","",IF(Z126="Yes","Do not contact",IF(AC126="","Research",IF(AND(AC126&gt;=S_FitHigh,AD126&gt;=S_AccessHigh),"Priority",IF(AC126&gt;=S_FitHigh,"Build a Path",IF(AD126&gt;=S_AccessHigh,"Quick Win","Low Priority"))))))</f>
        <v/>
      </c>
      <c r="AF126" s="33" t="str">
        <f aca="false">IF($A126="","",IF(_xlfn.MAXIFS(Interactions!$A$3:$A$502,Interactions!$B$3:$B$502,$A126)=0,"",_xlfn.MAXIFS(Interactions!$A$3:$A$502,Interactions!$B$3:$B$502,$A126)))</f>
        <v/>
      </c>
      <c r="AG126" s="32" t="str">
        <f aca="false">IF($A126="","",COUNTIFS(Opportunities!$A$3:$A$502,$A126,Opportunities!$X$3:$X$502,"Yes"))</f>
        <v/>
      </c>
      <c r="AH126" s="32" t="str">
        <f aca="false">IF($A126="","",_xlfn.TEXTJOIN(", ",TRUE(),IF(COUNTIF($A$3:$A$502,$A126)&gt;1,"Duplicate name",""),IF(OR(AND(G126=2,I126=""),AND(J126=2,L126=""),AND(M126=2,O126=""),AND(P126=2,R126="")),"Source missing for a 2",""),IF(F126="","No owner",IF(COUNTIFS(R_TeamName,F126,R_TeamActive,"No")&gt;0,"Needs new owner","")),IF(AND(V126="Yes",X126&lt;&gt;"",X126&lt;S_SemStart),"Path overdue",""),IF(AND(S126&lt;&gt;"",S126&lt;S_Today-365),"Stale research",""),IF(AND(AE126="Research",COUNTIF('Commercial Evidence'!$A$3:$A$502,$A126)=0),"Add commercial evidence","")))</f>
        <v/>
      </c>
      <c r="AI126" s="34" t="str">
        <f aca="false">IF(OR($A126="",Z126="Yes"),"",IF(AND(AE126="Priority",AG126=0,COUNTIFS(Opportunities!$A$3:$A$502,$A126,Opportunities!$Y$3:$Y$502,"Renewal due")=0),600000+(10-AC126)*1000+(4-AD126)*100+ROW()/100000,IF(V126="Yes",700000+IF(X126="",0,X126-40000)/10+ROW()/100000,IF(AND(AE126="Quick Win",U126&lt;&gt;"",AG126=0),800000+(10-AC126)*1000+ROW()/100000,IF(AND(AE126="Build a Path",COUNTIF($V$3:$V$502,"Yes")&lt;S_PathCap),900000+(10-AC126)*1000+(4-AD126)*100+ROW()/100000,"")))))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8"/>
      <c r="T127" s="27"/>
      <c r="U127" s="27"/>
      <c r="V127" s="27"/>
      <c r="W127" s="27"/>
      <c r="X127" s="28"/>
      <c r="Y127" s="27"/>
      <c r="Z127" s="27"/>
      <c r="AA127" s="27"/>
      <c r="AB127" s="32" t="str">
        <f aca="false">IF($A127="","",IF(COUNTIF('Commercial Evidence'!$A$3:$A$502,$A127)=0,"",IF(COUNTIFS('Commercial Evidence'!$A$3:$A$502,$A127,'Commercial Evidence'!$B$3:$B$502,"Previous CBS Talks spend")+COUNTIFS('Commercial Evidence'!$A$3:$A$502,$A127,'Commercial Evidence'!$B$3:$B$502,"Sponsors student organisations")&gt;0,2,IF(COUNTIFS('Commercial Evidence'!$A$3:$A$502,$A127,'Commercial Evidence'!$B$3:$B$502,"Sponsors university activities")+COUNTIFS('Commercial Evidence'!$A$3:$A$502,$A127,'Commercial Evidence'!$B$3:$B$502,"Sponsors similar events")+COUNTIFS('Commercial Evidence'!$A$3:$A$502,$A127,'Commercial Evidence'!$B$3:$B$502,"Previous CBS Talks partner")&gt;0,1,0))))</f>
        <v/>
      </c>
      <c r="AC127" s="32" t="str">
        <f aca="false">IF($A127="","",IF(COUNT(G127,J127,M127,P127,AB127)&lt;5,"",G127+J127+M127+P127+AB127))</f>
        <v/>
      </c>
      <c r="AD127" s="32" t="str">
        <f aca="false">IF($A127="","",IF(COUNTIFS(Contacts!$A$3:$A$502,$A127,Contacts!$E$3:$E$502,"Champion",Contacts!$K$3:$K$502,"&lt;&gt;Yes",Contacts!$L$3:$L$502,"&lt;&gt;Yes")+COUNTIFS(Opportunities!$A$3:$A$502,$A127,Opportunities!$C$3:$C$502,"Won",Opportunities!$Q$3:$Q$502,"Satisfied")&gt;0,4,IF(COUNTIFS(Interactions!$B$3:$B$502,$A127,Interactions!$I$3:$I$502,"Yes",Interactions!$A$3:$A$502,"&gt;="&amp;(S_Today-S_WarmDays))&gt;0,3,IF(T127&lt;&gt;"",2,IF(COUNTIFS(Contacts!$A$3:$A$502,$A127,Contacts!$M$3:$M$502,"Yes",Contacts!$K$3:$K$502,"&lt;&gt;Yes",Contacts!$L$3:$L$502,"&lt;&gt;Yes")&gt;0,1,0)))))</f>
        <v/>
      </c>
      <c r="AE127" s="32" t="str">
        <f aca="false">IF($A127="","",IF(Z127="Yes","Do not contact",IF(AC127="","Research",IF(AND(AC127&gt;=S_FitHigh,AD127&gt;=S_AccessHigh),"Priority",IF(AC127&gt;=S_FitHigh,"Build a Path",IF(AD127&gt;=S_AccessHigh,"Quick Win","Low Priority"))))))</f>
        <v/>
      </c>
      <c r="AF127" s="33" t="str">
        <f aca="false">IF($A127="","",IF(_xlfn.MAXIFS(Interactions!$A$3:$A$502,Interactions!$B$3:$B$502,$A127)=0,"",_xlfn.MAXIFS(Interactions!$A$3:$A$502,Interactions!$B$3:$B$502,$A127)))</f>
        <v/>
      </c>
      <c r="AG127" s="32" t="str">
        <f aca="false">IF($A127="","",COUNTIFS(Opportunities!$A$3:$A$502,$A127,Opportunities!$X$3:$X$502,"Yes"))</f>
        <v/>
      </c>
      <c r="AH127" s="32" t="str">
        <f aca="false">IF($A127="","",_xlfn.TEXTJOIN(", ",TRUE(),IF(COUNTIF($A$3:$A$502,$A127)&gt;1,"Duplicate name",""),IF(OR(AND(G127=2,I127=""),AND(J127=2,L127=""),AND(M127=2,O127=""),AND(P127=2,R127="")),"Source missing for a 2",""),IF(F127="","No owner",IF(COUNTIFS(R_TeamName,F127,R_TeamActive,"No")&gt;0,"Needs new owner","")),IF(AND(V127="Yes",X127&lt;&gt;"",X127&lt;S_SemStart),"Path overdue",""),IF(AND(S127&lt;&gt;"",S127&lt;S_Today-365),"Stale research",""),IF(AND(AE127="Research",COUNTIF('Commercial Evidence'!$A$3:$A$502,$A127)=0),"Add commercial evidence","")))</f>
        <v/>
      </c>
      <c r="AI127" s="34" t="str">
        <f aca="false">IF(OR($A127="",Z127="Yes"),"",IF(AND(AE127="Priority",AG127=0,COUNTIFS(Opportunities!$A$3:$A$502,$A127,Opportunities!$Y$3:$Y$502,"Renewal due")=0),600000+(10-AC127)*1000+(4-AD127)*100+ROW()/100000,IF(V127="Yes",700000+IF(X127="",0,X127-40000)/10+ROW()/100000,IF(AND(AE127="Quick Win",U127&lt;&gt;"",AG127=0),800000+(10-AC127)*1000+ROW()/100000,IF(AND(AE127="Build a Path",COUNTIF($V$3:$V$502,"Yes")&lt;S_PathCap),900000+(10-AC127)*1000+(4-AD127)*100+ROW()/100000,"")))))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8"/>
      <c r="T128" s="27"/>
      <c r="U128" s="27"/>
      <c r="V128" s="27"/>
      <c r="W128" s="27"/>
      <c r="X128" s="28"/>
      <c r="Y128" s="27"/>
      <c r="Z128" s="27"/>
      <c r="AA128" s="27"/>
      <c r="AB128" s="32" t="str">
        <f aca="false">IF($A128="","",IF(COUNTIF('Commercial Evidence'!$A$3:$A$502,$A128)=0,"",IF(COUNTIFS('Commercial Evidence'!$A$3:$A$502,$A128,'Commercial Evidence'!$B$3:$B$502,"Previous CBS Talks spend")+COUNTIFS('Commercial Evidence'!$A$3:$A$502,$A128,'Commercial Evidence'!$B$3:$B$502,"Sponsors student organisations")&gt;0,2,IF(COUNTIFS('Commercial Evidence'!$A$3:$A$502,$A128,'Commercial Evidence'!$B$3:$B$502,"Sponsors university activities")+COUNTIFS('Commercial Evidence'!$A$3:$A$502,$A128,'Commercial Evidence'!$B$3:$B$502,"Sponsors similar events")+COUNTIFS('Commercial Evidence'!$A$3:$A$502,$A128,'Commercial Evidence'!$B$3:$B$502,"Previous CBS Talks partner")&gt;0,1,0))))</f>
        <v/>
      </c>
      <c r="AC128" s="32" t="str">
        <f aca="false">IF($A128="","",IF(COUNT(G128,J128,M128,P128,AB128)&lt;5,"",G128+J128+M128+P128+AB128))</f>
        <v/>
      </c>
      <c r="AD128" s="32" t="str">
        <f aca="false">IF($A128="","",IF(COUNTIFS(Contacts!$A$3:$A$502,$A128,Contacts!$E$3:$E$502,"Champion",Contacts!$K$3:$K$502,"&lt;&gt;Yes",Contacts!$L$3:$L$502,"&lt;&gt;Yes")+COUNTIFS(Opportunities!$A$3:$A$502,$A128,Opportunities!$C$3:$C$502,"Won",Opportunities!$Q$3:$Q$502,"Satisfied")&gt;0,4,IF(COUNTIFS(Interactions!$B$3:$B$502,$A128,Interactions!$I$3:$I$502,"Yes",Interactions!$A$3:$A$502,"&gt;="&amp;(S_Today-S_WarmDays))&gt;0,3,IF(T128&lt;&gt;"",2,IF(COUNTIFS(Contacts!$A$3:$A$502,$A128,Contacts!$M$3:$M$502,"Yes",Contacts!$K$3:$K$502,"&lt;&gt;Yes",Contacts!$L$3:$L$502,"&lt;&gt;Yes")&gt;0,1,0)))))</f>
        <v/>
      </c>
      <c r="AE128" s="32" t="str">
        <f aca="false">IF($A128="","",IF(Z128="Yes","Do not contact",IF(AC128="","Research",IF(AND(AC128&gt;=S_FitHigh,AD128&gt;=S_AccessHigh),"Priority",IF(AC128&gt;=S_FitHigh,"Build a Path",IF(AD128&gt;=S_AccessHigh,"Quick Win","Low Priority"))))))</f>
        <v/>
      </c>
      <c r="AF128" s="33" t="str">
        <f aca="false">IF($A128="","",IF(_xlfn.MAXIFS(Interactions!$A$3:$A$502,Interactions!$B$3:$B$502,$A128)=0,"",_xlfn.MAXIFS(Interactions!$A$3:$A$502,Interactions!$B$3:$B$502,$A128)))</f>
        <v/>
      </c>
      <c r="AG128" s="32" t="str">
        <f aca="false">IF($A128="","",COUNTIFS(Opportunities!$A$3:$A$502,$A128,Opportunities!$X$3:$X$502,"Yes"))</f>
        <v/>
      </c>
      <c r="AH128" s="32" t="str">
        <f aca="false">IF($A128="","",_xlfn.TEXTJOIN(", ",TRUE(),IF(COUNTIF($A$3:$A$502,$A128)&gt;1,"Duplicate name",""),IF(OR(AND(G128=2,I128=""),AND(J128=2,L128=""),AND(M128=2,O128=""),AND(P128=2,R128="")),"Source missing for a 2",""),IF(F128="","No owner",IF(COUNTIFS(R_TeamName,F128,R_TeamActive,"No")&gt;0,"Needs new owner","")),IF(AND(V128="Yes",X128&lt;&gt;"",X128&lt;S_SemStart),"Path overdue",""),IF(AND(S128&lt;&gt;"",S128&lt;S_Today-365),"Stale research",""),IF(AND(AE128="Research",COUNTIF('Commercial Evidence'!$A$3:$A$502,$A128)=0),"Add commercial evidence","")))</f>
        <v/>
      </c>
      <c r="AI128" s="34" t="str">
        <f aca="false">IF(OR($A128="",Z128="Yes"),"",IF(AND(AE128="Priority",AG128=0,COUNTIFS(Opportunities!$A$3:$A$502,$A128,Opportunities!$Y$3:$Y$502,"Renewal due")=0),600000+(10-AC128)*1000+(4-AD128)*100+ROW()/100000,IF(V128="Yes",700000+IF(X128="",0,X128-40000)/10+ROW()/100000,IF(AND(AE128="Quick Win",U128&lt;&gt;"",AG128=0),800000+(10-AC128)*1000+ROW()/100000,IF(AND(AE128="Build a Path",COUNTIF($V$3:$V$502,"Yes")&lt;S_PathCap),900000+(10-AC128)*1000+(4-AD128)*100+ROW()/100000,"")))))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8"/>
      <c r="T129" s="27"/>
      <c r="U129" s="27"/>
      <c r="V129" s="27"/>
      <c r="W129" s="27"/>
      <c r="X129" s="28"/>
      <c r="Y129" s="27"/>
      <c r="Z129" s="27"/>
      <c r="AA129" s="27"/>
      <c r="AB129" s="32" t="str">
        <f aca="false">IF($A129="","",IF(COUNTIF('Commercial Evidence'!$A$3:$A$502,$A129)=0,"",IF(COUNTIFS('Commercial Evidence'!$A$3:$A$502,$A129,'Commercial Evidence'!$B$3:$B$502,"Previous CBS Talks spend")+COUNTIFS('Commercial Evidence'!$A$3:$A$502,$A129,'Commercial Evidence'!$B$3:$B$502,"Sponsors student organisations")&gt;0,2,IF(COUNTIFS('Commercial Evidence'!$A$3:$A$502,$A129,'Commercial Evidence'!$B$3:$B$502,"Sponsors university activities")+COUNTIFS('Commercial Evidence'!$A$3:$A$502,$A129,'Commercial Evidence'!$B$3:$B$502,"Sponsors similar events")+COUNTIFS('Commercial Evidence'!$A$3:$A$502,$A129,'Commercial Evidence'!$B$3:$B$502,"Previous CBS Talks partner")&gt;0,1,0))))</f>
        <v/>
      </c>
      <c r="AC129" s="32" t="str">
        <f aca="false">IF($A129="","",IF(COUNT(G129,J129,M129,P129,AB129)&lt;5,"",G129+J129+M129+P129+AB129))</f>
        <v/>
      </c>
      <c r="AD129" s="32" t="str">
        <f aca="false">IF($A129="","",IF(COUNTIFS(Contacts!$A$3:$A$502,$A129,Contacts!$E$3:$E$502,"Champion",Contacts!$K$3:$K$502,"&lt;&gt;Yes",Contacts!$L$3:$L$502,"&lt;&gt;Yes")+COUNTIFS(Opportunities!$A$3:$A$502,$A129,Opportunities!$C$3:$C$502,"Won",Opportunities!$Q$3:$Q$502,"Satisfied")&gt;0,4,IF(COUNTIFS(Interactions!$B$3:$B$502,$A129,Interactions!$I$3:$I$502,"Yes",Interactions!$A$3:$A$502,"&gt;="&amp;(S_Today-S_WarmDays))&gt;0,3,IF(T129&lt;&gt;"",2,IF(COUNTIFS(Contacts!$A$3:$A$502,$A129,Contacts!$M$3:$M$502,"Yes",Contacts!$K$3:$K$502,"&lt;&gt;Yes",Contacts!$L$3:$L$502,"&lt;&gt;Yes")&gt;0,1,0)))))</f>
        <v/>
      </c>
      <c r="AE129" s="32" t="str">
        <f aca="false">IF($A129="","",IF(Z129="Yes","Do not contact",IF(AC129="","Research",IF(AND(AC129&gt;=S_FitHigh,AD129&gt;=S_AccessHigh),"Priority",IF(AC129&gt;=S_FitHigh,"Build a Path",IF(AD129&gt;=S_AccessHigh,"Quick Win","Low Priority"))))))</f>
        <v/>
      </c>
      <c r="AF129" s="33" t="str">
        <f aca="false">IF($A129="","",IF(_xlfn.MAXIFS(Interactions!$A$3:$A$502,Interactions!$B$3:$B$502,$A129)=0,"",_xlfn.MAXIFS(Interactions!$A$3:$A$502,Interactions!$B$3:$B$502,$A129)))</f>
        <v/>
      </c>
      <c r="AG129" s="32" t="str">
        <f aca="false">IF($A129="","",COUNTIFS(Opportunities!$A$3:$A$502,$A129,Opportunities!$X$3:$X$502,"Yes"))</f>
        <v/>
      </c>
      <c r="AH129" s="32" t="str">
        <f aca="false">IF($A129="","",_xlfn.TEXTJOIN(", ",TRUE(),IF(COUNTIF($A$3:$A$502,$A129)&gt;1,"Duplicate name",""),IF(OR(AND(G129=2,I129=""),AND(J129=2,L129=""),AND(M129=2,O129=""),AND(P129=2,R129="")),"Source missing for a 2",""),IF(F129="","No owner",IF(COUNTIFS(R_TeamName,F129,R_TeamActive,"No")&gt;0,"Needs new owner","")),IF(AND(V129="Yes",X129&lt;&gt;"",X129&lt;S_SemStart),"Path overdue",""),IF(AND(S129&lt;&gt;"",S129&lt;S_Today-365),"Stale research",""),IF(AND(AE129="Research",COUNTIF('Commercial Evidence'!$A$3:$A$502,$A129)=0),"Add commercial evidence","")))</f>
        <v/>
      </c>
      <c r="AI129" s="34" t="str">
        <f aca="false">IF(OR($A129="",Z129="Yes"),"",IF(AND(AE129="Priority",AG129=0,COUNTIFS(Opportunities!$A$3:$A$502,$A129,Opportunities!$Y$3:$Y$502,"Renewal due")=0),600000+(10-AC129)*1000+(4-AD129)*100+ROW()/100000,IF(V129="Yes",700000+IF(X129="",0,X129-40000)/10+ROW()/100000,IF(AND(AE129="Quick Win",U129&lt;&gt;"",AG129=0),800000+(10-AC129)*1000+ROW()/100000,IF(AND(AE129="Build a Path",COUNTIF($V$3:$V$502,"Yes")&lt;S_PathCap),900000+(10-AC129)*1000+(4-AD129)*100+ROW()/100000,"")))))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8"/>
      <c r="T130" s="27"/>
      <c r="U130" s="27"/>
      <c r="V130" s="27"/>
      <c r="W130" s="27"/>
      <c r="X130" s="28"/>
      <c r="Y130" s="27"/>
      <c r="Z130" s="27"/>
      <c r="AA130" s="27"/>
      <c r="AB130" s="32" t="str">
        <f aca="false">IF($A130="","",IF(COUNTIF('Commercial Evidence'!$A$3:$A$502,$A130)=0,"",IF(COUNTIFS('Commercial Evidence'!$A$3:$A$502,$A130,'Commercial Evidence'!$B$3:$B$502,"Previous CBS Talks spend")+COUNTIFS('Commercial Evidence'!$A$3:$A$502,$A130,'Commercial Evidence'!$B$3:$B$502,"Sponsors student organisations")&gt;0,2,IF(COUNTIFS('Commercial Evidence'!$A$3:$A$502,$A130,'Commercial Evidence'!$B$3:$B$502,"Sponsors university activities")+COUNTIFS('Commercial Evidence'!$A$3:$A$502,$A130,'Commercial Evidence'!$B$3:$B$502,"Sponsors similar events")+COUNTIFS('Commercial Evidence'!$A$3:$A$502,$A130,'Commercial Evidence'!$B$3:$B$502,"Previous CBS Talks partner")&gt;0,1,0))))</f>
        <v/>
      </c>
      <c r="AC130" s="32" t="str">
        <f aca="false">IF($A130="","",IF(COUNT(G130,J130,M130,P130,AB130)&lt;5,"",G130+J130+M130+P130+AB130))</f>
        <v/>
      </c>
      <c r="AD130" s="32" t="str">
        <f aca="false">IF($A130="","",IF(COUNTIFS(Contacts!$A$3:$A$502,$A130,Contacts!$E$3:$E$502,"Champion",Contacts!$K$3:$K$502,"&lt;&gt;Yes",Contacts!$L$3:$L$502,"&lt;&gt;Yes")+COUNTIFS(Opportunities!$A$3:$A$502,$A130,Opportunities!$C$3:$C$502,"Won",Opportunities!$Q$3:$Q$502,"Satisfied")&gt;0,4,IF(COUNTIFS(Interactions!$B$3:$B$502,$A130,Interactions!$I$3:$I$502,"Yes",Interactions!$A$3:$A$502,"&gt;="&amp;(S_Today-S_WarmDays))&gt;0,3,IF(T130&lt;&gt;"",2,IF(COUNTIFS(Contacts!$A$3:$A$502,$A130,Contacts!$M$3:$M$502,"Yes",Contacts!$K$3:$K$502,"&lt;&gt;Yes",Contacts!$L$3:$L$502,"&lt;&gt;Yes")&gt;0,1,0)))))</f>
        <v/>
      </c>
      <c r="AE130" s="32" t="str">
        <f aca="false">IF($A130="","",IF(Z130="Yes","Do not contact",IF(AC130="","Research",IF(AND(AC130&gt;=S_FitHigh,AD130&gt;=S_AccessHigh),"Priority",IF(AC130&gt;=S_FitHigh,"Build a Path",IF(AD130&gt;=S_AccessHigh,"Quick Win","Low Priority"))))))</f>
        <v/>
      </c>
      <c r="AF130" s="33" t="str">
        <f aca="false">IF($A130="","",IF(_xlfn.MAXIFS(Interactions!$A$3:$A$502,Interactions!$B$3:$B$502,$A130)=0,"",_xlfn.MAXIFS(Interactions!$A$3:$A$502,Interactions!$B$3:$B$502,$A130)))</f>
        <v/>
      </c>
      <c r="AG130" s="32" t="str">
        <f aca="false">IF($A130="","",COUNTIFS(Opportunities!$A$3:$A$502,$A130,Opportunities!$X$3:$X$502,"Yes"))</f>
        <v/>
      </c>
      <c r="AH130" s="32" t="str">
        <f aca="false">IF($A130="","",_xlfn.TEXTJOIN(", ",TRUE(),IF(COUNTIF($A$3:$A$502,$A130)&gt;1,"Duplicate name",""),IF(OR(AND(G130=2,I130=""),AND(J130=2,L130=""),AND(M130=2,O130=""),AND(P130=2,R130="")),"Source missing for a 2",""),IF(F130="","No owner",IF(COUNTIFS(R_TeamName,F130,R_TeamActive,"No")&gt;0,"Needs new owner","")),IF(AND(V130="Yes",X130&lt;&gt;"",X130&lt;S_SemStart),"Path overdue",""),IF(AND(S130&lt;&gt;"",S130&lt;S_Today-365),"Stale research",""),IF(AND(AE130="Research",COUNTIF('Commercial Evidence'!$A$3:$A$502,$A130)=0),"Add commercial evidence","")))</f>
        <v/>
      </c>
      <c r="AI130" s="34" t="str">
        <f aca="false">IF(OR($A130="",Z130="Yes"),"",IF(AND(AE130="Priority",AG130=0,COUNTIFS(Opportunities!$A$3:$A$502,$A130,Opportunities!$Y$3:$Y$502,"Renewal due")=0),600000+(10-AC130)*1000+(4-AD130)*100+ROW()/100000,IF(V130="Yes",700000+IF(X130="",0,X130-40000)/10+ROW()/100000,IF(AND(AE130="Quick Win",U130&lt;&gt;"",AG130=0),800000+(10-AC130)*1000+ROW()/100000,IF(AND(AE130="Build a Path",COUNTIF($V$3:$V$502,"Yes")&lt;S_PathCap),900000+(10-AC130)*1000+(4-AD130)*100+ROW()/100000,"")))))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8"/>
      <c r="T131" s="27"/>
      <c r="U131" s="27"/>
      <c r="V131" s="27"/>
      <c r="W131" s="27"/>
      <c r="X131" s="28"/>
      <c r="Y131" s="27"/>
      <c r="Z131" s="27"/>
      <c r="AA131" s="27"/>
      <c r="AB131" s="32" t="str">
        <f aca="false">IF($A131="","",IF(COUNTIF('Commercial Evidence'!$A$3:$A$502,$A131)=0,"",IF(COUNTIFS('Commercial Evidence'!$A$3:$A$502,$A131,'Commercial Evidence'!$B$3:$B$502,"Previous CBS Talks spend")+COUNTIFS('Commercial Evidence'!$A$3:$A$502,$A131,'Commercial Evidence'!$B$3:$B$502,"Sponsors student organisations")&gt;0,2,IF(COUNTIFS('Commercial Evidence'!$A$3:$A$502,$A131,'Commercial Evidence'!$B$3:$B$502,"Sponsors university activities")+COUNTIFS('Commercial Evidence'!$A$3:$A$502,$A131,'Commercial Evidence'!$B$3:$B$502,"Sponsors similar events")+COUNTIFS('Commercial Evidence'!$A$3:$A$502,$A131,'Commercial Evidence'!$B$3:$B$502,"Previous CBS Talks partner")&gt;0,1,0))))</f>
        <v/>
      </c>
      <c r="AC131" s="32" t="str">
        <f aca="false">IF($A131="","",IF(COUNT(G131,J131,M131,P131,AB131)&lt;5,"",G131+J131+M131+P131+AB131))</f>
        <v/>
      </c>
      <c r="AD131" s="32" t="str">
        <f aca="false">IF($A131="","",IF(COUNTIFS(Contacts!$A$3:$A$502,$A131,Contacts!$E$3:$E$502,"Champion",Contacts!$K$3:$K$502,"&lt;&gt;Yes",Contacts!$L$3:$L$502,"&lt;&gt;Yes")+COUNTIFS(Opportunities!$A$3:$A$502,$A131,Opportunities!$C$3:$C$502,"Won",Opportunities!$Q$3:$Q$502,"Satisfied")&gt;0,4,IF(COUNTIFS(Interactions!$B$3:$B$502,$A131,Interactions!$I$3:$I$502,"Yes",Interactions!$A$3:$A$502,"&gt;="&amp;(S_Today-S_WarmDays))&gt;0,3,IF(T131&lt;&gt;"",2,IF(COUNTIFS(Contacts!$A$3:$A$502,$A131,Contacts!$M$3:$M$502,"Yes",Contacts!$K$3:$K$502,"&lt;&gt;Yes",Contacts!$L$3:$L$502,"&lt;&gt;Yes")&gt;0,1,0)))))</f>
        <v/>
      </c>
      <c r="AE131" s="32" t="str">
        <f aca="false">IF($A131="","",IF(Z131="Yes","Do not contact",IF(AC131="","Research",IF(AND(AC131&gt;=S_FitHigh,AD131&gt;=S_AccessHigh),"Priority",IF(AC131&gt;=S_FitHigh,"Build a Path",IF(AD131&gt;=S_AccessHigh,"Quick Win","Low Priority"))))))</f>
        <v/>
      </c>
      <c r="AF131" s="33" t="str">
        <f aca="false">IF($A131="","",IF(_xlfn.MAXIFS(Interactions!$A$3:$A$502,Interactions!$B$3:$B$502,$A131)=0,"",_xlfn.MAXIFS(Interactions!$A$3:$A$502,Interactions!$B$3:$B$502,$A131)))</f>
        <v/>
      </c>
      <c r="AG131" s="32" t="str">
        <f aca="false">IF($A131="","",COUNTIFS(Opportunities!$A$3:$A$502,$A131,Opportunities!$X$3:$X$502,"Yes"))</f>
        <v/>
      </c>
      <c r="AH131" s="32" t="str">
        <f aca="false">IF($A131="","",_xlfn.TEXTJOIN(", ",TRUE(),IF(COUNTIF($A$3:$A$502,$A131)&gt;1,"Duplicate name",""),IF(OR(AND(G131=2,I131=""),AND(J131=2,L131=""),AND(M131=2,O131=""),AND(P131=2,R131="")),"Source missing for a 2",""),IF(F131="","No owner",IF(COUNTIFS(R_TeamName,F131,R_TeamActive,"No")&gt;0,"Needs new owner","")),IF(AND(V131="Yes",X131&lt;&gt;"",X131&lt;S_SemStart),"Path overdue",""),IF(AND(S131&lt;&gt;"",S131&lt;S_Today-365),"Stale research",""),IF(AND(AE131="Research",COUNTIF('Commercial Evidence'!$A$3:$A$502,$A131)=0),"Add commercial evidence","")))</f>
        <v/>
      </c>
      <c r="AI131" s="34" t="str">
        <f aca="false">IF(OR($A131="",Z131="Yes"),"",IF(AND(AE131="Priority",AG131=0,COUNTIFS(Opportunities!$A$3:$A$502,$A131,Opportunities!$Y$3:$Y$502,"Renewal due")=0),600000+(10-AC131)*1000+(4-AD131)*100+ROW()/100000,IF(V131="Yes",700000+IF(X131="",0,X131-40000)/10+ROW()/100000,IF(AND(AE131="Quick Win",U131&lt;&gt;"",AG131=0),800000+(10-AC131)*1000+ROW()/100000,IF(AND(AE131="Build a Path",COUNTIF($V$3:$V$502,"Yes")&lt;S_PathCap),900000+(10-AC131)*1000+(4-AD131)*100+ROW()/100000,"")))))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8"/>
      <c r="T132" s="27"/>
      <c r="U132" s="27"/>
      <c r="V132" s="27"/>
      <c r="W132" s="27"/>
      <c r="X132" s="28"/>
      <c r="Y132" s="27"/>
      <c r="Z132" s="27"/>
      <c r="AA132" s="27"/>
      <c r="AB132" s="32" t="str">
        <f aca="false">IF($A132="","",IF(COUNTIF('Commercial Evidence'!$A$3:$A$502,$A132)=0,"",IF(COUNTIFS('Commercial Evidence'!$A$3:$A$502,$A132,'Commercial Evidence'!$B$3:$B$502,"Previous CBS Talks spend")+COUNTIFS('Commercial Evidence'!$A$3:$A$502,$A132,'Commercial Evidence'!$B$3:$B$502,"Sponsors student organisations")&gt;0,2,IF(COUNTIFS('Commercial Evidence'!$A$3:$A$502,$A132,'Commercial Evidence'!$B$3:$B$502,"Sponsors university activities")+COUNTIFS('Commercial Evidence'!$A$3:$A$502,$A132,'Commercial Evidence'!$B$3:$B$502,"Sponsors similar events")+COUNTIFS('Commercial Evidence'!$A$3:$A$502,$A132,'Commercial Evidence'!$B$3:$B$502,"Previous CBS Talks partner")&gt;0,1,0))))</f>
        <v/>
      </c>
      <c r="AC132" s="32" t="str">
        <f aca="false">IF($A132="","",IF(COUNT(G132,J132,M132,P132,AB132)&lt;5,"",G132+J132+M132+P132+AB132))</f>
        <v/>
      </c>
      <c r="AD132" s="32" t="str">
        <f aca="false">IF($A132="","",IF(COUNTIFS(Contacts!$A$3:$A$502,$A132,Contacts!$E$3:$E$502,"Champion",Contacts!$K$3:$K$502,"&lt;&gt;Yes",Contacts!$L$3:$L$502,"&lt;&gt;Yes")+COUNTIFS(Opportunities!$A$3:$A$502,$A132,Opportunities!$C$3:$C$502,"Won",Opportunities!$Q$3:$Q$502,"Satisfied")&gt;0,4,IF(COUNTIFS(Interactions!$B$3:$B$502,$A132,Interactions!$I$3:$I$502,"Yes",Interactions!$A$3:$A$502,"&gt;="&amp;(S_Today-S_WarmDays))&gt;0,3,IF(T132&lt;&gt;"",2,IF(COUNTIFS(Contacts!$A$3:$A$502,$A132,Contacts!$M$3:$M$502,"Yes",Contacts!$K$3:$K$502,"&lt;&gt;Yes",Contacts!$L$3:$L$502,"&lt;&gt;Yes")&gt;0,1,0)))))</f>
        <v/>
      </c>
      <c r="AE132" s="32" t="str">
        <f aca="false">IF($A132="","",IF(Z132="Yes","Do not contact",IF(AC132="","Research",IF(AND(AC132&gt;=S_FitHigh,AD132&gt;=S_AccessHigh),"Priority",IF(AC132&gt;=S_FitHigh,"Build a Path",IF(AD132&gt;=S_AccessHigh,"Quick Win","Low Priority"))))))</f>
        <v/>
      </c>
      <c r="AF132" s="33" t="str">
        <f aca="false">IF($A132="","",IF(_xlfn.MAXIFS(Interactions!$A$3:$A$502,Interactions!$B$3:$B$502,$A132)=0,"",_xlfn.MAXIFS(Interactions!$A$3:$A$502,Interactions!$B$3:$B$502,$A132)))</f>
        <v/>
      </c>
      <c r="AG132" s="32" t="str">
        <f aca="false">IF($A132="","",COUNTIFS(Opportunities!$A$3:$A$502,$A132,Opportunities!$X$3:$X$502,"Yes"))</f>
        <v/>
      </c>
      <c r="AH132" s="32" t="str">
        <f aca="false">IF($A132="","",_xlfn.TEXTJOIN(", ",TRUE(),IF(COUNTIF($A$3:$A$502,$A132)&gt;1,"Duplicate name",""),IF(OR(AND(G132=2,I132=""),AND(J132=2,L132=""),AND(M132=2,O132=""),AND(P132=2,R132="")),"Source missing for a 2",""),IF(F132="","No owner",IF(COUNTIFS(R_TeamName,F132,R_TeamActive,"No")&gt;0,"Needs new owner","")),IF(AND(V132="Yes",X132&lt;&gt;"",X132&lt;S_SemStart),"Path overdue",""),IF(AND(S132&lt;&gt;"",S132&lt;S_Today-365),"Stale research",""),IF(AND(AE132="Research",COUNTIF('Commercial Evidence'!$A$3:$A$502,$A132)=0),"Add commercial evidence","")))</f>
        <v/>
      </c>
      <c r="AI132" s="34" t="str">
        <f aca="false">IF(OR($A132="",Z132="Yes"),"",IF(AND(AE132="Priority",AG132=0,COUNTIFS(Opportunities!$A$3:$A$502,$A132,Opportunities!$Y$3:$Y$502,"Renewal due")=0),600000+(10-AC132)*1000+(4-AD132)*100+ROW()/100000,IF(V132="Yes",700000+IF(X132="",0,X132-40000)/10+ROW()/100000,IF(AND(AE132="Quick Win",U132&lt;&gt;"",AG132=0),800000+(10-AC132)*1000+ROW()/100000,IF(AND(AE132="Build a Path",COUNTIF($V$3:$V$502,"Yes")&lt;S_PathCap),900000+(10-AC132)*1000+(4-AD132)*100+ROW()/100000,"")))))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8"/>
      <c r="T133" s="27"/>
      <c r="U133" s="27"/>
      <c r="V133" s="27"/>
      <c r="W133" s="27"/>
      <c r="X133" s="28"/>
      <c r="Y133" s="27"/>
      <c r="Z133" s="27"/>
      <c r="AA133" s="27"/>
      <c r="AB133" s="32" t="str">
        <f aca="false">IF($A133="","",IF(COUNTIF('Commercial Evidence'!$A$3:$A$502,$A133)=0,"",IF(COUNTIFS('Commercial Evidence'!$A$3:$A$502,$A133,'Commercial Evidence'!$B$3:$B$502,"Previous CBS Talks spend")+COUNTIFS('Commercial Evidence'!$A$3:$A$502,$A133,'Commercial Evidence'!$B$3:$B$502,"Sponsors student organisations")&gt;0,2,IF(COUNTIFS('Commercial Evidence'!$A$3:$A$502,$A133,'Commercial Evidence'!$B$3:$B$502,"Sponsors university activities")+COUNTIFS('Commercial Evidence'!$A$3:$A$502,$A133,'Commercial Evidence'!$B$3:$B$502,"Sponsors similar events")+COUNTIFS('Commercial Evidence'!$A$3:$A$502,$A133,'Commercial Evidence'!$B$3:$B$502,"Previous CBS Talks partner")&gt;0,1,0))))</f>
        <v/>
      </c>
      <c r="AC133" s="32" t="str">
        <f aca="false">IF($A133="","",IF(COUNT(G133,J133,M133,P133,AB133)&lt;5,"",G133+J133+M133+P133+AB133))</f>
        <v/>
      </c>
      <c r="AD133" s="32" t="str">
        <f aca="false">IF($A133="","",IF(COUNTIFS(Contacts!$A$3:$A$502,$A133,Contacts!$E$3:$E$502,"Champion",Contacts!$K$3:$K$502,"&lt;&gt;Yes",Contacts!$L$3:$L$502,"&lt;&gt;Yes")+COUNTIFS(Opportunities!$A$3:$A$502,$A133,Opportunities!$C$3:$C$502,"Won",Opportunities!$Q$3:$Q$502,"Satisfied")&gt;0,4,IF(COUNTIFS(Interactions!$B$3:$B$502,$A133,Interactions!$I$3:$I$502,"Yes",Interactions!$A$3:$A$502,"&gt;="&amp;(S_Today-S_WarmDays))&gt;0,3,IF(T133&lt;&gt;"",2,IF(COUNTIFS(Contacts!$A$3:$A$502,$A133,Contacts!$M$3:$M$502,"Yes",Contacts!$K$3:$K$502,"&lt;&gt;Yes",Contacts!$L$3:$L$502,"&lt;&gt;Yes")&gt;0,1,0)))))</f>
        <v/>
      </c>
      <c r="AE133" s="32" t="str">
        <f aca="false">IF($A133="","",IF(Z133="Yes","Do not contact",IF(AC133="","Research",IF(AND(AC133&gt;=S_FitHigh,AD133&gt;=S_AccessHigh),"Priority",IF(AC133&gt;=S_FitHigh,"Build a Path",IF(AD133&gt;=S_AccessHigh,"Quick Win","Low Priority"))))))</f>
        <v/>
      </c>
      <c r="AF133" s="33" t="str">
        <f aca="false">IF($A133="","",IF(_xlfn.MAXIFS(Interactions!$A$3:$A$502,Interactions!$B$3:$B$502,$A133)=0,"",_xlfn.MAXIFS(Interactions!$A$3:$A$502,Interactions!$B$3:$B$502,$A133)))</f>
        <v/>
      </c>
      <c r="AG133" s="32" t="str">
        <f aca="false">IF($A133="","",COUNTIFS(Opportunities!$A$3:$A$502,$A133,Opportunities!$X$3:$X$502,"Yes"))</f>
        <v/>
      </c>
      <c r="AH133" s="32" t="str">
        <f aca="false">IF($A133="","",_xlfn.TEXTJOIN(", ",TRUE(),IF(COUNTIF($A$3:$A$502,$A133)&gt;1,"Duplicate name",""),IF(OR(AND(G133=2,I133=""),AND(J133=2,L133=""),AND(M133=2,O133=""),AND(P133=2,R133="")),"Source missing for a 2",""),IF(F133="","No owner",IF(COUNTIFS(R_TeamName,F133,R_TeamActive,"No")&gt;0,"Needs new owner","")),IF(AND(V133="Yes",X133&lt;&gt;"",X133&lt;S_SemStart),"Path overdue",""),IF(AND(S133&lt;&gt;"",S133&lt;S_Today-365),"Stale research",""),IF(AND(AE133="Research",COUNTIF('Commercial Evidence'!$A$3:$A$502,$A133)=0),"Add commercial evidence","")))</f>
        <v/>
      </c>
      <c r="AI133" s="34" t="str">
        <f aca="false">IF(OR($A133="",Z133="Yes"),"",IF(AND(AE133="Priority",AG133=0,COUNTIFS(Opportunities!$A$3:$A$502,$A133,Opportunities!$Y$3:$Y$502,"Renewal due")=0),600000+(10-AC133)*1000+(4-AD133)*100+ROW()/100000,IF(V133="Yes",700000+IF(X133="",0,X133-40000)/10+ROW()/100000,IF(AND(AE133="Quick Win",U133&lt;&gt;"",AG133=0),800000+(10-AC133)*1000+ROW()/100000,IF(AND(AE133="Build a Path",COUNTIF($V$3:$V$502,"Yes")&lt;S_PathCap),900000+(10-AC133)*1000+(4-AD133)*100+ROW()/100000,"")))))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8"/>
      <c r="T134" s="27"/>
      <c r="U134" s="27"/>
      <c r="V134" s="27"/>
      <c r="W134" s="27"/>
      <c r="X134" s="28"/>
      <c r="Y134" s="27"/>
      <c r="Z134" s="27"/>
      <c r="AA134" s="27"/>
      <c r="AB134" s="32" t="str">
        <f aca="false">IF($A134="","",IF(COUNTIF('Commercial Evidence'!$A$3:$A$502,$A134)=0,"",IF(COUNTIFS('Commercial Evidence'!$A$3:$A$502,$A134,'Commercial Evidence'!$B$3:$B$502,"Previous CBS Talks spend")+COUNTIFS('Commercial Evidence'!$A$3:$A$502,$A134,'Commercial Evidence'!$B$3:$B$502,"Sponsors student organisations")&gt;0,2,IF(COUNTIFS('Commercial Evidence'!$A$3:$A$502,$A134,'Commercial Evidence'!$B$3:$B$502,"Sponsors university activities")+COUNTIFS('Commercial Evidence'!$A$3:$A$502,$A134,'Commercial Evidence'!$B$3:$B$502,"Sponsors similar events")+COUNTIFS('Commercial Evidence'!$A$3:$A$502,$A134,'Commercial Evidence'!$B$3:$B$502,"Previous CBS Talks partner")&gt;0,1,0))))</f>
        <v/>
      </c>
      <c r="AC134" s="32" t="str">
        <f aca="false">IF($A134="","",IF(COUNT(G134,J134,M134,P134,AB134)&lt;5,"",G134+J134+M134+P134+AB134))</f>
        <v/>
      </c>
      <c r="AD134" s="32" t="str">
        <f aca="false">IF($A134="","",IF(COUNTIFS(Contacts!$A$3:$A$502,$A134,Contacts!$E$3:$E$502,"Champion",Contacts!$K$3:$K$502,"&lt;&gt;Yes",Contacts!$L$3:$L$502,"&lt;&gt;Yes")+COUNTIFS(Opportunities!$A$3:$A$502,$A134,Opportunities!$C$3:$C$502,"Won",Opportunities!$Q$3:$Q$502,"Satisfied")&gt;0,4,IF(COUNTIFS(Interactions!$B$3:$B$502,$A134,Interactions!$I$3:$I$502,"Yes",Interactions!$A$3:$A$502,"&gt;="&amp;(S_Today-S_WarmDays))&gt;0,3,IF(T134&lt;&gt;"",2,IF(COUNTIFS(Contacts!$A$3:$A$502,$A134,Contacts!$M$3:$M$502,"Yes",Contacts!$K$3:$K$502,"&lt;&gt;Yes",Contacts!$L$3:$L$502,"&lt;&gt;Yes")&gt;0,1,0)))))</f>
        <v/>
      </c>
      <c r="AE134" s="32" t="str">
        <f aca="false">IF($A134="","",IF(Z134="Yes","Do not contact",IF(AC134="","Research",IF(AND(AC134&gt;=S_FitHigh,AD134&gt;=S_AccessHigh),"Priority",IF(AC134&gt;=S_FitHigh,"Build a Path",IF(AD134&gt;=S_AccessHigh,"Quick Win","Low Priority"))))))</f>
        <v/>
      </c>
      <c r="AF134" s="33" t="str">
        <f aca="false">IF($A134="","",IF(_xlfn.MAXIFS(Interactions!$A$3:$A$502,Interactions!$B$3:$B$502,$A134)=0,"",_xlfn.MAXIFS(Interactions!$A$3:$A$502,Interactions!$B$3:$B$502,$A134)))</f>
        <v/>
      </c>
      <c r="AG134" s="32" t="str">
        <f aca="false">IF($A134="","",COUNTIFS(Opportunities!$A$3:$A$502,$A134,Opportunities!$X$3:$X$502,"Yes"))</f>
        <v/>
      </c>
      <c r="AH134" s="32" t="str">
        <f aca="false">IF($A134="","",_xlfn.TEXTJOIN(", ",TRUE(),IF(COUNTIF($A$3:$A$502,$A134)&gt;1,"Duplicate name",""),IF(OR(AND(G134=2,I134=""),AND(J134=2,L134=""),AND(M134=2,O134=""),AND(P134=2,R134="")),"Source missing for a 2",""),IF(F134="","No owner",IF(COUNTIFS(R_TeamName,F134,R_TeamActive,"No")&gt;0,"Needs new owner","")),IF(AND(V134="Yes",X134&lt;&gt;"",X134&lt;S_SemStart),"Path overdue",""),IF(AND(S134&lt;&gt;"",S134&lt;S_Today-365),"Stale research",""),IF(AND(AE134="Research",COUNTIF('Commercial Evidence'!$A$3:$A$502,$A134)=0),"Add commercial evidence","")))</f>
        <v/>
      </c>
      <c r="AI134" s="34" t="str">
        <f aca="false">IF(OR($A134="",Z134="Yes"),"",IF(AND(AE134="Priority",AG134=0,COUNTIFS(Opportunities!$A$3:$A$502,$A134,Opportunities!$Y$3:$Y$502,"Renewal due")=0),600000+(10-AC134)*1000+(4-AD134)*100+ROW()/100000,IF(V134="Yes",700000+IF(X134="",0,X134-40000)/10+ROW()/100000,IF(AND(AE134="Quick Win",U134&lt;&gt;"",AG134=0),800000+(10-AC134)*1000+ROW()/100000,IF(AND(AE134="Build a Path",COUNTIF($V$3:$V$502,"Yes")&lt;S_PathCap),900000+(10-AC134)*1000+(4-AD134)*100+ROW()/100000,"")))))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8"/>
      <c r="T135" s="27"/>
      <c r="U135" s="27"/>
      <c r="V135" s="27"/>
      <c r="W135" s="27"/>
      <c r="X135" s="28"/>
      <c r="Y135" s="27"/>
      <c r="Z135" s="27"/>
      <c r="AA135" s="27"/>
      <c r="AB135" s="32" t="str">
        <f aca="false">IF($A135="","",IF(COUNTIF('Commercial Evidence'!$A$3:$A$502,$A135)=0,"",IF(COUNTIFS('Commercial Evidence'!$A$3:$A$502,$A135,'Commercial Evidence'!$B$3:$B$502,"Previous CBS Talks spend")+COUNTIFS('Commercial Evidence'!$A$3:$A$502,$A135,'Commercial Evidence'!$B$3:$B$502,"Sponsors student organisations")&gt;0,2,IF(COUNTIFS('Commercial Evidence'!$A$3:$A$502,$A135,'Commercial Evidence'!$B$3:$B$502,"Sponsors university activities")+COUNTIFS('Commercial Evidence'!$A$3:$A$502,$A135,'Commercial Evidence'!$B$3:$B$502,"Sponsors similar events")+COUNTIFS('Commercial Evidence'!$A$3:$A$502,$A135,'Commercial Evidence'!$B$3:$B$502,"Previous CBS Talks partner")&gt;0,1,0))))</f>
        <v/>
      </c>
      <c r="AC135" s="32" t="str">
        <f aca="false">IF($A135="","",IF(COUNT(G135,J135,M135,P135,AB135)&lt;5,"",G135+J135+M135+P135+AB135))</f>
        <v/>
      </c>
      <c r="AD135" s="32" t="str">
        <f aca="false">IF($A135="","",IF(COUNTIFS(Contacts!$A$3:$A$502,$A135,Contacts!$E$3:$E$502,"Champion",Contacts!$K$3:$K$502,"&lt;&gt;Yes",Contacts!$L$3:$L$502,"&lt;&gt;Yes")+COUNTIFS(Opportunities!$A$3:$A$502,$A135,Opportunities!$C$3:$C$502,"Won",Opportunities!$Q$3:$Q$502,"Satisfied")&gt;0,4,IF(COUNTIFS(Interactions!$B$3:$B$502,$A135,Interactions!$I$3:$I$502,"Yes",Interactions!$A$3:$A$502,"&gt;="&amp;(S_Today-S_WarmDays))&gt;0,3,IF(T135&lt;&gt;"",2,IF(COUNTIFS(Contacts!$A$3:$A$502,$A135,Contacts!$M$3:$M$502,"Yes",Contacts!$K$3:$K$502,"&lt;&gt;Yes",Contacts!$L$3:$L$502,"&lt;&gt;Yes")&gt;0,1,0)))))</f>
        <v/>
      </c>
      <c r="AE135" s="32" t="str">
        <f aca="false">IF($A135="","",IF(Z135="Yes","Do not contact",IF(AC135="","Research",IF(AND(AC135&gt;=S_FitHigh,AD135&gt;=S_AccessHigh),"Priority",IF(AC135&gt;=S_FitHigh,"Build a Path",IF(AD135&gt;=S_AccessHigh,"Quick Win","Low Priority"))))))</f>
        <v/>
      </c>
      <c r="AF135" s="33" t="str">
        <f aca="false">IF($A135="","",IF(_xlfn.MAXIFS(Interactions!$A$3:$A$502,Interactions!$B$3:$B$502,$A135)=0,"",_xlfn.MAXIFS(Interactions!$A$3:$A$502,Interactions!$B$3:$B$502,$A135)))</f>
        <v/>
      </c>
      <c r="AG135" s="32" t="str">
        <f aca="false">IF($A135="","",COUNTIFS(Opportunities!$A$3:$A$502,$A135,Opportunities!$X$3:$X$502,"Yes"))</f>
        <v/>
      </c>
      <c r="AH135" s="32" t="str">
        <f aca="false">IF($A135="","",_xlfn.TEXTJOIN(", ",TRUE(),IF(COUNTIF($A$3:$A$502,$A135)&gt;1,"Duplicate name",""),IF(OR(AND(G135=2,I135=""),AND(J135=2,L135=""),AND(M135=2,O135=""),AND(P135=2,R135="")),"Source missing for a 2",""),IF(F135="","No owner",IF(COUNTIFS(R_TeamName,F135,R_TeamActive,"No")&gt;0,"Needs new owner","")),IF(AND(V135="Yes",X135&lt;&gt;"",X135&lt;S_SemStart),"Path overdue",""),IF(AND(S135&lt;&gt;"",S135&lt;S_Today-365),"Stale research",""),IF(AND(AE135="Research",COUNTIF('Commercial Evidence'!$A$3:$A$502,$A135)=0),"Add commercial evidence","")))</f>
        <v/>
      </c>
      <c r="AI135" s="34" t="str">
        <f aca="false">IF(OR($A135="",Z135="Yes"),"",IF(AND(AE135="Priority",AG135=0,COUNTIFS(Opportunities!$A$3:$A$502,$A135,Opportunities!$Y$3:$Y$502,"Renewal due")=0),600000+(10-AC135)*1000+(4-AD135)*100+ROW()/100000,IF(V135="Yes",700000+IF(X135="",0,X135-40000)/10+ROW()/100000,IF(AND(AE135="Quick Win",U135&lt;&gt;"",AG135=0),800000+(10-AC135)*1000+ROW()/100000,IF(AND(AE135="Build a Path",COUNTIF($V$3:$V$502,"Yes")&lt;S_PathCap),900000+(10-AC135)*1000+(4-AD135)*100+ROW()/100000,"")))))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8"/>
      <c r="T136" s="27"/>
      <c r="U136" s="27"/>
      <c r="V136" s="27"/>
      <c r="W136" s="27"/>
      <c r="X136" s="28"/>
      <c r="Y136" s="27"/>
      <c r="Z136" s="27"/>
      <c r="AA136" s="27"/>
      <c r="AB136" s="32" t="str">
        <f aca="false">IF($A136="","",IF(COUNTIF('Commercial Evidence'!$A$3:$A$502,$A136)=0,"",IF(COUNTIFS('Commercial Evidence'!$A$3:$A$502,$A136,'Commercial Evidence'!$B$3:$B$502,"Previous CBS Talks spend")+COUNTIFS('Commercial Evidence'!$A$3:$A$502,$A136,'Commercial Evidence'!$B$3:$B$502,"Sponsors student organisations")&gt;0,2,IF(COUNTIFS('Commercial Evidence'!$A$3:$A$502,$A136,'Commercial Evidence'!$B$3:$B$502,"Sponsors university activities")+COUNTIFS('Commercial Evidence'!$A$3:$A$502,$A136,'Commercial Evidence'!$B$3:$B$502,"Sponsors similar events")+COUNTIFS('Commercial Evidence'!$A$3:$A$502,$A136,'Commercial Evidence'!$B$3:$B$502,"Previous CBS Talks partner")&gt;0,1,0))))</f>
        <v/>
      </c>
      <c r="AC136" s="32" t="str">
        <f aca="false">IF($A136="","",IF(COUNT(G136,J136,M136,P136,AB136)&lt;5,"",G136+J136+M136+P136+AB136))</f>
        <v/>
      </c>
      <c r="AD136" s="32" t="str">
        <f aca="false">IF($A136="","",IF(COUNTIFS(Contacts!$A$3:$A$502,$A136,Contacts!$E$3:$E$502,"Champion",Contacts!$K$3:$K$502,"&lt;&gt;Yes",Contacts!$L$3:$L$502,"&lt;&gt;Yes")+COUNTIFS(Opportunities!$A$3:$A$502,$A136,Opportunities!$C$3:$C$502,"Won",Opportunities!$Q$3:$Q$502,"Satisfied")&gt;0,4,IF(COUNTIFS(Interactions!$B$3:$B$502,$A136,Interactions!$I$3:$I$502,"Yes",Interactions!$A$3:$A$502,"&gt;="&amp;(S_Today-S_WarmDays))&gt;0,3,IF(T136&lt;&gt;"",2,IF(COUNTIFS(Contacts!$A$3:$A$502,$A136,Contacts!$M$3:$M$502,"Yes",Contacts!$K$3:$K$502,"&lt;&gt;Yes",Contacts!$L$3:$L$502,"&lt;&gt;Yes")&gt;0,1,0)))))</f>
        <v/>
      </c>
      <c r="AE136" s="32" t="str">
        <f aca="false">IF($A136="","",IF(Z136="Yes","Do not contact",IF(AC136="","Research",IF(AND(AC136&gt;=S_FitHigh,AD136&gt;=S_AccessHigh),"Priority",IF(AC136&gt;=S_FitHigh,"Build a Path",IF(AD136&gt;=S_AccessHigh,"Quick Win","Low Priority"))))))</f>
        <v/>
      </c>
      <c r="AF136" s="33" t="str">
        <f aca="false">IF($A136="","",IF(_xlfn.MAXIFS(Interactions!$A$3:$A$502,Interactions!$B$3:$B$502,$A136)=0,"",_xlfn.MAXIFS(Interactions!$A$3:$A$502,Interactions!$B$3:$B$502,$A136)))</f>
        <v/>
      </c>
      <c r="AG136" s="32" t="str">
        <f aca="false">IF($A136="","",COUNTIFS(Opportunities!$A$3:$A$502,$A136,Opportunities!$X$3:$X$502,"Yes"))</f>
        <v/>
      </c>
      <c r="AH136" s="32" t="str">
        <f aca="false">IF($A136="","",_xlfn.TEXTJOIN(", ",TRUE(),IF(COUNTIF($A$3:$A$502,$A136)&gt;1,"Duplicate name",""),IF(OR(AND(G136=2,I136=""),AND(J136=2,L136=""),AND(M136=2,O136=""),AND(P136=2,R136="")),"Source missing for a 2",""),IF(F136="","No owner",IF(COUNTIFS(R_TeamName,F136,R_TeamActive,"No")&gt;0,"Needs new owner","")),IF(AND(V136="Yes",X136&lt;&gt;"",X136&lt;S_SemStart),"Path overdue",""),IF(AND(S136&lt;&gt;"",S136&lt;S_Today-365),"Stale research",""),IF(AND(AE136="Research",COUNTIF('Commercial Evidence'!$A$3:$A$502,$A136)=0),"Add commercial evidence","")))</f>
        <v/>
      </c>
      <c r="AI136" s="34" t="str">
        <f aca="false">IF(OR($A136="",Z136="Yes"),"",IF(AND(AE136="Priority",AG136=0,COUNTIFS(Opportunities!$A$3:$A$502,$A136,Opportunities!$Y$3:$Y$502,"Renewal due")=0),600000+(10-AC136)*1000+(4-AD136)*100+ROW()/100000,IF(V136="Yes",700000+IF(X136="",0,X136-40000)/10+ROW()/100000,IF(AND(AE136="Quick Win",U136&lt;&gt;"",AG136=0),800000+(10-AC136)*1000+ROW()/100000,IF(AND(AE136="Build a Path",COUNTIF($V$3:$V$502,"Yes")&lt;S_PathCap),900000+(10-AC136)*1000+(4-AD136)*100+ROW()/100000,"")))))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8"/>
      <c r="T137" s="27"/>
      <c r="U137" s="27"/>
      <c r="V137" s="27"/>
      <c r="W137" s="27"/>
      <c r="X137" s="28"/>
      <c r="Y137" s="27"/>
      <c r="Z137" s="27"/>
      <c r="AA137" s="27"/>
      <c r="AB137" s="32" t="str">
        <f aca="false">IF($A137="","",IF(COUNTIF('Commercial Evidence'!$A$3:$A$502,$A137)=0,"",IF(COUNTIFS('Commercial Evidence'!$A$3:$A$502,$A137,'Commercial Evidence'!$B$3:$B$502,"Previous CBS Talks spend")+COUNTIFS('Commercial Evidence'!$A$3:$A$502,$A137,'Commercial Evidence'!$B$3:$B$502,"Sponsors student organisations")&gt;0,2,IF(COUNTIFS('Commercial Evidence'!$A$3:$A$502,$A137,'Commercial Evidence'!$B$3:$B$502,"Sponsors university activities")+COUNTIFS('Commercial Evidence'!$A$3:$A$502,$A137,'Commercial Evidence'!$B$3:$B$502,"Sponsors similar events")+COUNTIFS('Commercial Evidence'!$A$3:$A$502,$A137,'Commercial Evidence'!$B$3:$B$502,"Previous CBS Talks partner")&gt;0,1,0))))</f>
        <v/>
      </c>
      <c r="AC137" s="32" t="str">
        <f aca="false">IF($A137="","",IF(COUNT(G137,J137,M137,P137,AB137)&lt;5,"",G137+J137+M137+P137+AB137))</f>
        <v/>
      </c>
      <c r="AD137" s="32" t="str">
        <f aca="false">IF($A137="","",IF(COUNTIFS(Contacts!$A$3:$A$502,$A137,Contacts!$E$3:$E$502,"Champion",Contacts!$K$3:$K$502,"&lt;&gt;Yes",Contacts!$L$3:$L$502,"&lt;&gt;Yes")+COUNTIFS(Opportunities!$A$3:$A$502,$A137,Opportunities!$C$3:$C$502,"Won",Opportunities!$Q$3:$Q$502,"Satisfied")&gt;0,4,IF(COUNTIFS(Interactions!$B$3:$B$502,$A137,Interactions!$I$3:$I$502,"Yes",Interactions!$A$3:$A$502,"&gt;="&amp;(S_Today-S_WarmDays))&gt;0,3,IF(T137&lt;&gt;"",2,IF(COUNTIFS(Contacts!$A$3:$A$502,$A137,Contacts!$M$3:$M$502,"Yes",Contacts!$K$3:$K$502,"&lt;&gt;Yes",Contacts!$L$3:$L$502,"&lt;&gt;Yes")&gt;0,1,0)))))</f>
        <v/>
      </c>
      <c r="AE137" s="32" t="str">
        <f aca="false">IF($A137="","",IF(Z137="Yes","Do not contact",IF(AC137="","Research",IF(AND(AC137&gt;=S_FitHigh,AD137&gt;=S_AccessHigh),"Priority",IF(AC137&gt;=S_FitHigh,"Build a Path",IF(AD137&gt;=S_AccessHigh,"Quick Win","Low Priority"))))))</f>
        <v/>
      </c>
      <c r="AF137" s="33" t="str">
        <f aca="false">IF($A137="","",IF(_xlfn.MAXIFS(Interactions!$A$3:$A$502,Interactions!$B$3:$B$502,$A137)=0,"",_xlfn.MAXIFS(Interactions!$A$3:$A$502,Interactions!$B$3:$B$502,$A137)))</f>
        <v/>
      </c>
      <c r="AG137" s="32" t="str">
        <f aca="false">IF($A137="","",COUNTIFS(Opportunities!$A$3:$A$502,$A137,Opportunities!$X$3:$X$502,"Yes"))</f>
        <v/>
      </c>
      <c r="AH137" s="32" t="str">
        <f aca="false">IF($A137="","",_xlfn.TEXTJOIN(", ",TRUE(),IF(COUNTIF($A$3:$A$502,$A137)&gt;1,"Duplicate name",""),IF(OR(AND(G137=2,I137=""),AND(J137=2,L137=""),AND(M137=2,O137=""),AND(P137=2,R137="")),"Source missing for a 2",""),IF(F137="","No owner",IF(COUNTIFS(R_TeamName,F137,R_TeamActive,"No")&gt;0,"Needs new owner","")),IF(AND(V137="Yes",X137&lt;&gt;"",X137&lt;S_SemStart),"Path overdue",""),IF(AND(S137&lt;&gt;"",S137&lt;S_Today-365),"Stale research",""),IF(AND(AE137="Research",COUNTIF('Commercial Evidence'!$A$3:$A$502,$A137)=0),"Add commercial evidence","")))</f>
        <v/>
      </c>
      <c r="AI137" s="34" t="str">
        <f aca="false">IF(OR($A137="",Z137="Yes"),"",IF(AND(AE137="Priority",AG137=0,COUNTIFS(Opportunities!$A$3:$A$502,$A137,Opportunities!$Y$3:$Y$502,"Renewal due")=0),600000+(10-AC137)*1000+(4-AD137)*100+ROW()/100000,IF(V137="Yes",700000+IF(X137="",0,X137-40000)/10+ROW()/100000,IF(AND(AE137="Quick Win",U137&lt;&gt;"",AG137=0),800000+(10-AC137)*1000+ROW()/100000,IF(AND(AE137="Build a Path",COUNTIF($V$3:$V$502,"Yes")&lt;S_PathCap),900000+(10-AC137)*1000+(4-AD137)*100+ROW()/100000,"")))))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8"/>
      <c r="T138" s="27"/>
      <c r="U138" s="27"/>
      <c r="V138" s="27"/>
      <c r="W138" s="27"/>
      <c r="X138" s="28"/>
      <c r="Y138" s="27"/>
      <c r="Z138" s="27"/>
      <c r="AA138" s="27"/>
      <c r="AB138" s="32" t="str">
        <f aca="false">IF($A138="","",IF(COUNTIF('Commercial Evidence'!$A$3:$A$502,$A138)=0,"",IF(COUNTIFS('Commercial Evidence'!$A$3:$A$502,$A138,'Commercial Evidence'!$B$3:$B$502,"Previous CBS Talks spend")+COUNTIFS('Commercial Evidence'!$A$3:$A$502,$A138,'Commercial Evidence'!$B$3:$B$502,"Sponsors student organisations")&gt;0,2,IF(COUNTIFS('Commercial Evidence'!$A$3:$A$502,$A138,'Commercial Evidence'!$B$3:$B$502,"Sponsors university activities")+COUNTIFS('Commercial Evidence'!$A$3:$A$502,$A138,'Commercial Evidence'!$B$3:$B$502,"Sponsors similar events")+COUNTIFS('Commercial Evidence'!$A$3:$A$502,$A138,'Commercial Evidence'!$B$3:$B$502,"Previous CBS Talks partner")&gt;0,1,0))))</f>
        <v/>
      </c>
      <c r="AC138" s="32" t="str">
        <f aca="false">IF($A138="","",IF(COUNT(G138,J138,M138,P138,AB138)&lt;5,"",G138+J138+M138+P138+AB138))</f>
        <v/>
      </c>
      <c r="AD138" s="32" t="str">
        <f aca="false">IF($A138="","",IF(COUNTIFS(Contacts!$A$3:$A$502,$A138,Contacts!$E$3:$E$502,"Champion",Contacts!$K$3:$K$502,"&lt;&gt;Yes",Contacts!$L$3:$L$502,"&lt;&gt;Yes")+COUNTIFS(Opportunities!$A$3:$A$502,$A138,Opportunities!$C$3:$C$502,"Won",Opportunities!$Q$3:$Q$502,"Satisfied")&gt;0,4,IF(COUNTIFS(Interactions!$B$3:$B$502,$A138,Interactions!$I$3:$I$502,"Yes",Interactions!$A$3:$A$502,"&gt;="&amp;(S_Today-S_WarmDays))&gt;0,3,IF(T138&lt;&gt;"",2,IF(COUNTIFS(Contacts!$A$3:$A$502,$A138,Contacts!$M$3:$M$502,"Yes",Contacts!$K$3:$K$502,"&lt;&gt;Yes",Contacts!$L$3:$L$502,"&lt;&gt;Yes")&gt;0,1,0)))))</f>
        <v/>
      </c>
      <c r="AE138" s="32" t="str">
        <f aca="false">IF($A138="","",IF(Z138="Yes","Do not contact",IF(AC138="","Research",IF(AND(AC138&gt;=S_FitHigh,AD138&gt;=S_AccessHigh),"Priority",IF(AC138&gt;=S_FitHigh,"Build a Path",IF(AD138&gt;=S_AccessHigh,"Quick Win","Low Priority"))))))</f>
        <v/>
      </c>
      <c r="AF138" s="33" t="str">
        <f aca="false">IF($A138="","",IF(_xlfn.MAXIFS(Interactions!$A$3:$A$502,Interactions!$B$3:$B$502,$A138)=0,"",_xlfn.MAXIFS(Interactions!$A$3:$A$502,Interactions!$B$3:$B$502,$A138)))</f>
        <v/>
      </c>
      <c r="AG138" s="32" t="str">
        <f aca="false">IF($A138="","",COUNTIFS(Opportunities!$A$3:$A$502,$A138,Opportunities!$X$3:$X$502,"Yes"))</f>
        <v/>
      </c>
      <c r="AH138" s="32" t="str">
        <f aca="false">IF($A138="","",_xlfn.TEXTJOIN(", ",TRUE(),IF(COUNTIF($A$3:$A$502,$A138)&gt;1,"Duplicate name",""),IF(OR(AND(G138=2,I138=""),AND(J138=2,L138=""),AND(M138=2,O138=""),AND(P138=2,R138="")),"Source missing for a 2",""),IF(F138="","No owner",IF(COUNTIFS(R_TeamName,F138,R_TeamActive,"No")&gt;0,"Needs new owner","")),IF(AND(V138="Yes",X138&lt;&gt;"",X138&lt;S_SemStart),"Path overdue",""),IF(AND(S138&lt;&gt;"",S138&lt;S_Today-365),"Stale research",""),IF(AND(AE138="Research",COUNTIF('Commercial Evidence'!$A$3:$A$502,$A138)=0),"Add commercial evidence","")))</f>
        <v/>
      </c>
      <c r="AI138" s="34" t="str">
        <f aca="false">IF(OR($A138="",Z138="Yes"),"",IF(AND(AE138="Priority",AG138=0,COUNTIFS(Opportunities!$A$3:$A$502,$A138,Opportunities!$Y$3:$Y$502,"Renewal due")=0),600000+(10-AC138)*1000+(4-AD138)*100+ROW()/100000,IF(V138="Yes",700000+IF(X138="",0,X138-40000)/10+ROW()/100000,IF(AND(AE138="Quick Win",U138&lt;&gt;"",AG138=0),800000+(10-AC138)*1000+ROW()/100000,IF(AND(AE138="Build a Path",COUNTIF($V$3:$V$502,"Yes")&lt;S_PathCap),900000+(10-AC138)*1000+(4-AD138)*100+ROW()/100000,"")))))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8"/>
      <c r="T139" s="27"/>
      <c r="U139" s="27"/>
      <c r="V139" s="27"/>
      <c r="W139" s="27"/>
      <c r="X139" s="28"/>
      <c r="Y139" s="27"/>
      <c r="Z139" s="27"/>
      <c r="AA139" s="27"/>
      <c r="AB139" s="32" t="str">
        <f aca="false">IF($A139="","",IF(COUNTIF('Commercial Evidence'!$A$3:$A$502,$A139)=0,"",IF(COUNTIFS('Commercial Evidence'!$A$3:$A$502,$A139,'Commercial Evidence'!$B$3:$B$502,"Previous CBS Talks spend")+COUNTIFS('Commercial Evidence'!$A$3:$A$502,$A139,'Commercial Evidence'!$B$3:$B$502,"Sponsors student organisations")&gt;0,2,IF(COUNTIFS('Commercial Evidence'!$A$3:$A$502,$A139,'Commercial Evidence'!$B$3:$B$502,"Sponsors university activities")+COUNTIFS('Commercial Evidence'!$A$3:$A$502,$A139,'Commercial Evidence'!$B$3:$B$502,"Sponsors similar events")+COUNTIFS('Commercial Evidence'!$A$3:$A$502,$A139,'Commercial Evidence'!$B$3:$B$502,"Previous CBS Talks partner")&gt;0,1,0))))</f>
        <v/>
      </c>
      <c r="AC139" s="32" t="str">
        <f aca="false">IF($A139="","",IF(COUNT(G139,J139,M139,P139,AB139)&lt;5,"",G139+J139+M139+P139+AB139))</f>
        <v/>
      </c>
      <c r="AD139" s="32" t="str">
        <f aca="false">IF($A139="","",IF(COUNTIFS(Contacts!$A$3:$A$502,$A139,Contacts!$E$3:$E$502,"Champion",Contacts!$K$3:$K$502,"&lt;&gt;Yes",Contacts!$L$3:$L$502,"&lt;&gt;Yes")+COUNTIFS(Opportunities!$A$3:$A$502,$A139,Opportunities!$C$3:$C$502,"Won",Opportunities!$Q$3:$Q$502,"Satisfied")&gt;0,4,IF(COUNTIFS(Interactions!$B$3:$B$502,$A139,Interactions!$I$3:$I$502,"Yes",Interactions!$A$3:$A$502,"&gt;="&amp;(S_Today-S_WarmDays))&gt;0,3,IF(T139&lt;&gt;"",2,IF(COUNTIFS(Contacts!$A$3:$A$502,$A139,Contacts!$M$3:$M$502,"Yes",Contacts!$K$3:$K$502,"&lt;&gt;Yes",Contacts!$L$3:$L$502,"&lt;&gt;Yes")&gt;0,1,0)))))</f>
        <v/>
      </c>
      <c r="AE139" s="32" t="str">
        <f aca="false">IF($A139="","",IF(Z139="Yes","Do not contact",IF(AC139="","Research",IF(AND(AC139&gt;=S_FitHigh,AD139&gt;=S_AccessHigh),"Priority",IF(AC139&gt;=S_FitHigh,"Build a Path",IF(AD139&gt;=S_AccessHigh,"Quick Win","Low Priority"))))))</f>
        <v/>
      </c>
      <c r="AF139" s="33" t="str">
        <f aca="false">IF($A139="","",IF(_xlfn.MAXIFS(Interactions!$A$3:$A$502,Interactions!$B$3:$B$502,$A139)=0,"",_xlfn.MAXIFS(Interactions!$A$3:$A$502,Interactions!$B$3:$B$502,$A139)))</f>
        <v/>
      </c>
      <c r="AG139" s="32" t="str">
        <f aca="false">IF($A139="","",COUNTIFS(Opportunities!$A$3:$A$502,$A139,Opportunities!$X$3:$X$502,"Yes"))</f>
        <v/>
      </c>
      <c r="AH139" s="32" t="str">
        <f aca="false">IF($A139="","",_xlfn.TEXTJOIN(", ",TRUE(),IF(COUNTIF($A$3:$A$502,$A139)&gt;1,"Duplicate name",""),IF(OR(AND(G139=2,I139=""),AND(J139=2,L139=""),AND(M139=2,O139=""),AND(P139=2,R139="")),"Source missing for a 2",""),IF(F139="","No owner",IF(COUNTIFS(R_TeamName,F139,R_TeamActive,"No")&gt;0,"Needs new owner","")),IF(AND(V139="Yes",X139&lt;&gt;"",X139&lt;S_SemStart),"Path overdue",""),IF(AND(S139&lt;&gt;"",S139&lt;S_Today-365),"Stale research",""),IF(AND(AE139="Research",COUNTIF('Commercial Evidence'!$A$3:$A$502,$A139)=0),"Add commercial evidence","")))</f>
        <v/>
      </c>
      <c r="AI139" s="34" t="str">
        <f aca="false">IF(OR($A139="",Z139="Yes"),"",IF(AND(AE139="Priority",AG139=0,COUNTIFS(Opportunities!$A$3:$A$502,$A139,Opportunities!$Y$3:$Y$502,"Renewal due")=0),600000+(10-AC139)*1000+(4-AD139)*100+ROW()/100000,IF(V139="Yes",700000+IF(X139="",0,X139-40000)/10+ROW()/100000,IF(AND(AE139="Quick Win",U139&lt;&gt;"",AG139=0),800000+(10-AC139)*1000+ROW()/100000,IF(AND(AE139="Build a Path",COUNTIF($V$3:$V$502,"Yes")&lt;S_PathCap),900000+(10-AC139)*1000+(4-AD139)*100+ROW()/100000,"")))))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8"/>
      <c r="T140" s="27"/>
      <c r="U140" s="27"/>
      <c r="V140" s="27"/>
      <c r="W140" s="27"/>
      <c r="X140" s="28"/>
      <c r="Y140" s="27"/>
      <c r="Z140" s="27"/>
      <c r="AA140" s="27"/>
      <c r="AB140" s="32" t="str">
        <f aca="false">IF($A140="","",IF(COUNTIF('Commercial Evidence'!$A$3:$A$502,$A140)=0,"",IF(COUNTIFS('Commercial Evidence'!$A$3:$A$502,$A140,'Commercial Evidence'!$B$3:$B$502,"Previous CBS Talks spend")+COUNTIFS('Commercial Evidence'!$A$3:$A$502,$A140,'Commercial Evidence'!$B$3:$B$502,"Sponsors student organisations")&gt;0,2,IF(COUNTIFS('Commercial Evidence'!$A$3:$A$502,$A140,'Commercial Evidence'!$B$3:$B$502,"Sponsors university activities")+COUNTIFS('Commercial Evidence'!$A$3:$A$502,$A140,'Commercial Evidence'!$B$3:$B$502,"Sponsors similar events")+COUNTIFS('Commercial Evidence'!$A$3:$A$502,$A140,'Commercial Evidence'!$B$3:$B$502,"Previous CBS Talks partner")&gt;0,1,0))))</f>
        <v/>
      </c>
      <c r="AC140" s="32" t="str">
        <f aca="false">IF($A140="","",IF(COUNT(G140,J140,M140,P140,AB140)&lt;5,"",G140+J140+M140+P140+AB140))</f>
        <v/>
      </c>
      <c r="AD140" s="32" t="str">
        <f aca="false">IF($A140="","",IF(COUNTIFS(Contacts!$A$3:$A$502,$A140,Contacts!$E$3:$E$502,"Champion",Contacts!$K$3:$K$502,"&lt;&gt;Yes",Contacts!$L$3:$L$502,"&lt;&gt;Yes")+COUNTIFS(Opportunities!$A$3:$A$502,$A140,Opportunities!$C$3:$C$502,"Won",Opportunities!$Q$3:$Q$502,"Satisfied")&gt;0,4,IF(COUNTIFS(Interactions!$B$3:$B$502,$A140,Interactions!$I$3:$I$502,"Yes",Interactions!$A$3:$A$502,"&gt;="&amp;(S_Today-S_WarmDays))&gt;0,3,IF(T140&lt;&gt;"",2,IF(COUNTIFS(Contacts!$A$3:$A$502,$A140,Contacts!$M$3:$M$502,"Yes",Contacts!$K$3:$K$502,"&lt;&gt;Yes",Contacts!$L$3:$L$502,"&lt;&gt;Yes")&gt;0,1,0)))))</f>
        <v/>
      </c>
      <c r="AE140" s="32" t="str">
        <f aca="false">IF($A140="","",IF(Z140="Yes","Do not contact",IF(AC140="","Research",IF(AND(AC140&gt;=S_FitHigh,AD140&gt;=S_AccessHigh),"Priority",IF(AC140&gt;=S_FitHigh,"Build a Path",IF(AD140&gt;=S_AccessHigh,"Quick Win","Low Priority"))))))</f>
        <v/>
      </c>
      <c r="AF140" s="33" t="str">
        <f aca="false">IF($A140="","",IF(_xlfn.MAXIFS(Interactions!$A$3:$A$502,Interactions!$B$3:$B$502,$A140)=0,"",_xlfn.MAXIFS(Interactions!$A$3:$A$502,Interactions!$B$3:$B$502,$A140)))</f>
        <v/>
      </c>
      <c r="AG140" s="32" t="str">
        <f aca="false">IF($A140="","",COUNTIFS(Opportunities!$A$3:$A$502,$A140,Opportunities!$X$3:$X$502,"Yes"))</f>
        <v/>
      </c>
      <c r="AH140" s="32" t="str">
        <f aca="false">IF($A140="","",_xlfn.TEXTJOIN(", ",TRUE(),IF(COUNTIF($A$3:$A$502,$A140)&gt;1,"Duplicate name",""),IF(OR(AND(G140=2,I140=""),AND(J140=2,L140=""),AND(M140=2,O140=""),AND(P140=2,R140="")),"Source missing for a 2",""),IF(F140="","No owner",IF(COUNTIFS(R_TeamName,F140,R_TeamActive,"No")&gt;0,"Needs new owner","")),IF(AND(V140="Yes",X140&lt;&gt;"",X140&lt;S_SemStart),"Path overdue",""),IF(AND(S140&lt;&gt;"",S140&lt;S_Today-365),"Stale research",""),IF(AND(AE140="Research",COUNTIF('Commercial Evidence'!$A$3:$A$502,$A140)=0),"Add commercial evidence","")))</f>
        <v/>
      </c>
      <c r="AI140" s="34" t="str">
        <f aca="false">IF(OR($A140="",Z140="Yes"),"",IF(AND(AE140="Priority",AG140=0,COUNTIFS(Opportunities!$A$3:$A$502,$A140,Opportunities!$Y$3:$Y$502,"Renewal due")=0),600000+(10-AC140)*1000+(4-AD140)*100+ROW()/100000,IF(V140="Yes",700000+IF(X140="",0,X140-40000)/10+ROW()/100000,IF(AND(AE140="Quick Win",U140&lt;&gt;"",AG140=0),800000+(10-AC140)*1000+ROW()/100000,IF(AND(AE140="Build a Path",COUNTIF($V$3:$V$502,"Yes")&lt;S_PathCap),900000+(10-AC140)*1000+(4-AD140)*100+ROW()/100000,"")))))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8"/>
      <c r="T141" s="27"/>
      <c r="U141" s="27"/>
      <c r="V141" s="27"/>
      <c r="W141" s="27"/>
      <c r="X141" s="28"/>
      <c r="Y141" s="27"/>
      <c r="Z141" s="27"/>
      <c r="AA141" s="27"/>
      <c r="AB141" s="32" t="str">
        <f aca="false">IF($A141="","",IF(COUNTIF('Commercial Evidence'!$A$3:$A$502,$A141)=0,"",IF(COUNTIFS('Commercial Evidence'!$A$3:$A$502,$A141,'Commercial Evidence'!$B$3:$B$502,"Previous CBS Talks spend")+COUNTIFS('Commercial Evidence'!$A$3:$A$502,$A141,'Commercial Evidence'!$B$3:$B$502,"Sponsors student organisations")&gt;0,2,IF(COUNTIFS('Commercial Evidence'!$A$3:$A$502,$A141,'Commercial Evidence'!$B$3:$B$502,"Sponsors university activities")+COUNTIFS('Commercial Evidence'!$A$3:$A$502,$A141,'Commercial Evidence'!$B$3:$B$502,"Sponsors similar events")+COUNTIFS('Commercial Evidence'!$A$3:$A$502,$A141,'Commercial Evidence'!$B$3:$B$502,"Previous CBS Talks partner")&gt;0,1,0))))</f>
        <v/>
      </c>
      <c r="AC141" s="32" t="str">
        <f aca="false">IF($A141="","",IF(COUNT(G141,J141,M141,P141,AB141)&lt;5,"",G141+J141+M141+P141+AB141))</f>
        <v/>
      </c>
      <c r="AD141" s="32" t="str">
        <f aca="false">IF($A141="","",IF(COUNTIFS(Contacts!$A$3:$A$502,$A141,Contacts!$E$3:$E$502,"Champion",Contacts!$K$3:$K$502,"&lt;&gt;Yes",Contacts!$L$3:$L$502,"&lt;&gt;Yes")+COUNTIFS(Opportunities!$A$3:$A$502,$A141,Opportunities!$C$3:$C$502,"Won",Opportunities!$Q$3:$Q$502,"Satisfied")&gt;0,4,IF(COUNTIFS(Interactions!$B$3:$B$502,$A141,Interactions!$I$3:$I$502,"Yes",Interactions!$A$3:$A$502,"&gt;="&amp;(S_Today-S_WarmDays))&gt;0,3,IF(T141&lt;&gt;"",2,IF(COUNTIFS(Contacts!$A$3:$A$502,$A141,Contacts!$M$3:$M$502,"Yes",Contacts!$K$3:$K$502,"&lt;&gt;Yes",Contacts!$L$3:$L$502,"&lt;&gt;Yes")&gt;0,1,0)))))</f>
        <v/>
      </c>
      <c r="AE141" s="32" t="str">
        <f aca="false">IF($A141="","",IF(Z141="Yes","Do not contact",IF(AC141="","Research",IF(AND(AC141&gt;=S_FitHigh,AD141&gt;=S_AccessHigh),"Priority",IF(AC141&gt;=S_FitHigh,"Build a Path",IF(AD141&gt;=S_AccessHigh,"Quick Win","Low Priority"))))))</f>
        <v/>
      </c>
      <c r="AF141" s="33" t="str">
        <f aca="false">IF($A141="","",IF(_xlfn.MAXIFS(Interactions!$A$3:$A$502,Interactions!$B$3:$B$502,$A141)=0,"",_xlfn.MAXIFS(Interactions!$A$3:$A$502,Interactions!$B$3:$B$502,$A141)))</f>
        <v/>
      </c>
      <c r="AG141" s="32" t="str">
        <f aca="false">IF($A141="","",COUNTIFS(Opportunities!$A$3:$A$502,$A141,Opportunities!$X$3:$X$502,"Yes"))</f>
        <v/>
      </c>
      <c r="AH141" s="32" t="str">
        <f aca="false">IF($A141="","",_xlfn.TEXTJOIN(", ",TRUE(),IF(COUNTIF($A$3:$A$502,$A141)&gt;1,"Duplicate name",""),IF(OR(AND(G141=2,I141=""),AND(J141=2,L141=""),AND(M141=2,O141=""),AND(P141=2,R141="")),"Source missing for a 2",""),IF(F141="","No owner",IF(COUNTIFS(R_TeamName,F141,R_TeamActive,"No")&gt;0,"Needs new owner","")),IF(AND(V141="Yes",X141&lt;&gt;"",X141&lt;S_SemStart),"Path overdue",""),IF(AND(S141&lt;&gt;"",S141&lt;S_Today-365),"Stale research",""),IF(AND(AE141="Research",COUNTIF('Commercial Evidence'!$A$3:$A$502,$A141)=0),"Add commercial evidence","")))</f>
        <v/>
      </c>
      <c r="AI141" s="34" t="str">
        <f aca="false">IF(OR($A141="",Z141="Yes"),"",IF(AND(AE141="Priority",AG141=0,COUNTIFS(Opportunities!$A$3:$A$502,$A141,Opportunities!$Y$3:$Y$502,"Renewal due")=0),600000+(10-AC141)*1000+(4-AD141)*100+ROW()/100000,IF(V141="Yes",700000+IF(X141="",0,X141-40000)/10+ROW()/100000,IF(AND(AE141="Quick Win",U141&lt;&gt;"",AG141=0),800000+(10-AC141)*1000+ROW()/100000,IF(AND(AE141="Build a Path",COUNTIF($V$3:$V$502,"Yes")&lt;S_PathCap),900000+(10-AC141)*1000+(4-AD141)*100+ROW()/100000,"")))))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8"/>
      <c r="T142" s="27"/>
      <c r="U142" s="27"/>
      <c r="V142" s="27"/>
      <c r="W142" s="27"/>
      <c r="X142" s="28"/>
      <c r="Y142" s="27"/>
      <c r="Z142" s="27"/>
      <c r="AA142" s="27"/>
      <c r="AB142" s="32" t="str">
        <f aca="false">IF($A142="","",IF(COUNTIF('Commercial Evidence'!$A$3:$A$502,$A142)=0,"",IF(COUNTIFS('Commercial Evidence'!$A$3:$A$502,$A142,'Commercial Evidence'!$B$3:$B$502,"Previous CBS Talks spend")+COUNTIFS('Commercial Evidence'!$A$3:$A$502,$A142,'Commercial Evidence'!$B$3:$B$502,"Sponsors student organisations")&gt;0,2,IF(COUNTIFS('Commercial Evidence'!$A$3:$A$502,$A142,'Commercial Evidence'!$B$3:$B$502,"Sponsors university activities")+COUNTIFS('Commercial Evidence'!$A$3:$A$502,$A142,'Commercial Evidence'!$B$3:$B$502,"Sponsors similar events")+COUNTIFS('Commercial Evidence'!$A$3:$A$502,$A142,'Commercial Evidence'!$B$3:$B$502,"Previous CBS Talks partner")&gt;0,1,0))))</f>
        <v/>
      </c>
      <c r="AC142" s="32" t="str">
        <f aca="false">IF($A142="","",IF(COUNT(G142,J142,M142,P142,AB142)&lt;5,"",G142+J142+M142+P142+AB142))</f>
        <v/>
      </c>
      <c r="AD142" s="32" t="str">
        <f aca="false">IF($A142="","",IF(COUNTIFS(Contacts!$A$3:$A$502,$A142,Contacts!$E$3:$E$502,"Champion",Contacts!$K$3:$K$502,"&lt;&gt;Yes",Contacts!$L$3:$L$502,"&lt;&gt;Yes")+COUNTIFS(Opportunities!$A$3:$A$502,$A142,Opportunities!$C$3:$C$502,"Won",Opportunities!$Q$3:$Q$502,"Satisfied")&gt;0,4,IF(COUNTIFS(Interactions!$B$3:$B$502,$A142,Interactions!$I$3:$I$502,"Yes",Interactions!$A$3:$A$502,"&gt;="&amp;(S_Today-S_WarmDays))&gt;0,3,IF(T142&lt;&gt;"",2,IF(COUNTIFS(Contacts!$A$3:$A$502,$A142,Contacts!$M$3:$M$502,"Yes",Contacts!$K$3:$K$502,"&lt;&gt;Yes",Contacts!$L$3:$L$502,"&lt;&gt;Yes")&gt;0,1,0)))))</f>
        <v/>
      </c>
      <c r="AE142" s="32" t="str">
        <f aca="false">IF($A142="","",IF(Z142="Yes","Do not contact",IF(AC142="","Research",IF(AND(AC142&gt;=S_FitHigh,AD142&gt;=S_AccessHigh),"Priority",IF(AC142&gt;=S_FitHigh,"Build a Path",IF(AD142&gt;=S_AccessHigh,"Quick Win","Low Priority"))))))</f>
        <v/>
      </c>
      <c r="AF142" s="33" t="str">
        <f aca="false">IF($A142="","",IF(_xlfn.MAXIFS(Interactions!$A$3:$A$502,Interactions!$B$3:$B$502,$A142)=0,"",_xlfn.MAXIFS(Interactions!$A$3:$A$502,Interactions!$B$3:$B$502,$A142)))</f>
        <v/>
      </c>
      <c r="AG142" s="32" t="str">
        <f aca="false">IF($A142="","",COUNTIFS(Opportunities!$A$3:$A$502,$A142,Opportunities!$X$3:$X$502,"Yes"))</f>
        <v/>
      </c>
      <c r="AH142" s="32" t="str">
        <f aca="false">IF($A142="","",_xlfn.TEXTJOIN(", ",TRUE(),IF(COUNTIF($A$3:$A$502,$A142)&gt;1,"Duplicate name",""),IF(OR(AND(G142=2,I142=""),AND(J142=2,L142=""),AND(M142=2,O142=""),AND(P142=2,R142="")),"Source missing for a 2",""),IF(F142="","No owner",IF(COUNTIFS(R_TeamName,F142,R_TeamActive,"No")&gt;0,"Needs new owner","")),IF(AND(V142="Yes",X142&lt;&gt;"",X142&lt;S_SemStart),"Path overdue",""),IF(AND(S142&lt;&gt;"",S142&lt;S_Today-365),"Stale research",""),IF(AND(AE142="Research",COUNTIF('Commercial Evidence'!$A$3:$A$502,$A142)=0),"Add commercial evidence","")))</f>
        <v/>
      </c>
      <c r="AI142" s="34" t="str">
        <f aca="false">IF(OR($A142="",Z142="Yes"),"",IF(AND(AE142="Priority",AG142=0,COUNTIFS(Opportunities!$A$3:$A$502,$A142,Opportunities!$Y$3:$Y$502,"Renewal due")=0),600000+(10-AC142)*1000+(4-AD142)*100+ROW()/100000,IF(V142="Yes",700000+IF(X142="",0,X142-40000)/10+ROW()/100000,IF(AND(AE142="Quick Win",U142&lt;&gt;"",AG142=0),800000+(10-AC142)*1000+ROW()/100000,IF(AND(AE142="Build a Path",COUNTIF($V$3:$V$502,"Yes")&lt;S_PathCap),900000+(10-AC142)*1000+(4-AD142)*100+ROW()/100000,"")))))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8"/>
      <c r="T143" s="27"/>
      <c r="U143" s="27"/>
      <c r="V143" s="27"/>
      <c r="W143" s="27"/>
      <c r="X143" s="28"/>
      <c r="Y143" s="27"/>
      <c r="Z143" s="27"/>
      <c r="AA143" s="27"/>
      <c r="AB143" s="32" t="str">
        <f aca="false">IF($A143="","",IF(COUNTIF('Commercial Evidence'!$A$3:$A$502,$A143)=0,"",IF(COUNTIFS('Commercial Evidence'!$A$3:$A$502,$A143,'Commercial Evidence'!$B$3:$B$502,"Previous CBS Talks spend")+COUNTIFS('Commercial Evidence'!$A$3:$A$502,$A143,'Commercial Evidence'!$B$3:$B$502,"Sponsors student organisations")&gt;0,2,IF(COUNTIFS('Commercial Evidence'!$A$3:$A$502,$A143,'Commercial Evidence'!$B$3:$B$502,"Sponsors university activities")+COUNTIFS('Commercial Evidence'!$A$3:$A$502,$A143,'Commercial Evidence'!$B$3:$B$502,"Sponsors similar events")+COUNTIFS('Commercial Evidence'!$A$3:$A$502,$A143,'Commercial Evidence'!$B$3:$B$502,"Previous CBS Talks partner")&gt;0,1,0))))</f>
        <v/>
      </c>
      <c r="AC143" s="32" t="str">
        <f aca="false">IF($A143="","",IF(COUNT(G143,J143,M143,P143,AB143)&lt;5,"",G143+J143+M143+P143+AB143))</f>
        <v/>
      </c>
      <c r="AD143" s="32" t="str">
        <f aca="false">IF($A143="","",IF(COUNTIFS(Contacts!$A$3:$A$502,$A143,Contacts!$E$3:$E$502,"Champion",Contacts!$K$3:$K$502,"&lt;&gt;Yes",Contacts!$L$3:$L$502,"&lt;&gt;Yes")+COUNTIFS(Opportunities!$A$3:$A$502,$A143,Opportunities!$C$3:$C$502,"Won",Opportunities!$Q$3:$Q$502,"Satisfied")&gt;0,4,IF(COUNTIFS(Interactions!$B$3:$B$502,$A143,Interactions!$I$3:$I$502,"Yes",Interactions!$A$3:$A$502,"&gt;="&amp;(S_Today-S_WarmDays))&gt;0,3,IF(T143&lt;&gt;"",2,IF(COUNTIFS(Contacts!$A$3:$A$502,$A143,Contacts!$M$3:$M$502,"Yes",Contacts!$K$3:$K$502,"&lt;&gt;Yes",Contacts!$L$3:$L$502,"&lt;&gt;Yes")&gt;0,1,0)))))</f>
        <v/>
      </c>
      <c r="AE143" s="32" t="str">
        <f aca="false">IF($A143="","",IF(Z143="Yes","Do not contact",IF(AC143="","Research",IF(AND(AC143&gt;=S_FitHigh,AD143&gt;=S_AccessHigh),"Priority",IF(AC143&gt;=S_FitHigh,"Build a Path",IF(AD143&gt;=S_AccessHigh,"Quick Win","Low Priority"))))))</f>
        <v/>
      </c>
      <c r="AF143" s="33" t="str">
        <f aca="false">IF($A143="","",IF(_xlfn.MAXIFS(Interactions!$A$3:$A$502,Interactions!$B$3:$B$502,$A143)=0,"",_xlfn.MAXIFS(Interactions!$A$3:$A$502,Interactions!$B$3:$B$502,$A143)))</f>
        <v/>
      </c>
      <c r="AG143" s="32" t="str">
        <f aca="false">IF($A143="","",COUNTIFS(Opportunities!$A$3:$A$502,$A143,Opportunities!$X$3:$X$502,"Yes"))</f>
        <v/>
      </c>
      <c r="AH143" s="32" t="str">
        <f aca="false">IF($A143="","",_xlfn.TEXTJOIN(", ",TRUE(),IF(COUNTIF($A$3:$A$502,$A143)&gt;1,"Duplicate name",""),IF(OR(AND(G143=2,I143=""),AND(J143=2,L143=""),AND(M143=2,O143=""),AND(P143=2,R143="")),"Source missing for a 2",""),IF(F143="","No owner",IF(COUNTIFS(R_TeamName,F143,R_TeamActive,"No")&gt;0,"Needs new owner","")),IF(AND(V143="Yes",X143&lt;&gt;"",X143&lt;S_SemStart),"Path overdue",""),IF(AND(S143&lt;&gt;"",S143&lt;S_Today-365),"Stale research",""),IF(AND(AE143="Research",COUNTIF('Commercial Evidence'!$A$3:$A$502,$A143)=0),"Add commercial evidence","")))</f>
        <v/>
      </c>
      <c r="AI143" s="34" t="str">
        <f aca="false">IF(OR($A143="",Z143="Yes"),"",IF(AND(AE143="Priority",AG143=0,COUNTIFS(Opportunities!$A$3:$A$502,$A143,Opportunities!$Y$3:$Y$502,"Renewal due")=0),600000+(10-AC143)*1000+(4-AD143)*100+ROW()/100000,IF(V143="Yes",700000+IF(X143="",0,X143-40000)/10+ROW()/100000,IF(AND(AE143="Quick Win",U143&lt;&gt;"",AG143=0),800000+(10-AC143)*1000+ROW()/100000,IF(AND(AE143="Build a Path",COUNTIF($V$3:$V$502,"Yes")&lt;S_PathCap),900000+(10-AC143)*1000+(4-AD143)*100+ROW()/100000,"")))))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8"/>
      <c r="T144" s="27"/>
      <c r="U144" s="27"/>
      <c r="V144" s="27"/>
      <c r="W144" s="27"/>
      <c r="X144" s="28"/>
      <c r="Y144" s="27"/>
      <c r="Z144" s="27"/>
      <c r="AA144" s="27"/>
      <c r="AB144" s="32" t="str">
        <f aca="false">IF($A144="","",IF(COUNTIF('Commercial Evidence'!$A$3:$A$502,$A144)=0,"",IF(COUNTIFS('Commercial Evidence'!$A$3:$A$502,$A144,'Commercial Evidence'!$B$3:$B$502,"Previous CBS Talks spend")+COUNTIFS('Commercial Evidence'!$A$3:$A$502,$A144,'Commercial Evidence'!$B$3:$B$502,"Sponsors student organisations")&gt;0,2,IF(COUNTIFS('Commercial Evidence'!$A$3:$A$502,$A144,'Commercial Evidence'!$B$3:$B$502,"Sponsors university activities")+COUNTIFS('Commercial Evidence'!$A$3:$A$502,$A144,'Commercial Evidence'!$B$3:$B$502,"Sponsors similar events")+COUNTIFS('Commercial Evidence'!$A$3:$A$502,$A144,'Commercial Evidence'!$B$3:$B$502,"Previous CBS Talks partner")&gt;0,1,0))))</f>
        <v/>
      </c>
      <c r="AC144" s="32" t="str">
        <f aca="false">IF($A144="","",IF(COUNT(G144,J144,M144,P144,AB144)&lt;5,"",G144+J144+M144+P144+AB144))</f>
        <v/>
      </c>
      <c r="AD144" s="32" t="str">
        <f aca="false">IF($A144="","",IF(COUNTIFS(Contacts!$A$3:$A$502,$A144,Contacts!$E$3:$E$502,"Champion",Contacts!$K$3:$K$502,"&lt;&gt;Yes",Contacts!$L$3:$L$502,"&lt;&gt;Yes")+COUNTIFS(Opportunities!$A$3:$A$502,$A144,Opportunities!$C$3:$C$502,"Won",Opportunities!$Q$3:$Q$502,"Satisfied")&gt;0,4,IF(COUNTIFS(Interactions!$B$3:$B$502,$A144,Interactions!$I$3:$I$502,"Yes",Interactions!$A$3:$A$502,"&gt;="&amp;(S_Today-S_WarmDays))&gt;0,3,IF(T144&lt;&gt;"",2,IF(COUNTIFS(Contacts!$A$3:$A$502,$A144,Contacts!$M$3:$M$502,"Yes",Contacts!$K$3:$K$502,"&lt;&gt;Yes",Contacts!$L$3:$L$502,"&lt;&gt;Yes")&gt;0,1,0)))))</f>
        <v/>
      </c>
      <c r="AE144" s="32" t="str">
        <f aca="false">IF($A144="","",IF(Z144="Yes","Do not contact",IF(AC144="","Research",IF(AND(AC144&gt;=S_FitHigh,AD144&gt;=S_AccessHigh),"Priority",IF(AC144&gt;=S_FitHigh,"Build a Path",IF(AD144&gt;=S_AccessHigh,"Quick Win","Low Priority"))))))</f>
        <v/>
      </c>
      <c r="AF144" s="33" t="str">
        <f aca="false">IF($A144="","",IF(_xlfn.MAXIFS(Interactions!$A$3:$A$502,Interactions!$B$3:$B$502,$A144)=0,"",_xlfn.MAXIFS(Interactions!$A$3:$A$502,Interactions!$B$3:$B$502,$A144)))</f>
        <v/>
      </c>
      <c r="AG144" s="32" t="str">
        <f aca="false">IF($A144="","",COUNTIFS(Opportunities!$A$3:$A$502,$A144,Opportunities!$X$3:$X$502,"Yes"))</f>
        <v/>
      </c>
      <c r="AH144" s="32" t="str">
        <f aca="false">IF($A144="","",_xlfn.TEXTJOIN(", ",TRUE(),IF(COUNTIF($A$3:$A$502,$A144)&gt;1,"Duplicate name",""),IF(OR(AND(G144=2,I144=""),AND(J144=2,L144=""),AND(M144=2,O144=""),AND(P144=2,R144="")),"Source missing for a 2",""),IF(F144="","No owner",IF(COUNTIFS(R_TeamName,F144,R_TeamActive,"No")&gt;0,"Needs new owner","")),IF(AND(V144="Yes",X144&lt;&gt;"",X144&lt;S_SemStart),"Path overdue",""),IF(AND(S144&lt;&gt;"",S144&lt;S_Today-365),"Stale research",""),IF(AND(AE144="Research",COUNTIF('Commercial Evidence'!$A$3:$A$502,$A144)=0),"Add commercial evidence","")))</f>
        <v/>
      </c>
      <c r="AI144" s="34" t="str">
        <f aca="false">IF(OR($A144="",Z144="Yes"),"",IF(AND(AE144="Priority",AG144=0,COUNTIFS(Opportunities!$A$3:$A$502,$A144,Opportunities!$Y$3:$Y$502,"Renewal due")=0),600000+(10-AC144)*1000+(4-AD144)*100+ROW()/100000,IF(V144="Yes",700000+IF(X144="",0,X144-40000)/10+ROW()/100000,IF(AND(AE144="Quick Win",U144&lt;&gt;"",AG144=0),800000+(10-AC144)*1000+ROW()/100000,IF(AND(AE144="Build a Path",COUNTIF($V$3:$V$502,"Yes")&lt;S_PathCap),900000+(10-AC144)*1000+(4-AD144)*100+ROW()/100000,"")))))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8"/>
      <c r="T145" s="27"/>
      <c r="U145" s="27"/>
      <c r="V145" s="27"/>
      <c r="W145" s="27"/>
      <c r="X145" s="28"/>
      <c r="Y145" s="27"/>
      <c r="Z145" s="27"/>
      <c r="AA145" s="27"/>
      <c r="AB145" s="32" t="str">
        <f aca="false">IF($A145="","",IF(COUNTIF('Commercial Evidence'!$A$3:$A$502,$A145)=0,"",IF(COUNTIFS('Commercial Evidence'!$A$3:$A$502,$A145,'Commercial Evidence'!$B$3:$B$502,"Previous CBS Talks spend")+COUNTIFS('Commercial Evidence'!$A$3:$A$502,$A145,'Commercial Evidence'!$B$3:$B$502,"Sponsors student organisations")&gt;0,2,IF(COUNTIFS('Commercial Evidence'!$A$3:$A$502,$A145,'Commercial Evidence'!$B$3:$B$502,"Sponsors university activities")+COUNTIFS('Commercial Evidence'!$A$3:$A$502,$A145,'Commercial Evidence'!$B$3:$B$502,"Sponsors similar events")+COUNTIFS('Commercial Evidence'!$A$3:$A$502,$A145,'Commercial Evidence'!$B$3:$B$502,"Previous CBS Talks partner")&gt;0,1,0))))</f>
        <v/>
      </c>
      <c r="AC145" s="32" t="str">
        <f aca="false">IF($A145="","",IF(COUNT(G145,J145,M145,P145,AB145)&lt;5,"",G145+J145+M145+P145+AB145))</f>
        <v/>
      </c>
      <c r="AD145" s="32" t="str">
        <f aca="false">IF($A145="","",IF(COUNTIFS(Contacts!$A$3:$A$502,$A145,Contacts!$E$3:$E$502,"Champion",Contacts!$K$3:$K$502,"&lt;&gt;Yes",Contacts!$L$3:$L$502,"&lt;&gt;Yes")+COUNTIFS(Opportunities!$A$3:$A$502,$A145,Opportunities!$C$3:$C$502,"Won",Opportunities!$Q$3:$Q$502,"Satisfied")&gt;0,4,IF(COUNTIFS(Interactions!$B$3:$B$502,$A145,Interactions!$I$3:$I$502,"Yes",Interactions!$A$3:$A$502,"&gt;="&amp;(S_Today-S_WarmDays))&gt;0,3,IF(T145&lt;&gt;"",2,IF(COUNTIFS(Contacts!$A$3:$A$502,$A145,Contacts!$M$3:$M$502,"Yes",Contacts!$K$3:$K$502,"&lt;&gt;Yes",Contacts!$L$3:$L$502,"&lt;&gt;Yes")&gt;0,1,0)))))</f>
        <v/>
      </c>
      <c r="AE145" s="32" t="str">
        <f aca="false">IF($A145="","",IF(Z145="Yes","Do not contact",IF(AC145="","Research",IF(AND(AC145&gt;=S_FitHigh,AD145&gt;=S_AccessHigh),"Priority",IF(AC145&gt;=S_FitHigh,"Build a Path",IF(AD145&gt;=S_AccessHigh,"Quick Win","Low Priority"))))))</f>
        <v/>
      </c>
      <c r="AF145" s="33" t="str">
        <f aca="false">IF($A145="","",IF(_xlfn.MAXIFS(Interactions!$A$3:$A$502,Interactions!$B$3:$B$502,$A145)=0,"",_xlfn.MAXIFS(Interactions!$A$3:$A$502,Interactions!$B$3:$B$502,$A145)))</f>
        <v/>
      </c>
      <c r="AG145" s="32" t="str">
        <f aca="false">IF($A145="","",COUNTIFS(Opportunities!$A$3:$A$502,$A145,Opportunities!$X$3:$X$502,"Yes"))</f>
        <v/>
      </c>
      <c r="AH145" s="32" t="str">
        <f aca="false">IF($A145="","",_xlfn.TEXTJOIN(", ",TRUE(),IF(COUNTIF($A$3:$A$502,$A145)&gt;1,"Duplicate name",""),IF(OR(AND(G145=2,I145=""),AND(J145=2,L145=""),AND(M145=2,O145=""),AND(P145=2,R145="")),"Source missing for a 2",""),IF(F145="","No owner",IF(COUNTIFS(R_TeamName,F145,R_TeamActive,"No")&gt;0,"Needs new owner","")),IF(AND(V145="Yes",X145&lt;&gt;"",X145&lt;S_SemStart),"Path overdue",""),IF(AND(S145&lt;&gt;"",S145&lt;S_Today-365),"Stale research",""),IF(AND(AE145="Research",COUNTIF('Commercial Evidence'!$A$3:$A$502,$A145)=0),"Add commercial evidence","")))</f>
        <v/>
      </c>
      <c r="AI145" s="34" t="str">
        <f aca="false">IF(OR($A145="",Z145="Yes"),"",IF(AND(AE145="Priority",AG145=0,COUNTIFS(Opportunities!$A$3:$A$502,$A145,Opportunities!$Y$3:$Y$502,"Renewal due")=0),600000+(10-AC145)*1000+(4-AD145)*100+ROW()/100000,IF(V145="Yes",700000+IF(X145="",0,X145-40000)/10+ROW()/100000,IF(AND(AE145="Quick Win",U145&lt;&gt;"",AG145=0),800000+(10-AC145)*1000+ROW()/100000,IF(AND(AE145="Build a Path",COUNTIF($V$3:$V$502,"Yes")&lt;S_PathCap),900000+(10-AC145)*1000+(4-AD145)*100+ROW()/100000,"")))))</f>
        <v/>
      </c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8"/>
      <c r="T146" s="27"/>
      <c r="U146" s="27"/>
      <c r="V146" s="27"/>
      <c r="W146" s="27"/>
      <c r="X146" s="28"/>
      <c r="Y146" s="27"/>
      <c r="Z146" s="27"/>
      <c r="AA146" s="27"/>
      <c r="AB146" s="32" t="str">
        <f aca="false">IF($A146="","",IF(COUNTIF('Commercial Evidence'!$A$3:$A$502,$A146)=0,"",IF(COUNTIFS('Commercial Evidence'!$A$3:$A$502,$A146,'Commercial Evidence'!$B$3:$B$502,"Previous CBS Talks spend")+COUNTIFS('Commercial Evidence'!$A$3:$A$502,$A146,'Commercial Evidence'!$B$3:$B$502,"Sponsors student organisations")&gt;0,2,IF(COUNTIFS('Commercial Evidence'!$A$3:$A$502,$A146,'Commercial Evidence'!$B$3:$B$502,"Sponsors university activities")+COUNTIFS('Commercial Evidence'!$A$3:$A$502,$A146,'Commercial Evidence'!$B$3:$B$502,"Sponsors similar events")+COUNTIFS('Commercial Evidence'!$A$3:$A$502,$A146,'Commercial Evidence'!$B$3:$B$502,"Previous CBS Talks partner")&gt;0,1,0))))</f>
        <v/>
      </c>
      <c r="AC146" s="32" t="str">
        <f aca="false">IF($A146="","",IF(COUNT(G146,J146,M146,P146,AB146)&lt;5,"",G146+J146+M146+P146+AB146))</f>
        <v/>
      </c>
      <c r="AD146" s="32" t="str">
        <f aca="false">IF($A146="","",IF(COUNTIFS(Contacts!$A$3:$A$502,$A146,Contacts!$E$3:$E$502,"Champion",Contacts!$K$3:$K$502,"&lt;&gt;Yes",Contacts!$L$3:$L$502,"&lt;&gt;Yes")+COUNTIFS(Opportunities!$A$3:$A$502,$A146,Opportunities!$C$3:$C$502,"Won",Opportunities!$Q$3:$Q$502,"Satisfied")&gt;0,4,IF(COUNTIFS(Interactions!$B$3:$B$502,$A146,Interactions!$I$3:$I$502,"Yes",Interactions!$A$3:$A$502,"&gt;="&amp;(S_Today-S_WarmDays))&gt;0,3,IF(T146&lt;&gt;"",2,IF(COUNTIFS(Contacts!$A$3:$A$502,$A146,Contacts!$M$3:$M$502,"Yes",Contacts!$K$3:$K$502,"&lt;&gt;Yes",Contacts!$L$3:$L$502,"&lt;&gt;Yes")&gt;0,1,0)))))</f>
        <v/>
      </c>
      <c r="AE146" s="32" t="str">
        <f aca="false">IF($A146="","",IF(Z146="Yes","Do not contact",IF(AC146="","Research",IF(AND(AC146&gt;=S_FitHigh,AD146&gt;=S_AccessHigh),"Priority",IF(AC146&gt;=S_FitHigh,"Build a Path",IF(AD146&gt;=S_AccessHigh,"Quick Win","Low Priority"))))))</f>
        <v/>
      </c>
      <c r="AF146" s="33" t="str">
        <f aca="false">IF($A146="","",IF(_xlfn.MAXIFS(Interactions!$A$3:$A$502,Interactions!$B$3:$B$502,$A146)=0,"",_xlfn.MAXIFS(Interactions!$A$3:$A$502,Interactions!$B$3:$B$502,$A146)))</f>
        <v/>
      </c>
      <c r="AG146" s="32" t="str">
        <f aca="false">IF($A146="","",COUNTIFS(Opportunities!$A$3:$A$502,$A146,Opportunities!$X$3:$X$502,"Yes"))</f>
        <v/>
      </c>
      <c r="AH146" s="32" t="str">
        <f aca="false">IF($A146="","",_xlfn.TEXTJOIN(", ",TRUE(),IF(COUNTIF($A$3:$A$502,$A146)&gt;1,"Duplicate name",""),IF(OR(AND(G146=2,I146=""),AND(J146=2,L146=""),AND(M146=2,O146=""),AND(P146=2,R146="")),"Source missing for a 2",""),IF(F146="","No owner",IF(COUNTIFS(R_TeamName,F146,R_TeamActive,"No")&gt;0,"Needs new owner","")),IF(AND(V146="Yes",X146&lt;&gt;"",X146&lt;S_SemStart),"Path overdue",""),IF(AND(S146&lt;&gt;"",S146&lt;S_Today-365),"Stale research",""),IF(AND(AE146="Research",COUNTIF('Commercial Evidence'!$A$3:$A$502,$A146)=0),"Add commercial evidence","")))</f>
        <v/>
      </c>
      <c r="AI146" s="34" t="str">
        <f aca="false">IF(OR($A146="",Z146="Yes"),"",IF(AND(AE146="Priority",AG146=0,COUNTIFS(Opportunities!$A$3:$A$502,$A146,Opportunities!$Y$3:$Y$502,"Renewal due")=0),600000+(10-AC146)*1000+(4-AD146)*100+ROW()/100000,IF(V146="Yes",700000+IF(X146="",0,X146-40000)/10+ROW()/100000,IF(AND(AE146="Quick Win",U146&lt;&gt;"",AG146=0),800000+(10-AC146)*1000+ROW()/100000,IF(AND(AE146="Build a Path",COUNTIF($V$3:$V$502,"Yes")&lt;S_PathCap),900000+(10-AC146)*1000+(4-AD146)*100+ROW()/100000,"")))))</f>
        <v/>
      </c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8"/>
      <c r="T147" s="27"/>
      <c r="U147" s="27"/>
      <c r="V147" s="27"/>
      <c r="W147" s="27"/>
      <c r="X147" s="28"/>
      <c r="Y147" s="27"/>
      <c r="Z147" s="27"/>
      <c r="AA147" s="27"/>
      <c r="AB147" s="32" t="str">
        <f aca="false">IF($A147="","",IF(COUNTIF('Commercial Evidence'!$A$3:$A$502,$A147)=0,"",IF(COUNTIFS('Commercial Evidence'!$A$3:$A$502,$A147,'Commercial Evidence'!$B$3:$B$502,"Previous CBS Talks spend")+COUNTIFS('Commercial Evidence'!$A$3:$A$502,$A147,'Commercial Evidence'!$B$3:$B$502,"Sponsors student organisations")&gt;0,2,IF(COUNTIFS('Commercial Evidence'!$A$3:$A$502,$A147,'Commercial Evidence'!$B$3:$B$502,"Sponsors university activities")+COUNTIFS('Commercial Evidence'!$A$3:$A$502,$A147,'Commercial Evidence'!$B$3:$B$502,"Sponsors similar events")+COUNTIFS('Commercial Evidence'!$A$3:$A$502,$A147,'Commercial Evidence'!$B$3:$B$502,"Previous CBS Talks partner")&gt;0,1,0))))</f>
        <v/>
      </c>
      <c r="AC147" s="32" t="str">
        <f aca="false">IF($A147="","",IF(COUNT(G147,J147,M147,P147,AB147)&lt;5,"",G147+J147+M147+P147+AB147))</f>
        <v/>
      </c>
      <c r="AD147" s="32" t="str">
        <f aca="false">IF($A147="","",IF(COUNTIFS(Contacts!$A$3:$A$502,$A147,Contacts!$E$3:$E$502,"Champion",Contacts!$K$3:$K$502,"&lt;&gt;Yes",Contacts!$L$3:$L$502,"&lt;&gt;Yes")+COUNTIFS(Opportunities!$A$3:$A$502,$A147,Opportunities!$C$3:$C$502,"Won",Opportunities!$Q$3:$Q$502,"Satisfied")&gt;0,4,IF(COUNTIFS(Interactions!$B$3:$B$502,$A147,Interactions!$I$3:$I$502,"Yes",Interactions!$A$3:$A$502,"&gt;="&amp;(S_Today-S_WarmDays))&gt;0,3,IF(T147&lt;&gt;"",2,IF(COUNTIFS(Contacts!$A$3:$A$502,$A147,Contacts!$M$3:$M$502,"Yes",Contacts!$K$3:$K$502,"&lt;&gt;Yes",Contacts!$L$3:$L$502,"&lt;&gt;Yes")&gt;0,1,0)))))</f>
        <v/>
      </c>
      <c r="AE147" s="32" t="str">
        <f aca="false">IF($A147="","",IF(Z147="Yes","Do not contact",IF(AC147="","Research",IF(AND(AC147&gt;=S_FitHigh,AD147&gt;=S_AccessHigh),"Priority",IF(AC147&gt;=S_FitHigh,"Build a Path",IF(AD147&gt;=S_AccessHigh,"Quick Win","Low Priority"))))))</f>
        <v/>
      </c>
      <c r="AF147" s="33" t="str">
        <f aca="false">IF($A147="","",IF(_xlfn.MAXIFS(Interactions!$A$3:$A$502,Interactions!$B$3:$B$502,$A147)=0,"",_xlfn.MAXIFS(Interactions!$A$3:$A$502,Interactions!$B$3:$B$502,$A147)))</f>
        <v/>
      </c>
      <c r="AG147" s="32" t="str">
        <f aca="false">IF($A147="","",COUNTIFS(Opportunities!$A$3:$A$502,$A147,Opportunities!$X$3:$X$502,"Yes"))</f>
        <v/>
      </c>
      <c r="AH147" s="32" t="str">
        <f aca="false">IF($A147="","",_xlfn.TEXTJOIN(", ",TRUE(),IF(COUNTIF($A$3:$A$502,$A147)&gt;1,"Duplicate name",""),IF(OR(AND(G147=2,I147=""),AND(J147=2,L147=""),AND(M147=2,O147=""),AND(P147=2,R147="")),"Source missing for a 2",""),IF(F147="","No owner",IF(COUNTIFS(R_TeamName,F147,R_TeamActive,"No")&gt;0,"Needs new owner","")),IF(AND(V147="Yes",X147&lt;&gt;"",X147&lt;S_SemStart),"Path overdue",""),IF(AND(S147&lt;&gt;"",S147&lt;S_Today-365),"Stale research",""),IF(AND(AE147="Research",COUNTIF('Commercial Evidence'!$A$3:$A$502,$A147)=0),"Add commercial evidence","")))</f>
        <v/>
      </c>
      <c r="AI147" s="34" t="str">
        <f aca="false">IF(OR($A147="",Z147="Yes"),"",IF(AND(AE147="Priority",AG147=0,COUNTIFS(Opportunities!$A$3:$A$502,$A147,Opportunities!$Y$3:$Y$502,"Renewal due")=0),600000+(10-AC147)*1000+(4-AD147)*100+ROW()/100000,IF(V147="Yes",700000+IF(X147="",0,X147-40000)/10+ROW()/100000,IF(AND(AE147="Quick Win",U147&lt;&gt;"",AG147=0),800000+(10-AC147)*1000+ROW()/100000,IF(AND(AE147="Build a Path",COUNTIF($V$3:$V$502,"Yes")&lt;S_PathCap),900000+(10-AC147)*1000+(4-AD147)*100+ROW()/100000,"")))))</f>
        <v/>
      </c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8"/>
      <c r="T148" s="27"/>
      <c r="U148" s="27"/>
      <c r="V148" s="27"/>
      <c r="W148" s="27"/>
      <c r="X148" s="28"/>
      <c r="Y148" s="27"/>
      <c r="Z148" s="27"/>
      <c r="AA148" s="27"/>
      <c r="AB148" s="32" t="str">
        <f aca="false">IF($A148="","",IF(COUNTIF('Commercial Evidence'!$A$3:$A$502,$A148)=0,"",IF(COUNTIFS('Commercial Evidence'!$A$3:$A$502,$A148,'Commercial Evidence'!$B$3:$B$502,"Previous CBS Talks spend")+COUNTIFS('Commercial Evidence'!$A$3:$A$502,$A148,'Commercial Evidence'!$B$3:$B$502,"Sponsors student organisations")&gt;0,2,IF(COUNTIFS('Commercial Evidence'!$A$3:$A$502,$A148,'Commercial Evidence'!$B$3:$B$502,"Sponsors university activities")+COUNTIFS('Commercial Evidence'!$A$3:$A$502,$A148,'Commercial Evidence'!$B$3:$B$502,"Sponsors similar events")+COUNTIFS('Commercial Evidence'!$A$3:$A$502,$A148,'Commercial Evidence'!$B$3:$B$502,"Previous CBS Talks partner")&gt;0,1,0))))</f>
        <v/>
      </c>
      <c r="AC148" s="32" t="str">
        <f aca="false">IF($A148="","",IF(COUNT(G148,J148,M148,P148,AB148)&lt;5,"",G148+J148+M148+P148+AB148))</f>
        <v/>
      </c>
      <c r="AD148" s="32" t="str">
        <f aca="false">IF($A148="","",IF(COUNTIFS(Contacts!$A$3:$A$502,$A148,Contacts!$E$3:$E$502,"Champion",Contacts!$K$3:$K$502,"&lt;&gt;Yes",Contacts!$L$3:$L$502,"&lt;&gt;Yes")+COUNTIFS(Opportunities!$A$3:$A$502,$A148,Opportunities!$C$3:$C$502,"Won",Opportunities!$Q$3:$Q$502,"Satisfied")&gt;0,4,IF(COUNTIFS(Interactions!$B$3:$B$502,$A148,Interactions!$I$3:$I$502,"Yes",Interactions!$A$3:$A$502,"&gt;="&amp;(S_Today-S_WarmDays))&gt;0,3,IF(T148&lt;&gt;"",2,IF(COUNTIFS(Contacts!$A$3:$A$502,$A148,Contacts!$M$3:$M$502,"Yes",Contacts!$K$3:$K$502,"&lt;&gt;Yes",Contacts!$L$3:$L$502,"&lt;&gt;Yes")&gt;0,1,0)))))</f>
        <v/>
      </c>
      <c r="AE148" s="32" t="str">
        <f aca="false">IF($A148="","",IF(Z148="Yes","Do not contact",IF(AC148="","Research",IF(AND(AC148&gt;=S_FitHigh,AD148&gt;=S_AccessHigh),"Priority",IF(AC148&gt;=S_FitHigh,"Build a Path",IF(AD148&gt;=S_AccessHigh,"Quick Win","Low Priority"))))))</f>
        <v/>
      </c>
      <c r="AF148" s="33" t="str">
        <f aca="false">IF($A148="","",IF(_xlfn.MAXIFS(Interactions!$A$3:$A$502,Interactions!$B$3:$B$502,$A148)=0,"",_xlfn.MAXIFS(Interactions!$A$3:$A$502,Interactions!$B$3:$B$502,$A148)))</f>
        <v/>
      </c>
      <c r="AG148" s="32" t="str">
        <f aca="false">IF($A148="","",COUNTIFS(Opportunities!$A$3:$A$502,$A148,Opportunities!$X$3:$X$502,"Yes"))</f>
        <v/>
      </c>
      <c r="AH148" s="32" t="str">
        <f aca="false">IF($A148="","",_xlfn.TEXTJOIN(", ",TRUE(),IF(COUNTIF($A$3:$A$502,$A148)&gt;1,"Duplicate name",""),IF(OR(AND(G148=2,I148=""),AND(J148=2,L148=""),AND(M148=2,O148=""),AND(P148=2,R148="")),"Source missing for a 2",""),IF(F148="","No owner",IF(COUNTIFS(R_TeamName,F148,R_TeamActive,"No")&gt;0,"Needs new owner","")),IF(AND(V148="Yes",X148&lt;&gt;"",X148&lt;S_SemStart),"Path overdue",""),IF(AND(S148&lt;&gt;"",S148&lt;S_Today-365),"Stale research",""),IF(AND(AE148="Research",COUNTIF('Commercial Evidence'!$A$3:$A$502,$A148)=0),"Add commercial evidence","")))</f>
        <v/>
      </c>
      <c r="AI148" s="34" t="str">
        <f aca="false">IF(OR($A148="",Z148="Yes"),"",IF(AND(AE148="Priority",AG148=0,COUNTIFS(Opportunities!$A$3:$A$502,$A148,Opportunities!$Y$3:$Y$502,"Renewal due")=0),600000+(10-AC148)*1000+(4-AD148)*100+ROW()/100000,IF(V148="Yes",700000+IF(X148="",0,X148-40000)/10+ROW()/100000,IF(AND(AE148="Quick Win",U148&lt;&gt;"",AG148=0),800000+(10-AC148)*1000+ROW()/100000,IF(AND(AE148="Build a Path",COUNTIF($V$3:$V$502,"Yes")&lt;S_PathCap),900000+(10-AC148)*1000+(4-AD148)*100+ROW()/100000,"")))))</f>
        <v/>
      </c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8"/>
      <c r="T149" s="27"/>
      <c r="U149" s="27"/>
      <c r="V149" s="27"/>
      <c r="W149" s="27"/>
      <c r="X149" s="28"/>
      <c r="Y149" s="27"/>
      <c r="Z149" s="27"/>
      <c r="AA149" s="27"/>
      <c r="AB149" s="32" t="str">
        <f aca="false">IF($A149="","",IF(COUNTIF('Commercial Evidence'!$A$3:$A$502,$A149)=0,"",IF(COUNTIFS('Commercial Evidence'!$A$3:$A$502,$A149,'Commercial Evidence'!$B$3:$B$502,"Previous CBS Talks spend")+COUNTIFS('Commercial Evidence'!$A$3:$A$502,$A149,'Commercial Evidence'!$B$3:$B$502,"Sponsors student organisations")&gt;0,2,IF(COUNTIFS('Commercial Evidence'!$A$3:$A$502,$A149,'Commercial Evidence'!$B$3:$B$502,"Sponsors university activities")+COUNTIFS('Commercial Evidence'!$A$3:$A$502,$A149,'Commercial Evidence'!$B$3:$B$502,"Sponsors similar events")+COUNTIFS('Commercial Evidence'!$A$3:$A$502,$A149,'Commercial Evidence'!$B$3:$B$502,"Previous CBS Talks partner")&gt;0,1,0))))</f>
        <v/>
      </c>
      <c r="AC149" s="32" t="str">
        <f aca="false">IF($A149="","",IF(COUNT(G149,J149,M149,P149,AB149)&lt;5,"",G149+J149+M149+P149+AB149))</f>
        <v/>
      </c>
      <c r="AD149" s="32" t="str">
        <f aca="false">IF($A149="","",IF(COUNTIFS(Contacts!$A$3:$A$502,$A149,Contacts!$E$3:$E$502,"Champion",Contacts!$K$3:$K$502,"&lt;&gt;Yes",Contacts!$L$3:$L$502,"&lt;&gt;Yes")+COUNTIFS(Opportunities!$A$3:$A$502,$A149,Opportunities!$C$3:$C$502,"Won",Opportunities!$Q$3:$Q$502,"Satisfied")&gt;0,4,IF(COUNTIFS(Interactions!$B$3:$B$502,$A149,Interactions!$I$3:$I$502,"Yes",Interactions!$A$3:$A$502,"&gt;="&amp;(S_Today-S_WarmDays))&gt;0,3,IF(T149&lt;&gt;"",2,IF(COUNTIFS(Contacts!$A$3:$A$502,$A149,Contacts!$M$3:$M$502,"Yes",Contacts!$K$3:$K$502,"&lt;&gt;Yes",Contacts!$L$3:$L$502,"&lt;&gt;Yes")&gt;0,1,0)))))</f>
        <v/>
      </c>
      <c r="AE149" s="32" t="str">
        <f aca="false">IF($A149="","",IF(Z149="Yes","Do not contact",IF(AC149="","Research",IF(AND(AC149&gt;=S_FitHigh,AD149&gt;=S_AccessHigh),"Priority",IF(AC149&gt;=S_FitHigh,"Build a Path",IF(AD149&gt;=S_AccessHigh,"Quick Win","Low Priority"))))))</f>
        <v/>
      </c>
      <c r="AF149" s="33" t="str">
        <f aca="false">IF($A149="","",IF(_xlfn.MAXIFS(Interactions!$A$3:$A$502,Interactions!$B$3:$B$502,$A149)=0,"",_xlfn.MAXIFS(Interactions!$A$3:$A$502,Interactions!$B$3:$B$502,$A149)))</f>
        <v/>
      </c>
      <c r="AG149" s="32" t="str">
        <f aca="false">IF($A149="","",COUNTIFS(Opportunities!$A$3:$A$502,$A149,Opportunities!$X$3:$X$502,"Yes"))</f>
        <v/>
      </c>
      <c r="AH149" s="32" t="str">
        <f aca="false">IF($A149="","",_xlfn.TEXTJOIN(", ",TRUE(),IF(COUNTIF($A$3:$A$502,$A149)&gt;1,"Duplicate name",""),IF(OR(AND(G149=2,I149=""),AND(J149=2,L149=""),AND(M149=2,O149=""),AND(P149=2,R149="")),"Source missing for a 2",""),IF(F149="","No owner",IF(COUNTIFS(R_TeamName,F149,R_TeamActive,"No")&gt;0,"Needs new owner","")),IF(AND(V149="Yes",X149&lt;&gt;"",X149&lt;S_SemStart),"Path overdue",""),IF(AND(S149&lt;&gt;"",S149&lt;S_Today-365),"Stale research",""),IF(AND(AE149="Research",COUNTIF('Commercial Evidence'!$A$3:$A$502,$A149)=0),"Add commercial evidence","")))</f>
        <v/>
      </c>
      <c r="AI149" s="34" t="str">
        <f aca="false">IF(OR($A149="",Z149="Yes"),"",IF(AND(AE149="Priority",AG149=0,COUNTIFS(Opportunities!$A$3:$A$502,$A149,Opportunities!$Y$3:$Y$502,"Renewal due")=0),600000+(10-AC149)*1000+(4-AD149)*100+ROW()/100000,IF(V149="Yes",700000+IF(X149="",0,X149-40000)/10+ROW()/100000,IF(AND(AE149="Quick Win",U149&lt;&gt;"",AG149=0),800000+(10-AC149)*1000+ROW()/100000,IF(AND(AE149="Build a Path",COUNTIF($V$3:$V$502,"Yes")&lt;S_PathCap),900000+(10-AC149)*1000+(4-AD149)*100+ROW()/100000,"")))))</f>
        <v/>
      </c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8"/>
      <c r="T150" s="27"/>
      <c r="U150" s="27"/>
      <c r="V150" s="27"/>
      <c r="W150" s="27"/>
      <c r="X150" s="28"/>
      <c r="Y150" s="27"/>
      <c r="Z150" s="27"/>
      <c r="AA150" s="27"/>
      <c r="AB150" s="32" t="str">
        <f aca="false">IF($A150="","",IF(COUNTIF('Commercial Evidence'!$A$3:$A$502,$A150)=0,"",IF(COUNTIFS('Commercial Evidence'!$A$3:$A$502,$A150,'Commercial Evidence'!$B$3:$B$502,"Previous CBS Talks spend")+COUNTIFS('Commercial Evidence'!$A$3:$A$502,$A150,'Commercial Evidence'!$B$3:$B$502,"Sponsors student organisations")&gt;0,2,IF(COUNTIFS('Commercial Evidence'!$A$3:$A$502,$A150,'Commercial Evidence'!$B$3:$B$502,"Sponsors university activities")+COUNTIFS('Commercial Evidence'!$A$3:$A$502,$A150,'Commercial Evidence'!$B$3:$B$502,"Sponsors similar events")+COUNTIFS('Commercial Evidence'!$A$3:$A$502,$A150,'Commercial Evidence'!$B$3:$B$502,"Previous CBS Talks partner")&gt;0,1,0))))</f>
        <v/>
      </c>
      <c r="AC150" s="32" t="str">
        <f aca="false">IF($A150="","",IF(COUNT(G150,J150,M150,P150,AB150)&lt;5,"",G150+J150+M150+P150+AB150))</f>
        <v/>
      </c>
      <c r="AD150" s="32" t="str">
        <f aca="false">IF($A150="","",IF(COUNTIFS(Contacts!$A$3:$A$502,$A150,Contacts!$E$3:$E$502,"Champion",Contacts!$K$3:$K$502,"&lt;&gt;Yes",Contacts!$L$3:$L$502,"&lt;&gt;Yes")+COUNTIFS(Opportunities!$A$3:$A$502,$A150,Opportunities!$C$3:$C$502,"Won",Opportunities!$Q$3:$Q$502,"Satisfied")&gt;0,4,IF(COUNTIFS(Interactions!$B$3:$B$502,$A150,Interactions!$I$3:$I$502,"Yes",Interactions!$A$3:$A$502,"&gt;="&amp;(S_Today-S_WarmDays))&gt;0,3,IF(T150&lt;&gt;"",2,IF(COUNTIFS(Contacts!$A$3:$A$502,$A150,Contacts!$M$3:$M$502,"Yes",Contacts!$K$3:$K$502,"&lt;&gt;Yes",Contacts!$L$3:$L$502,"&lt;&gt;Yes")&gt;0,1,0)))))</f>
        <v/>
      </c>
      <c r="AE150" s="32" t="str">
        <f aca="false">IF($A150="","",IF(Z150="Yes","Do not contact",IF(AC150="","Research",IF(AND(AC150&gt;=S_FitHigh,AD150&gt;=S_AccessHigh),"Priority",IF(AC150&gt;=S_FitHigh,"Build a Path",IF(AD150&gt;=S_AccessHigh,"Quick Win","Low Priority"))))))</f>
        <v/>
      </c>
      <c r="AF150" s="33" t="str">
        <f aca="false">IF($A150="","",IF(_xlfn.MAXIFS(Interactions!$A$3:$A$502,Interactions!$B$3:$B$502,$A150)=0,"",_xlfn.MAXIFS(Interactions!$A$3:$A$502,Interactions!$B$3:$B$502,$A150)))</f>
        <v/>
      </c>
      <c r="AG150" s="32" t="str">
        <f aca="false">IF($A150="","",COUNTIFS(Opportunities!$A$3:$A$502,$A150,Opportunities!$X$3:$X$502,"Yes"))</f>
        <v/>
      </c>
      <c r="AH150" s="32" t="str">
        <f aca="false">IF($A150="","",_xlfn.TEXTJOIN(", ",TRUE(),IF(COUNTIF($A$3:$A$502,$A150)&gt;1,"Duplicate name",""),IF(OR(AND(G150=2,I150=""),AND(J150=2,L150=""),AND(M150=2,O150=""),AND(P150=2,R150="")),"Source missing for a 2",""),IF(F150="","No owner",IF(COUNTIFS(R_TeamName,F150,R_TeamActive,"No")&gt;0,"Needs new owner","")),IF(AND(V150="Yes",X150&lt;&gt;"",X150&lt;S_SemStart),"Path overdue",""),IF(AND(S150&lt;&gt;"",S150&lt;S_Today-365),"Stale research",""),IF(AND(AE150="Research",COUNTIF('Commercial Evidence'!$A$3:$A$502,$A150)=0),"Add commercial evidence","")))</f>
        <v/>
      </c>
      <c r="AI150" s="34" t="str">
        <f aca="false">IF(OR($A150="",Z150="Yes"),"",IF(AND(AE150="Priority",AG150=0,COUNTIFS(Opportunities!$A$3:$A$502,$A150,Opportunities!$Y$3:$Y$502,"Renewal due")=0),600000+(10-AC150)*1000+(4-AD150)*100+ROW()/100000,IF(V150="Yes",700000+IF(X150="",0,X150-40000)/10+ROW()/100000,IF(AND(AE150="Quick Win",U150&lt;&gt;"",AG150=0),800000+(10-AC150)*1000+ROW()/100000,IF(AND(AE150="Build a Path",COUNTIF($V$3:$V$502,"Yes")&lt;S_PathCap),900000+(10-AC150)*1000+(4-AD150)*100+ROW()/100000,"")))))</f>
        <v/>
      </c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8"/>
      <c r="T151" s="27"/>
      <c r="U151" s="27"/>
      <c r="V151" s="27"/>
      <c r="W151" s="27"/>
      <c r="X151" s="28"/>
      <c r="Y151" s="27"/>
      <c r="Z151" s="27"/>
      <c r="AA151" s="27"/>
      <c r="AB151" s="32" t="str">
        <f aca="false">IF($A151="","",IF(COUNTIF('Commercial Evidence'!$A$3:$A$502,$A151)=0,"",IF(COUNTIFS('Commercial Evidence'!$A$3:$A$502,$A151,'Commercial Evidence'!$B$3:$B$502,"Previous CBS Talks spend")+COUNTIFS('Commercial Evidence'!$A$3:$A$502,$A151,'Commercial Evidence'!$B$3:$B$502,"Sponsors student organisations")&gt;0,2,IF(COUNTIFS('Commercial Evidence'!$A$3:$A$502,$A151,'Commercial Evidence'!$B$3:$B$502,"Sponsors university activities")+COUNTIFS('Commercial Evidence'!$A$3:$A$502,$A151,'Commercial Evidence'!$B$3:$B$502,"Sponsors similar events")+COUNTIFS('Commercial Evidence'!$A$3:$A$502,$A151,'Commercial Evidence'!$B$3:$B$502,"Previous CBS Talks partner")&gt;0,1,0))))</f>
        <v/>
      </c>
      <c r="AC151" s="32" t="str">
        <f aca="false">IF($A151="","",IF(COUNT(G151,J151,M151,P151,AB151)&lt;5,"",G151+J151+M151+P151+AB151))</f>
        <v/>
      </c>
      <c r="AD151" s="32" t="str">
        <f aca="false">IF($A151="","",IF(COUNTIFS(Contacts!$A$3:$A$502,$A151,Contacts!$E$3:$E$502,"Champion",Contacts!$K$3:$K$502,"&lt;&gt;Yes",Contacts!$L$3:$L$502,"&lt;&gt;Yes")+COUNTIFS(Opportunities!$A$3:$A$502,$A151,Opportunities!$C$3:$C$502,"Won",Opportunities!$Q$3:$Q$502,"Satisfied")&gt;0,4,IF(COUNTIFS(Interactions!$B$3:$B$502,$A151,Interactions!$I$3:$I$502,"Yes",Interactions!$A$3:$A$502,"&gt;="&amp;(S_Today-S_WarmDays))&gt;0,3,IF(T151&lt;&gt;"",2,IF(COUNTIFS(Contacts!$A$3:$A$502,$A151,Contacts!$M$3:$M$502,"Yes",Contacts!$K$3:$K$502,"&lt;&gt;Yes",Contacts!$L$3:$L$502,"&lt;&gt;Yes")&gt;0,1,0)))))</f>
        <v/>
      </c>
      <c r="AE151" s="32" t="str">
        <f aca="false">IF($A151="","",IF(Z151="Yes","Do not contact",IF(AC151="","Research",IF(AND(AC151&gt;=S_FitHigh,AD151&gt;=S_AccessHigh),"Priority",IF(AC151&gt;=S_FitHigh,"Build a Path",IF(AD151&gt;=S_AccessHigh,"Quick Win","Low Priority"))))))</f>
        <v/>
      </c>
      <c r="AF151" s="33" t="str">
        <f aca="false">IF($A151="","",IF(_xlfn.MAXIFS(Interactions!$A$3:$A$502,Interactions!$B$3:$B$502,$A151)=0,"",_xlfn.MAXIFS(Interactions!$A$3:$A$502,Interactions!$B$3:$B$502,$A151)))</f>
        <v/>
      </c>
      <c r="AG151" s="32" t="str">
        <f aca="false">IF($A151="","",COUNTIFS(Opportunities!$A$3:$A$502,$A151,Opportunities!$X$3:$X$502,"Yes"))</f>
        <v/>
      </c>
      <c r="AH151" s="32" t="str">
        <f aca="false">IF($A151="","",_xlfn.TEXTJOIN(", ",TRUE(),IF(COUNTIF($A$3:$A$502,$A151)&gt;1,"Duplicate name",""),IF(OR(AND(G151=2,I151=""),AND(J151=2,L151=""),AND(M151=2,O151=""),AND(P151=2,R151="")),"Source missing for a 2",""),IF(F151="","No owner",IF(COUNTIFS(R_TeamName,F151,R_TeamActive,"No")&gt;0,"Needs new owner","")),IF(AND(V151="Yes",X151&lt;&gt;"",X151&lt;S_SemStart),"Path overdue",""),IF(AND(S151&lt;&gt;"",S151&lt;S_Today-365),"Stale research",""),IF(AND(AE151="Research",COUNTIF('Commercial Evidence'!$A$3:$A$502,$A151)=0),"Add commercial evidence","")))</f>
        <v/>
      </c>
      <c r="AI151" s="34" t="str">
        <f aca="false">IF(OR($A151="",Z151="Yes"),"",IF(AND(AE151="Priority",AG151=0,COUNTIFS(Opportunities!$A$3:$A$502,$A151,Opportunities!$Y$3:$Y$502,"Renewal due")=0),600000+(10-AC151)*1000+(4-AD151)*100+ROW()/100000,IF(V151="Yes",700000+IF(X151="",0,X151-40000)/10+ROW()/100000,IF(AND(AE151="Quick Win",U151&lt;&gt;"",AG151=0),800000+(10-AC151)*1000+ROW()/100000,IF(AND(AE151="Build a Path",COUNTIF($V$3:$V$502,"Yes")&lt;S_PathCap),900000+(10-AC151)*1000+(4-AD151)*100+ROW()/100000,"")))))</f>
        <v/>
      </c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8"/>
      <c r="T152" s="27"/>
      <c r="U152" s="27"/>
      <c r="V152" s="27"/>
      <c r="W152" s="27"/>
      <c r="X152" s="28"/>
      <c r="Y152" s="27"/>
      <c r="Z152" s="27"/>
      <c r="AA152" s="27"/>
      <c r="AB152" s="32" t="str">
        <f aca="false">IF($A152="","",IF(COUNTIF('Commercial Evidence'!$A$3:$A$502,$A152)=0,"",IF(COUNTIFS('Commercial Evidence'!$A$3:$A$502,$A152,'Commercial Evidence'!$B$3:$B$502,"Previous CBS Talks spend")+COUNTIFS('Commercial Evidence'!$A$3:$A$502,$A152,'Commercial Evidence'!$B$3:$B$502,"Sponsors student organisations")&gt;0,2,IF(COUNTIFS('Commercial Evidence'!$A$3:$A$502,$A152,'Commercial Evidence'!$B$3:$B$502,"Sponsors university activities")+COUNTIFS('Commercial Evidence'!$A$3:$A$502,$A152,'Commercial Evidence'!$B$3:$B$502,"Sponsors similar events")+COUNTIFS('Commercial Evidence'!$A$3:$A$502,$A152,'Commercial Evidence'!$B$3:$B$502,"Previous CBS Talks partner")&gt;0,1,0))))</f>
        <v/>
      </c>
      <c r="AC152" s="32" t="str">
        <f aca="false">IF($A152="","",IF(COUNT(G152,J152,M152,P152,AB152)&lt;5,"",G152+J152+M152+P152+AB152))</f>
        <v/>
      </c>
      <c r="AD152" s="32" t="str">
        <f aca="false">IF($A152="","",IF(COUNTIFS(Contacts!$A$3:$A$502,$A152,Contacts!$E$3:$E$502,"Champion",Contacts!$K$3:$K$502,"&lt;&gt;Yes",Contacts!$L$3:$L$502,"&lt;&gt;Yes")+COUNTIFS(Opportunities!$A$3:$A$502,$A152,Opportunities!$C$3:$C$502,"Won",Opportunities!$Q$3:$Q$502,"Satisfied")&gt;0,4,IF(COUNTIFS(Interactions!$B$3:$B$502,$A152,Interactions!$I$3:$I$502,"Yes",Interactions!$A$3:$A$502,"&gt;="&amp;(S_Today-S_WarmDays))&gt;0,3,IF(T152&lt;&gt;"",2,IF(COUNTIFS(Contacts!$A$3:$A$502,$A152,Contacts!$M$3:$M$502,"Yes",Contacts!$K$3:$K$502,"&lt;&gt;Yes",Contacts!$L$3:$L$502,"&lt;&gt;Yes")&gt;0,1,0)))))</f>
        <v/>
      </c>
      <c r="AE152" s="32" t="str">
        <f aca="false">IF($A152="","",IF(Z152="Yes","Do not contact",IF(AC152="","Research",IF(AND(AC152&gt;=S_FitHigh,AD152&gt;=S_AccessHigh),"Priority",IF(AC152&gt;=S_FitHigh,"Build a Path",IF(AD152&gt;=S_AccessHigh,"Quick Win","Low Priority"))))))</f>
        <v/>
      </c>
      <c r="AF152" s="33" t="str">
        <f aca="false">IF($A152="","",IF(_xlfn.MAXIFS(Interactions!$A$3:$A$502,Interactions!$B$3:$B$502,$A152)=0,"",_xlfn.MAXIFS(Interactions!$A$3:$A$502,Interactions!$B$3:$B$502,$A152)))</f>
        <v/>
      </c>
      <c r="AG152" s="32" t="str">
        <f aca="false">IF($A152="","",COUNTIFS(Opportunities!$A$3:$A$502,$A152,Opportunities!$X$3:$X$502,"Yes"))</f>
        <v/>
      </c>
      <c r="AH152" s="32" t="str">
        <f aca="false">IF($A152="","",_xlfn.TEXTJOIN(", ",TRUE(),IF(COUNTIF($A$3:$A$502,$A152)&gt;1,"Duplicate name",""),IF(OR(AND(G152=2,I152=""),AND(J152=2,L152=""),AND(M152=2,O152=""),AND(P152=2,R152="")),"Source missing for a 2",""),IF(F152="","No owner",IF(COUNTIFS(R_TeamName,F152,R_TeamActive,"No")&gt;0,"Needs new owner","")),IF(AND(V152="Yes",X152&lt;&gt;"",X152&lt;S_SemStart),"Path overdue",""),IF(AND(S152&lt;&gt;"",S152&lt;S_Today-365),"Stale research",""),IF(AND(AE152="Research",COUNTIF('Commercial Evidence'!$A$3:$A$502,$A152)=0),"Add commercial evidence","")))</f>
        <v/>
      </c>
      <c r="AI152" s="34" t="str">
        <f aca="false">IF(OR($A152="",Z152="Yes"),"",IF(AND(AE152="Priority",AG152=0,COUNTIFS(Opportunities!$A$3:$A$502,$A152,Opportunities!$Y$3:$Y$502,"Renewal due")=0),600000+(10-AC152)*1000+(4-AD152)*100+ROW()/100000,IF(V152="Yes",700000+IF(X152="",0,X152-40000)/10+ROW()/100000,IF(AND(AE152="Quick Win",U152&lt;&gt;"",AG152=0),800000+(10-AC152)*1000+ROW()/100000,IF(AND(AE152="Build a Path",COUNTIF($V$3:$V$502,"Yes")&lt;S_PathCap),900000+(10-AC152)*1000+(4-AD152)*100+ROW()/100000,"")))))</f>
        <v/>
      </c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8"/>
      <c r="T153" s="27"/>
      <c r="U153" s="27"/>
      <c r="V153" s="27"/>
      <c r="W153" s="27"/>
      <c r="X153" s="28"/>
      <c r="Y153" s="27"/>
      <c r="Z153" s="27"/>
      <c r="AA153" s="27"/>
      <c r="AB153" s="32" t="str">
        <f aca="false">IF($A153="","",IF(COUNTIF('Commercial Evidence'!$A$3:$A$502,$A153)=0,"",IF(COUNTIFS('Commercial Evidence'!$A$3:$A$502,$A153,'Commercial Evidence'!$B$3:$B$502,"Previous CBS Talks spend")+COUNTIFS('Commercial Evidence'!$A$3:$A$502,$A153,'Commercial Evidence'!$B$3:$B$502,"Sponsors student organisations")&gt;0,2,IF(COUNTIFS('Commercial Evidence'!$A$3:$A$502,$A153,'Commercial Evidence'!$B$3:$B$502,"Sponsors university activities")+COUNTIFS('Commercial Evidence'!$A$3:$A$502,$A153,'Commercial Evidence'!$B$3:$B$502,"Sponsors similar events")+COUNTIFS('Commercial Evidence'!$A$3:$A$502,$A153,'Commercial Evidence'!$B$3:$B$502,"Previous CBS Talks partner")&gt;0,1,0))))</f>
        <v/>
      </c>
      <c r="AC153" s="32" t="str">
        <f aca="false">IF($A153="","",IF(COUNT(G153,J153,M153,P153,AB153)&lt;5,"",G153+J153+M153+P153+AB153))</f>
        <v/>
      </c>
      <c r="AD153" s="32" t="str">
        <f aca="false">IF($A153="","",IF(COUNTIFS(Contacts!$A$3:$A$502,$A153,Contacts!$E$3:$E$502,"Champion",Contacts!$K$3:$K$502,"&lt;&gt;Yes",Contacts!$L$3:$L$502,"&lt;&gt;Yes")+COUNTIFS(Opportunities!$A$3:$A$502,$A153,Opportunities!$C$3:$C$502,"Won",Opportunities!$Q$3:$Q$502,"Satisfied")&gt;0,4,IF(COUNTIFS(Interactions!$B$3:$B$502,$A153,Interactions!$I$3:$I$502,"Yes",Interactions!$A$3:$A$502,"&gt;="&amp;(S_Today-S_WarmDays))&gt;0,3,IF(T153&lt;&gt;"",2,IF(COUNTIFS(Contacts!$A$3:$A$502,$A153,Contacts!$M$3:$M$502,"Yes",Contacts!$K$3:$K$502,"&lt;&gt;Yes",Contacts!$L$3:$L$502,"&lt;&gt;Yes")&gt;0,1,0)))))</f>
        <v/>
      </c>
      <c r="AE153" s="32" t="str">
        <f aca="false">IF($A153="","",IF(Z153="Yes","Do not contact",IF(AC153="","Research",IF(AND(AC153&gt;=S_FitHigh,AD153&gt;=S_AccessHigh),"Priority",IF(AC153&gt;=S_FitHigh,"Build a Path",IF(AD153&gt;=S_AccessHigh,"Quick Win","Low Priority"))))))</f>
        <v/>
      </c>
      <c r="AF153" s="33" t="str">
        <f aca="false">IF($A153="","",IF(_xlfn.MAXIFS(Interactions!$A$3:$A$502,Interactions!$B$3:$B$502,$A153)=0,"",_xlfn.MAXIFS(Interactions!$A$3:$A$502,Interactions!$B$3:$B$502,$A153)))</f>
        <v/>
      </c>
      <c r="AG153" s="32" t="str">
        <f aca="false">IF($A153="","",COUNTIFS(Opportunities!$A$3:$A$502,$A153,Opportunities!$X$3:$X$502,"Yes"))</f>
        <v/>
      </c>
      <c r="AH153" s="32" t="str">
        <f aca="false">IF($A153="","",_xlfn.TEXTJOIN(", ",TRUE(),IF(COUNTIF($A$3:$A$502,$A153)&gt;1,"Duplicate name",""),IF(OR(AND(G153=2,I153=""),AND(J153=2,L153=""),AND(M153=2,O153=""),AND(P153=2,R153="")),"Source missing for a 2",""),IF(F153="","No owner",IF(COUNTIFS(R_TeamName,F153,R_TeamActive,"No")&gt;0,"Needs new owner","")),IF(AND(V153="Yes",X153&lt;&gt;"",X153&lt;S_SemStart),"Path overdue",""),IF(AND(S153&lt;&gt;"",S153&lt;S_Today-365),"Stale research",""),IF(AND(AE153="Research",COUNTIF('Commercial Evidence'!$A$3:$A$502,$A153)=0),"Add commercial evidence","")))</f>
        <v/>
      </c>
      <c r="AI153" s="34" t="str">
        <f aca="false">IF(OR($A153="",Z153="Yes"),"",IF(AND(AE153="Priority",AG153=0,COUNTIFS(Opportunities!$A$3:$A$502,$A153,Opportunities!$Y$3:$Y$502,"Renewal due")=0),600000+(10-AC153)*1000+(4-AD153)*100+ROW()/100000,IF(V153="Yes",700000+IF(X153="",0,X153-40000)/10+ROW()/100000,IF(AND(AE153="Quick Win",U153&lt;&gt;"",AG153=0),800000+(10-AC153)*1000+ROW()/100000,IF(AND(AE153="Build a Path",COUNTIF($V$3:$V$502,"Yes")&lt;S_PathCap),900000+(10-AC153)*1000+(4-AD153)*100+ROW()/100000,"")))))</f>
        <v/>
      </c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8"/>
      <c r="T154" s="27"/>
      <c r="U154" s="27"/>
      <c r="V154" s="27"/>
      <c r="W154" s="27"/>
      <c r="X154" s="28"/>
      <c r="Y154" s="27"/>
      <c r="Z154" s="27"/>
      <c r="AA154" s="27"/>
      <c r="AB154" s="32" t="str">
        <f aca="false">IF($A154="","",IF(COUNTIF('Commercial Evidence'!$A$3:$A$502,$A154)=0,"",IF(COUNTIFS('Commercial Evidence'!$A$3:$A$502,$A154,'Commercial Evidence'!$B$3:$B$502,"Previous CBS Talks spend")+COUNTIFS('Commercial Evidence'!$A$3:$A$502,$A154,'Commercial Evidence'!$B$3:$B$502,"Sponsors student organisations")&gt;0,2,IF(COUNTIFS('Commercial Evidence'!$A$3:$A$502,$A154,'Commercial Evidence'!$B$3:$B$502,"Sponsors university activities")+COUNTIFS('Commercial Evidence'!$A$3:$A$502,$A154,'Commercial Evidence'!$B$3:$B$502,"Sponsors similar events")+COUNTIFS('Commercial Evidence'!$A$3:$A$502,$A154,'Commercial Evidence'!$B$3:$B$502,"Previous CBS Talks partner")&gt;0,1,0))))</f>
        <v/>
      </c>
      <c r="AC154" s="32" t="str">
        <f aca="false">IF($A154="","",IF(COUNT(G154,J154,M154,P154,AB154)&lt;5,"",G154+J154+M154+P154+AB154))</f>
        <v/>
      </c>
      <c r="AD154" s="32" t="str">
        <f aca="false">IF($A154="","",IF(COUNTIFS(Contacts!$A$3:$A$502,$A154,Contacts!$E$3:$E$502,"Champion",Contacts!$K$3:$K$502,"&lt;&gt;Yes",Contacts!$L$3:$L$502,"&lt;&gt;Yes")+COUNTIFS(Opportunities!$A$3:$A$502,$A154,Opportunities!$C$3:$C$502,"Won",Opportunities!$Q$3:$Q$502,"Satisfied")&gt;0,4,IF(COUNTIFS(Interactions!$B$3:$B$502,$A154,Interactions!$I$3:$I$502,"Yes",Interactions!$A$3:$A$502,"&gt;="&amp;(S_Today-S_WarmDays))&gt;0,3,IF(T154&lt;&gt;"",2,IF(COUNTIFS(Contacts!$A$3:$A$502,$A154,Contacts!$M$3:$M$502,"Yes",Contacts!$K$3:$K$502,"&lt;&gt;Yes",Contacts!$L$3:$L$502,"&lt;&gt;Yes")&gt;0,1,0)))))</f>
        <v/>
      </c>
      <c r="AE154" s="32" t="str">
        <f aca="false">IF($A154="","",IF(Z154="Yes","Do not contact",IF(AC154="","Research",IF(AND(AC154&gt;=S_FitHigh,AD154&gt;=S_AccessHigh),"Priority",IF(AC154&gt;=S_FitHigh,"Build a Path",IF(AD154&gt;=S_AccessHigh,"Quick Win","Low Priority"))))))</f>
        <v/>
      </c>
      <c r="AF154" s="33" t="str">
        <f aca="false">IF($A154="","",IF(_xlfn.MAXIFS(Interactions!$A$3:$A$502,Interactions!$B$3:$B$502,$A154)=0,"",_xlfn.MAXIFS(Interactions!$A$3:$A$502,Interactions!$B$3:$B$502,$A154)))</f>
        <v/>
      </c>
      <c r="AG154" s="32" t="str">
        <f aca="false">IF($A154="","",COUNTIFS(Opportunities!$A$3:$A$502,$A154,Opportunities!$X$3:$X$502,"Yes"))</f>
        <v/>
      </c>
      <c r="AH154" s="32" t="str">
        <f aca="false">IF($A154="","",_xlfn.TEXTJOIN(", ",TRUE(),IF(COUNTIF($A$3:$A$502,$A154)&gt;1,"Duplicate name",""),IF(OR(AND(G154=2,I154=""),AND(J154=2,L154=""),AND(M154=2,O154=""),AND(P154=2,R154="")),"Source missing for a 2",""),IF(F154="","No owner",IF(COUNTIFS(R_TeamName,F154,R_TeamActive,"No")&gt;0,"Needs new owner","")),IF(AND(V154="Yes",X154&lt;&gt;"",X154&lt;S_SemStart),"Path overdue",""),IF(AND(S154&lt;&gt;"",S154&lt;S_Today-365),"Stale research",""),IF(AND(AE154="Research",COUNTIF('Commercial Evidence'!$A$3:$A$502,$A154)=0),"Add commercial evidence","")))</f>
        <v/>
      </c>
      <c r="AI154" s="34" t="str">
        <f aca="false">IF(OR($A154="",Z154="Yes"),"",IF(AND(AE154="Priority",AG154=0,COUNTIFS(Opportunities!$A$3:$A$502,$A154,Opportunities!$Y$3:$Y$502,"Renewal due")=0),600000+(10-AC154)*1000+(4-AD154)*100+ROW()/100000,IF(V154="Yes",700000+IF(X154="",0,X154-40000)/10+ROW()/100000,IF(AND(AE154="Quick Win",U154&lt;&gt;"",AG154=0),800000+(10-AC154)*1000+ROW()/100000,IF(AND(AE154="Build a Path",COUNTIF($V$3:$V$502,"Yes")&lt;S_PathCap),900000+(10-AC154)*1000+(4-AD154)*100+ROW()/100000,"")))))</f>
        <v/>
      </c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8"/>
      <c r="T155" s="27"/>
      <c r="U155" s="27"/>
      <c r="V155" s="27"/>
      <c r="W155" s="27"/>
      <c r="X155" s="28"/>
      <c r="Y155" s="27"/>
      <c r="Z155" s="27"/>
      <c r="AA155" s="27"/>
      <c r="AB155" s="32" t="str">
        <f aca="false">IF($A155="","",IF(COUNTIF('Commercial Evidence'!$A$3:$A$502,$A155)=0,"",IF(COUNTIFS('Commercial Evidence'!$A$3:$A$502,$A155,'Commercial Evidence'!$B$3:$B$502,"Previous CBS Talks spend")+COUNTIFS('Commercial Evidence'!$A$3:$A$502,$A155,'Commercial Evidence'!$B$3:$B$502,"Sponsors student organisations")&gt;0,2,IF(COUNTIFS('Commercial Evidence'!$A$3:$A$502,$A155,'Commercial Evidence'!$B$3:$B$502,"Sponsors university activities")+COUNTIFS('Commercial Evidence'!$A$3:$A$502,$A155,'Commercial Evidence'!$B$3:$B$502,"Sponsors similar events")+COUNTIFS('Commercial Evidence'!$A$3:$A$502,$A155,'Commercial Evidence'!$B$3:$B$502,"Previous CBS Talks partner")&gt;0,1,0))))</f>
        <v/>
      </c>
      <c r="AC155" s="32" t="str">
        <f aca="false">IF($A155="","",IF(COUNT(G155,J155,M155,P155,AB155)&lt;5,"",G155+J155+M155+P155+AB155))</f>
        <v/>
      </c>
      <c r="AD155" s="32" t="str">
        <f aca="false">IF($A155="","",IF(COUNTIFS(Contacts!$A$3:$A$502,$A155,Contacts!$E$3:$E$502,"Champion",Contacts!$K$3:$K$502,"&lt;&gt;Yes",Contacts!$L$3:$L$502,"&lt;&gt;Yes")+COUNTIFS(Opportunities!$A$3:$A$502,$A155,Opportunities!$C$3:$C$502,"Won",Opportunities!$Q$3:$Q$502,"Satisfied")&gt;0,4,IF(COUNTIFS(Interactions!$B$3:$B$502,$A155,Interactions!$I$3:$I$502,"Yes",Interactions!$A$3:$A$502,"&gt;="&amp;(S_Today-S_WarmDays))&gt;0,3,IF(T155&lt;&gt;"",2,IF(COUNTIFS(Contacts!$A$3:$A$502,$A155,Contacts!$M$3:$M$502,"Yes",Contacts!$K$3:$K$502,"&lt;&gt;Yes",Contacts!$L$3:$L$502,"&lt;&gt;Yes")&gt;0,1,0)))))</f>
        <v/>
      </c>
      <c r="AE155" s="32" t="str">
        <f aca="false">IF($A155="","",IF(Z155="Yes","Do not contact",IF(AC155="","Research",IF(AND(AC155&gt;=S_FitHigh,AD155&gt;=S_AccessHigh),"Priority",IF(AC155&gt;=S_FitHigh,"Build a Path",IF(AD155&gt;=S_AccessHigh,"Quick Win","Low Priority"))))))</f>
        <v/>
      </c>
      <c r="AF155" s="33" t="str">
        <f aca="false">IF($A155="","",IF(_xlfn.MAXIFS(Interactions!$A$3:$A$502,Interactions!$B$3:$B$502,$A155)=0,"",_xlfn.MAXIFS(Interactions!$A$3:$A$502,Interactions!$B$3:$B$502,$A155)))</f>
        <v/>
      </c>
      <c r="AG155" s="32" t="str">
        <f aca="false">IF($A155="","",COUNTIFS(Opportunities!$A$3:$A$502,$A155,Opportunities!$X$3:$X$502,"Yes"))</f>
        <v/>
      </c>
      <c r="AH155" s="32" t="str">
        <f aca="false">IF($A155="","",_xlfn.TEXTJOIN(", ",TRUE(),IF(COUNTIF($A$3:$A$502,$A155)&gt;1,"Duplicate name",""),IF(OR(AND(G155=2,I155=""),AND(J155=2,L155=""),AND(M155=2,O155=""),AND(P155=2,R155="")),"Source missing for a 2",""),IF(F155="","No owner",IF(COUNTIFS(R_TeamName,F155,R_TeamActive,"No")&gt;0,"Needs new owner","")),IF(AND(V155="Yes",X155&lt;&gt;"",X155&lt;S_SemStart),"Path overdue",""),IF(AND(S155&lt;&gt;"",S155&lt;S_Today-365),"Stale research",""),IF(AND(AE155="Research",COUNTIF('Commercial Evidence'!$A$3:$A$502,$A155)=0),"Add commercial evidence","")))</f>
        <v/>
      </c>
      <c r="AI155" s="34" t="str">
        <f aca="false">IF(OR($A155="",Z155="Yes"),"",IF(AND(AE155="Priority",AG155=0,COUNTIFS(Opportunities!$A$3:$A$502,$A155,Opportunities!$Y$3:$Y$502,"Renewal due")=0),600000+(10-AC155)*1000+(4-AD155)*100+ROW()/100000,IF(V155="Yes",700000+IF(X155="",0,X155-40000)/10+ROW()/100000,IF(AND(AE155="Quick Win",U155&lt;&gt;"",AG155=0),800000+(10-AC155)*1000+ROW()/100000,IF(AND(AE155="Build a Path",COUNTIF($V$3:$V$502,"Yes")&lt;S_PathCap),900000+(10-AC155)*1000+(4-AD155)*100+ROW()/100000,"")))))</f>
        <v/>
      </c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8"/>
      <c r="T156" s="27"/>
      <c r="U156" s="27"/>
      <c r="V156" s="27"/>
      <c r="W156" s="27"/>
      <c r="X156" s="28"/>
      <c r="Y156" s="27"/>
      <c r="Z156" s="27"/>
      <c r="AA156" s="27"/>
      <c r="AB156" s="32" t="str">
        <f aca="false">IF($A156="","",IF(COUNTIF('Commercial Evidence'!$A$3:$A$502,$A156)=0,"",IF(COUNTIFS('Commercial Evidence'!$A$3:$A$502,$A156,'Commercial Evidence'!$B$3:$B$502,"Previous CBS Talks spend")+COUNTIFS('Commercial Evidence'!$A$3:$A$502,$A156,'Commercial Evidence'!$B$3:$B$502,"Sponsors student organisations")&gt;0,2,IF(COUNTIFS('Commercial Evidence'!$A$3:$A$502,$A156,'Commercial Evidence'!$B$3:$B$502,"Sponsors university activities")+COUNTIFS('Commercial Evidence'!$A$3:$A$502,$A156,'Commercial Evidence'!$B$3:$B$502,"Sponsors similar events")+COUNTIFS('Commercial Evidence'!$A$3:$A$502,$A156,'Commercial Evidence'!$B$3:$B$502,"Previous CBS Talks partner")&gt;0,1,0))))</f>
        <v/>
      </c>
      <c r="AC156" s="32" t="str">
        <f aca="false">IF($A156="","",IF(COUNT(G156,J156,M156,P156,AB156)&lt;5,"",G156+J156+M156+P156+AB156))</f>
        <v/>
      </c>
      <c r="AD156" s="32" t="str">
        <f aca="false">IF($A156="","",IF(COUNTIFS(Contacts!$A$3:$A$502,$A156,Contacts!$E$3:$E$502,"Champion",Contacts!$K$3:$K$502,"&lt;&gt;Yes",Contacts!$L$3:$L$502,"&lt;&gt;Yes")+COUNTIFS(Opportunities!$A$3:$A$502,$A156,Opportunities!$C$3:$C$502,"Won",Opportunities!$Q$3:$Q$502,"Satisfied")&gt;0,4,IF(COUNTIFS(Interactions!$B$3:$B$502,$A156,Interactions!$I$3:$I$502,"Yes",Interactions!$A$3:$A$502,"&gt;="&amp;(S_Today-S_WarmDays))&gt;0,3,IF(T156&lt;&gt;"",2,IF(COUNTIFS(Contacts!$A$3:$A$502,$A156,Contacts!$M$3:$M$502,"Yes",Contacts!$K$3:$K$502,"&lt;&gt;Yes",Contacts!$L$3:$L$502,"&lt;&gt;Yes")&gt;0,1,0)))))</f>
        <v/>
      </c>
      <c r="AE156" s="32" t="str">
        <f aca="false">IF($A156="","",IF(Z156="Yes","Do not contact",IF(AC156="","Research",IF(AND(AC156&gt;=S_FitHigh,AD156&gt;=S_AccessHigh),"Priority",IF(AC156&gt;=S_FitHigh,"Build a Path",IF(AD156&gt;=S_AccessHigh,"Quick Win","Low Priority"))))))</f>
        <v/>
      </c>
      <c r="AF156" s="33" t="str">
        <f aca="false">IF($A156="","",IF(_xlfn.MAXIFS(Interactions!$A$3:$A$502,Interactions!$B$3:$B$502,$A156)=0,"",_xlfn.MAXIFS(Interactions!$A$3:$A$502,Interactions!$B$3:$B$502,$A156)))</f>
        <v/>
      </c>
      <c r="AG156" s="32" t="str">
        <f aca="false">IF($A156="","",COUNTIFS(Opportunities!$A$3:$A$502,$A156,Opportunities!$X$3:$X$502,"Yes"))</f>
        <v/>
      </c>
      <c r="AH156" s="32" t="str">
        <f aca="false">IF($A156="","",_xlfn.TEXTJOIN(", ",TRUE(),IF(COUNTIF($A$3:$A$502,$A156)&gt;1,"Duplicate name",""),IF(OR(AND(G156=2,I156=""),AND(J156=2,L156=""),AND(M156=2,O156=""),AND(P156=2,R156="")),"Source missing for a 2",""),IF(F156="","No owner",IF(COUNTIFS(R_TeamName,F156,R_TeamActive,"No")&gt;0,"Needs new owner","")),IF(AND(V156="Yes",X156&lt;&gt;"",X156&lt;S_SemStart),"Path overdue",""),IF(AND(S156&lt;&gt;"",S156&lt;S_Today-365),"Stale research",""),IF(AND(AE156="Research",COUNTIF('Commercial Evidence'!$A$3:$A$502,$A156)=0),"Add commercial evidence","")))</f>
        <v/>
      </c>
      <c r="AI156" s="34" t="str">
        <f aca="false">IF(OR($A156="",Z156="Yes"),"",IF(AND(AE156="Priority",AG156=0,COUNTIFS(Opportunities!$A$3:$A$502,$A156,Opportunities!$Y$3:$Y$502,"Renewal due")=0),600000+(10-AC156)*1000+(4-AD156)*100+ROW()/100000,IF(V156="Yes",700000+IF(X156="",0,X156-40000)/10+ROW()/100000,IF(AND(AE156="Quick Win",U156&lt;&gt;"",AG156=0),800000+(10-AC156)*1000+ROW()/100000,IF(AND(AE156="Build a Path",COUNTIF($V$3:$V$502,"Yes")&lt;S_PathCap),900000+(10-AC156)*1000+(4-AD156)*100+ROW()/100000,"")))))</f>
        <v/>
      </c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8"/>
      <c r="T157" s="27"/>
      <c r="U157" s="27"/>
      <c r="V157" s="27"/>
      <c r="W157" s="27"/>
      <c r="X157" s="28"/>
      <c r="Y157" s="27"/>
      <c r="Z157" s="27"/>
      <c r="AA157" s="27"/>
      <c r="AB157" s="32" t="str">
        <f aca="false">IF($A157="","",IF(COUNTIF('Commercial Evidence'!$A$3:$A$502,$A157)=0,"",IF(COUNTIFS('Commercial Evidence'!$A$3:$A$502,$A157,'Commercial Evidence'!$B$3:$B$502,"Previous CBS Talks spend")+COUNTIFS('Commercial Evidence'!$A$3:$A$502,$A157,'Commercial Evidence'!$B$3:$B$502,"Sponsors student organisations")&gt;0,2,IF(COUNTIFS('Commercial Evidence'!$A$3:$A$502,$A157,'Commercial Evidence'!$B$3:$B$502,"Sponsors university activities")+COUNTIFS('Commercial Evidence'!$A$3:$A$502,$A157,'Commercial Evidence'!$B$3:$B$502,"Sponsors similar events")+COUNTIFS('Commercial Evidence'!$A$3:$A$502,$A157,'Commercial Evidence'!$B$3:$B$502,"Previous CBS Talks partner")&gt;0,1,0))))</f>
        <v/>
      </c>
      <c r="AC157" s="32" t="str">
        <f aca="false">IF($A157="","",IF(COUNT(G157,J157,M157,P157,AB157)&lt;5,"",G157+J157+M157+P157+AB157))</f>
        <v/>
      </c>
      <c r="AD157" s="32" t="str">
        <f aca="false">IF($A157="","",IF(COUNTIFS(Contacts!$A$3:$A$502,$A157,Contacts!$E$3:$E$502,"Champion",Contacts!$K$3:$K$502,"&lt;&gt;Yes",Contacts!$L$3:$L$502,"&lt;&gt;Yes")+COUNTIFS(Opportunities!$A$3:$A$502,$A157,Opportunities!$C$3:$C$502,"Won",Opportunities!$Q$3:$Q$502,"Satisfied")&gt;0,4,IF(COUNTIFS(Interactions!$B$3:$B$502,$A157,Interactions!$I$3:$I$502,"Yes",Interactions!$A$3:$A$502,"&gt;="&amp;(S_Today-S_WarmDays))&gt;0,3,IF(T157&lt;&gt;"",2,IF(COUNTIFS(Contacts!$A$3:$A$502,$A157,Contacts!$M$3:$M$502,"Yes",Contacts!$K$3:$K$502,"&lt;&gt;Yes",Contacts!$L$3:$L$502,"&lt;&gt;Yes")&gt;0,1,0)))))</f>
        <v/>
      </c>
      <c r="AE157" s="32" t="str">
        <f aca="false">IF($A157="","",IF(Z157="Yes","Do not contact",IF(AC157="","Research",IF(AND(AC157&gt;=S_FitHigh,AD157&gt;=S_AccessHigh),"Priority",IF(AC157&gt;=S_FitHigh,"Build a Path",IF(AD157&gt;=S_AccessHigh,"Quick Win","Low Priority"))))))</f>
        <v/>
      </c>
      <c r="AF157" s="33" t="str">
        <f aca="false">IF($A157="","",IF(_xlfn.MAXIFS(Interactions!$A$3:$A$502,Interactions!$B$3:$B$502,$A157)=0,"",_xlfn.MAXIFS(Interactions!$A$3:$A$502,Interactions!$B$3:$B$502,$A157)))</f>
        <v/>
      </c>
      <c r="AG157" s="32" t="str">
        <f aca="false">IF($A157="","",COUNTIFS(Opportunities!$A$3:$A$502,$A157,Opportunities!$X$3:$X$502,"Yes"))</f>
        <v/>
      </c>
      <c r="AH157" s="32" t="str">
        <f aca="false">IF($A157="","",_xlfn.TEXTJOIN(", ",TRUE(),IF(COUNTIF($A$3:$A$502,$A157)&gt;1,"Duplicate name",""),IF(OR(AND(G157=2,I157=""),AND(J157=2,L157=""),AND(M157=2,O157=""),AND(P157=2,R157="")),"Source missing for a 2",""),IF(F157="","No owner",IF(COUNTIFS(R_TeamName,F157,R_TeamActive,"No")&gt;0,"Needs new owner","")),IF(AND(V157="Yes",X157&lt;&gt;"",X157&lt;S_SemStart),"Path overdue",""),IF(AND(S157&lt;&gt;"",S157&lt;S_Today-365),"Stale research",""),IF(AND(AE157="Research",COUNTIF('Commercial Evidence'!$A$3:$A$502,$A157)=0),"Add commercial evidence","")))</f>
        <v/>
      </c>
      <c r="AI157" s="34" t="str">
        <f aca="false">IF(OR($A157="",Z157="Yes"),"",IF(AND(AE157="Priority",AG157=0,COUNTIFS(Opportunities!$A$3:$A$502,$A157,Opportunities!$Y$3:$Y$502,"Renewal due")=0),600000+(10-AC157)*1000+(4-AD157)*100+ROW()/100000,IF(V157="Yes",700000+IF(X157="",0,X157-40000)/10+ROW()/100000,IF(AND(AE157="Quick Win",U157&lt;&gt;"",AG157=0),800000+(10-AC157)*1000+ROW()/100000,IF(AND(AE157="Build a Path",COUNTIF($V$3:$V$502,"Yes")&lt;S_PathCap),900000+(10-AC157)*1000+(4-AD157)*100+ROW()/100000,"")))))</f>
        <v/>
      </c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8"/>
      <c r="T158" s="27"/>
      <c r="U158" s="27"/>
      <c r="V158" s="27"/>
      <c r="W158" s="27"/>
      <c r="X158" s="28"/>
      <c r="Y158" s="27"/>
      <c r="Z158" s="27"/>
      <c r="AA158" s="27"/>
      <c r="AB158" s="32" t="str">
        <f aca="false">IF($A158="","",IF(COUNTIF('Commercial Evidence'!$A$3:$A$502,$A158)=0,"",IF(COUNTIFS('Commercial Evidence'!$A$3:$A$502,$A158,'Commercial Evidence'!$B$3:$B$502,"Previous CBS Talks spend")+COUNTIFS('Commercial Evidence'!$A$3:$A$502,$A158,'Commercial Evidence'!$B$3:$B$502,"Sponsors student organisations")&gt;0,2,IF(COUNTIFS('Commercial Evidence'!$A$3:$A$502,$A158,'Commercial Evidence'!$B$3:$B$502,"Sponsors university activities")+COUNTIFS('Commercial Evidence'!$A$3:$A$502,$A158,'Commercial Evidence'!$B$3:$B$502,"Sponsors similar events")+COUNTIFS('Commercial Evidence'!$A$3:$A$502,$A158,'Commercial Evidence'!$B$3:$B$502,"Previous CBS Talks partner")&gt;0,1,0))))</f>
        <v/>
      </c>
      <c r="AC158" s="32" t="str">
        <f aca="false">IF($A158="","",IF(COUNT(G158,J158,M158,P158,AB158)&lt;5,"",G158+J158+M158+P158+AB158))</f>
        <v/>
      </c>
      <c r="AD158" s="32" t="str">
        <f aca="false">IF($A158="","",IF(COUNTIFS(Contacts!$A$3:$A$502,$A158,Contacts!$E$3:$E$502,"Champion",Contacts!$K$3:$K$502,"&lt;&gt;Yes",Contacts!$L$3:$L$502,"&lt;&gt;Yes")+COUNTIFS(Opportunities!$A$3:$A$502,$A158,Opportunities!$C$3:$C$502,"Won",Opportunities!$Q$3:$Q$502,"Satisfied")&gt;0,4,IF(COUNTIFS(Interactions!$B$3:$B$502,$A158,Interactions!$I$3:$I$502,"Yes",Interactions!$A$3:$A$502,"&gt;="&amp;(S_Today-S_WarmDays))&gt;0,3,IF(T158&lt;&gt;"",2,IF(COUNTIFS(Contacts!$A$3:$A$502,$A158,Contacts!$M$3:$M$502,"Yes",Contacts!$K$3:$K$502,"&lt;&gt;Yes",Contacts!$L$3:$L$502,"&lt;&gt;Yes")&gt;0,1,0)))))</f>
        <v/>
      </c>
      <c r="AE158" s="32" t="str">
        <f aca="false">IF($A158="","",IF(Z158="Yes","Do not contact",IF(AC158="","Research",IF(AND(AC158&gt;=S_FitHigh,AD158&gt;=S_AccessHigh),"Priority",IF(AC158&gt;=S_FitHigh,"Build a Path",IF(AD158&gt;=S_AccessHigh,"Quick Win","Low Priority"))))))</f>
        <v/>
      </c>
      <c r="AF158" s="33" t="str">
        <f aca="false">IF($A158="","",IF(_xlfn.MAXIFS(Interactions!$A$3:$A$502,Interactions!$B$3:$B$502,$A158)=0,"",_xlfn.MAXIFS(Interactions!$A$3:$A$502,Interactions!$B$3:$B$502,$A158)))</f>
        <v/>
      </c>
      <c r="AG158" s="32" t="str">
        <f aca="false">IF($A158="","",COUNTIFS(Opportunities!$A$3:$A$502,$A158,Opportunities!$X$3:$X$502,"Yes"))</f>
        <v/>
      </c>
      <c r="AH158" s="32" t="str">
        <f aca="false">IF($A158="","",_xlfn.TEXTJOIN(", ",TRUE(),IF(COUNTIF($A$3:$A$502,$A158)&gt;1,"Duplicate name",""),IF(OR(AND(G158=2,I158=""),AND(J158=2,L158=""),AND(M158=2,O158=""),AND(P158=2,R158="")),"Source missing for a 2",""),IF(F158="","No owner",IF(COUNTIFS(R_TeamName,F158,R_TeamActive,"No")&gt;0,"Needs new owner","")),IF(AND(V158="Yes",X158&lt;&gt;"",X158&lt;S_SemStart),"Path overdue",""),IF(AND(S158&lt;&gt;"",S158&lt;S_Today-365),"Stale research",""),IF(AND(AE158="Research",COUNTIF('Commercial Evidence'!$A$3:$A$502,$A158)=0),"Add commercial evidence","")))</f>
        <v/>
      </c>
      <c r="AI158" s="34" t="str">
        <f aca="false">IF(OR($A158="",Z158="Yes"),"",IF(AND(AE158="Priority",AG158=0,COUNTIFS(Opportunities!$A$3:$A$502,$A158,Opportunities!$Y$3:$Y$502,"Renewal due")=0),600000+(10-AC158)*1000+(4-AD158)*100+ROW()/100000,IF(V158="Yes",700000+IF(X158="",0,X158-40000)/10+ROW()/100000,IF(AND(AE158="Quick Win",U158&lt;&gt;"",AG158=0),800000+(10-AC158)*1000+ROW()/100000,IF(AND(AE158="Build a Path",COUNTIF($V$3:$V$502,"Yes")&lt;S_PathCap),900000+(10-AC158)*1000+(4-AD158)*100+ROW()/100000,"")))))</f>
        <v/>
      </c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8"/>
      <c r="T159" s="27"/>
      <c r="U159" s="27"/>
      <c r="V159" s="27"/>
      <c r="W159" s="27"/>
      <c r="X159" s="28"/>
      <c r="Y159" s="27"/>
      <c r="Z159" s="27"/>
      <c r="AA159" s="27"/>
      <c r="AB159" s="32" t="str">
        <f aca="false">IF($A159="","",IF(COUNTIF('Commercial Evidence'!$A$3:$A$502,$A159)=0,"",IF(COUNTIFS('Commercial Evidence'!$A$3:$A$502,$A159,'Commercial Evidence'!$B$3:$B$502,"Previous CBS Talks spend")+COUNTIFS('Commercial Evidence'!$A$3:$A$502,$A159,'Commercial Evidence'!$B$3:$B$502,"Sponsors student organisations")&gt;0,2,IF(COUNTIFS('Commercial Evidence'!$A$3:$A$502,$A159,'Commercial Evidence'!$B$3:$B$502,"Sponsors university activities")+COUNTIFS('Commercial Evidence'!$A$3:$A$502,$A159,'Commercial Evidence'!$B$3:$B$502,"Sponsors similar events")+COUNTIFS('Commercial Evidence'!$A$3:$A$502,$A159,'Commercial Evidence'!$B$3:$B$502,"Previous CBS Talks partner")&gt;0,1,0))))</f>
        <v/>
      </c>
      <c r="AC159" s="32" t="str">
        <f aca="false">IF($A159="","",IF(COUNT(G159,J159,M159,P159,AB159)&lt;5,"",G159+J159+M159+P159+AB159))</f>
        <v/>
      </c>
      <c r="AD159" s="32" t="str">
        <f aca="false">IF($A159="","",IF(COUNTIFS(Contacts!$A$3:$A$502,$A159,Contacts!$E$3:$E$502,"Champion",Contacts!$K$3:$K$502,"&lt;&gt;Yes",Contacts!$L$3:$L$502,"&lt;&gt;Yes")+COUNTIFS(Opportunities!$A$3:$A$502,$A159,Opportunities!$C$3:$C$502,"Won",Opportunities!$Q$3:$Q$502,"Satisfied")&gt;0,4,IF(COUNTIFS(Interactions!$B$3:$B$502,$A159,Interactions!$I$3:$I$502,"Yes",Interactions!$A$3:$A$502,"&gt;="&amp;(S_Today-S_WarmDays))&gt;0,3,IF(T159&lt;&gt;"",2,IF(COUNTIFS(Contacts!$A$3:$A$502,$A159,Contacts!$M$3:$M$502,"Yes",Contacts!$K$3:$K$502,"&lt;&gt;Yes",Contacts!$L$3:$L$502,"&lt;&gt;Yes")&gt;0,1,0)))))</f>
        <v/>
      </c>
      <c r="AE159" s="32" t="str">
        <f aca="false">IF($A159="","",IF(Z159="Yes","Do not contact",IF(AC159="","Research",IF(AND(AC159&gt;=S_FitHigh,AD159&gt;=S_AccessHigh),"Priority",IF(AC159&gt;=S_FitHigh,"Build a Path",IF(AD159&gt;=S_AccessHigh,"Quick Win","Low Priority"))))))</f>
        <v/>
      </c>
      <c r="AF159" s="33" t="str">
        <f aca="false">IF($A159="","",IF(_xlfn.MAXIFS(Interactions!$A$3:$A$502,Interactions!$B$3:$B$502,$A159)=0,"",_xlfn.MAXIFS(Interactions!$A$3:$A$502,Interactions!$B$3:$B$502,$A159)))</f>
        <v/>
      </c>
      <c r="AG159" s="32" t="str">
        <f aca="false">IF($A159="","",COUNTIFS(Opportunities!$A$3:$A$502,$A159,Opportunities!$X$3:$X$502,"Yes"))</f>
        <v/>
      </c>
      <c r="AH159" s="32" t="str">
        <f aca="false">IF($A159="","",_xlfn.TEXTJOIN(", ",TRUE(),IF(COUNTIF($A$3:$A$502,$A159)&gt;1,"Duplicate name",""),IF(OR(AND(G159=2,I159=""),AND(J159=2,L159=""),AND(M159=2,O159=""),AND(P159=2,R159="")),"Source missing for a 2",""),IF(F159="","No owner",IF(COUNTIFS(R_TeamName,F159,R_TeamActive,"No")&gt;0,"Needs new owner","")),IF(AND(V159="Yes",X159&lt;&gt;"",X159&lt;S_SemStart),"Path overdue",""),IF(AND(S159&lt;&gt;"",S159&lt;S_Today-365),"Stale research",""),IF(AND(AE159="Research",COUNTIF('Commercial Evidence'!$A$3:$A$502,$A159)=0),"Add commercial evidence","")))</f>
        <v/>
      </c>
      <c r="AI159" s="34" t="str">
        <f aca="false">IF(OR($A159="",Z159="Yes"),"",IF(AND(AE159="Priority",AG159=0,COUNTIFS(Opportunities!$A$3:$A$502,$A159,Opportunities!$Y$3:$Y$502,"Renewal due")=0),600000+(10-AC159)*1000+(4-AD159)*100+ROW()/100000,IF(V159="Yes",700000+IF(X159="",0,X159-40000)/10+ROW()/100000,IF(AND(AE159="Quick Win",U159&lt;&gt;"",AG159=0),800000+(10-AC159)*1000+ROW()/100000,IF(AND(AE159="Build a Path",COUNTIF($V$3:$V$502,"Yes")&lt;S_PathCap),900000+(10-AC159)*1000+(4-AD159)*100+ROW()/100000,"")))))</f>
        <v/>
      </c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8"/>
      <c r="T160" s="27"/>
      <c r="U160" s="27"/>
      <c r="V160" s="27"/>
      <c r="W160" s="27"/>
      <c r="X160" s="28"/>
      <c r="Y160" s="27"/>
      <c r="Z160" s="27"/>
      <c r="AA160" s="27"/>
      <c r="AB160" s="32" t="str">
        <f aca="false">IF($A160="","",IF(COUNTIF('Commercial Evidence'!$A$3:$A$502,$A160)=0,"",IF(COUNTIFS('Commercial Evidence'!$A$3:$A$502,$A160,'Commercial Evidence'!$B$3:$B$502,"Previous CBS Talks spend")+COUNTIFS('Commercial Evidence'!$A$3:$A$502,$A160,'Commercial Evidence'!$B$3:$B$502,"Sponsors student organisations")&gt;0,2,IF(COUNTIFS('Commercial Evidence'!$A$3:$A$502,$A160,'Commercial Evidence'!$B$3:$B$502,"Sponsors university activities")+COUNTIFS('Commercial Evidence'!$A$3:$A$502,$A160,'Commercial Evidence'!$B$3:$B$502,"Sponsors similar events")+COUNTIFS('Commercial Evidence'!$A$3:$A$502,$A160,'Commercial Evidence'!$B$3:$B$502,"Previous CBS Talks partner")&gt;0,1,0))))</f>
        <v/>
      </c>
      <c r="AC160" s="32" t="str">
        <f aca="false">IF($A160="","",IF(COUNT(G160,J160,M160,P160,AB160)&lt;5,"",G160+J160+M160+P160+AB160))</f>
        <v/>
      </c>
      <c r="AD160" s="32" t="str">
        <f aca="false">IF($A160="","",IF(COUNTIFS(Contacts!$A$3:$A$502,$A160,Contacts!$E$3:$E$502,"Champion",Contacts!$K$3:$K$502,"&lt;&gt;Yes",Contacts!$L$3:$L$502,"&lt;&gt;Yes")+COUNTIFS(Opportunities!$A$3:$A$502,$A160,Opportunities!$C$3:$C$502,"Won",Opportunities!$Q$3:$Q$502,"Satisfied")&gt;0,4,IF(COUNTIFS(Interactions!$B$3:$B$502,$A160,Interactions!$I$3:$I$502,"Yes",Interactions!$A$3:$A$502,"&gt;="&amp;(S_Today-S_WarmDays))&gt;0,3,IF(T160&lt;&gt;"",2,IF(COUNTIFS(Contacts!$A$3:$A$502,$A160,Contacts!$M$3:$M$502,"Yes",Contacts!$K$3:$K$502,"&lt;&gt;Yes",Contacts!$L$3:$L$502,"&lt;&gt;Yes")&gt;0,1,0)))))</f>
        <v/>
      </c>
      <c r="AE160" s="32" t="str">
        <f aca="false">IF($A160="","",IF(Z160="Yes","Do not contact",IF(AC160="","Research",IF(AND(AC160&gt;=S_FitHigh,AD160&gt;=S_AccessHigh),"Priority",IF(AC160&gt;=S_FitHigh,"Build a Path",IF(AD160&gt;=S_AccessHigh,"Quick Win","Low Priority"))))))</f>
        <v/>
      </c>
      <c r="AF160" s="33" t="str">
        <f aca="false">IF($A160="","",IF(_xlfn.MAXIFS(Interactions!$A$3:$A$502,Interactions!$B$3:$B$502,$A160)=0,"",_xlfn.MAXIFS(Interactions!$A$3:$A$502,Interactions!$B$3:$B$502,$A160)))</f>
        <v/>
      </c>
      <c r="AG160" s="32" t="str">
        <f aca="false">IF($A160="","",COUNTIFS(Opportunities!$A$3:$A$502,$A160,Opportunities!$X$3:$X$502,"Yes"))</f>
        <v/>
      </c>
      <c r="AH160" s="32" t="str">
        <f aca="false">IF($A160="","",_xlfn.TEXTJOIN(", ",TRUE(),IF(COUNTIF($A$3:$A$502,$A160)&gt;1,"Duplicate name",""),IF(OR(AND(G160=2,I160=""),AND(J160=2,L160=""),AND(M160=2,O160=""),AND(P160=2,R160="")),"Source missing for a 2",""),IF(F160="","No owner",IF(COUNTIFS(R_TeamName,F160,R_TeamActive,"No")&gt;0,"Needs new owner","")),IF(AND(V160="Yes",X160&lt;&gt;"",X160&lt;S_SemStart),"Path overdue",""),IF(AND(S160&lt;&gt;"",S160&lt;S_Today-365),"Stale research",""),IF(AND(AE160="Research",COUNTIF('Commercial Evidence'!$A$3:$A$502,$A160)=0),"Add commercial evidence","")))</f>
        <v/>
      </c>
      <c r="AI160" s="34" t="str">
        <f aca="false">IF(OR($A160="",Z160="Yes"),"",IF(AND(AE160="Priority",AG160=0,COUNTIFS(Opportunities!$A$3:$A$502,$A160,Opportunities!$Y$3:$Y$502,"Renewal due")=0),600000+(10-AC160)*1000+(4-AD160)*100+ROW()/100000,IF(V160="Yes",700000+IF(X160="",0,X160-40000)/10+ROW()/100000,IF(AND(AE160="Quick Win",U160&lt;&gt;"",AG160=0),800000+(10-AC160)*1000+ROW()/100000,IF(AND(AE160="Build a Path",COUNTIF($V$3:$V$502,"Yes")&lt;S_PathCap),900000+(10-AC160)*1000+(4-AD160)*100+ROW()/100000,"")))))</f>
        <v/>
      </c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8"/>
      <c r="T161" s="27"/>
      <c r="U161" s="27"/>
      <c r="V161" s="27"/>
      <c r="W161" s="27"/>
      <c r="X161" s="28"/>
      <c r="Y161" s="27"/>
      <c r="Z161" s="27"/>
      <c r="AA161" s="27"/>
      <c r="AB161" s="32" t="str">
        <f aca="false">IF($A161="","",IF(COUNTIF('Commercial Evidence'!$A$3:$A$502,$A161)=0,"",IF(COUNTIFS('Commercial Evidence'!$A$3:$A$502,$A161,'Commercial Evidence'!$B$3:$B$502,"Previous CBS Talks spend")+COUNTIFS('Commercial Evidence'!$A$3:$A$502,$A161,'Commercial Evidence'!$B$3:$B$502,"Sponsors student organisations")&gt;0,2,IF(COUNTIFS('Commercial Evidence'!$A$3:$A$502,$A161,'Commercial Evidence'!$B$3:$B$502,"Sponsors university activities")+COUNTIFS('Commercial Evidence'!$A$3:$A$502,$A161,'Commercial Evidence'!$B$3:$B$502,"Sponsors similar events")+COUNTIFS('Commercial Evidence'!$A$3:$A$502,$A161,'Commercial Evidence'!$B$3:$B$502,"Previous CBS Talks partner")&gt;0,1,0))))</f>
        <v/>
      </c>
      <c r="AC161" s="32" t="str">
        <f aca="false">IF($A161="","",IF(COUNT(G161,J161,M161,P161,AB161)&lt;5,"",G161+J161+M161+P161+AB161))</f>
        <v/>
      </c>
      <c r="AD161" s="32" t="str">
        <f aca="false">IF($A161="","",IF(COUNTIFS(Contacts!$A$3:$A$502,$A161,Contacts!$E$3:$E$502,"Champion",Contacts!$K$3:$K$502,"&lt;&gt;Yes",Contacts!$L$3:$L$502,"&lt;&gt;Yes")+COUNTIFS(Opportunities!$A$3:$A$502,$A161,Opportunities!$C$3:$C$502,"Won",Opportunities!$Q$3:$Q$502,"Satisfied")&gt;0,4,IF(COUNTIFS(Interactions!$B$3:$B$502,$A161,Interactions!$I$3:$I$502,"Yes",Interactions!$A$3:$A$502,"&gt;="&amp;(S_Today-S_WarmDays))&gt;0,3,IF(T161&lt;&gt;"",2,IF(COUNTIFS(Contacts!$A$3:$A$502,$A161,Contacts!$M$3:$M$502,"Yes",Contacts!$K$3:$K$502,"&lt;&gt;Yes",Contacts!$L$3:$L$502,"&lt;&gt;Yes")&gt;0,1,0)))))</f>
        <v/>
      </c>
      <c r="AE161" s="32" t="str">
        <f aca="false">IF($A161="","",IF(Z161="Yes","Do not contact",IF(AC161="","Research",IF(AND(AC161&gt;=S_FitHigh,AD161&gt;=S_AccessHigh),"Priority",IF(AC161&gt;=S_FitHigh,"Build a Path",IF(AD161&gt;=S_AccessHigh,"Quick Win","Low Priority"))))))</f>
        <v/>
      </c>
      <c r="AF161" s="33" t="str">
        <f aca="false">IF($A161="","",IF(_xlfn.MAXIFS(Interactions!$A$3:$A$502,Interactions!$B$3:$B$502,$A161)=0,"",_xlfn.MAXIFS(Interactions!$A$3:$A$502,Interactions!$B$3:$B$502,$A161)))</f>
        <v/>
      </c>
      <c r="AG161" s="32" t="str">
        <f aca="false">IF($A161="","",COUNTIFS(Opportunities!$A$3:$A$502,$A161,Opportunities!$X$3:$X$502,"Yes"))</f>
        <v/>
      </c>
      <c r="AH161" s="32" t="str">
        <f aca="false">IF($A161="","",_xlfn.TEXTJOIN(", ",TRUE(),IF(COUNTIF($A$3:$A$502,$A161)&gt;1,"Duplicate name",""),IF(OR(AND(G161=2,I161=""),AND(J161=2,L161=""),AND(M161=2,O161=""),AND(P161=2,R161="")),"Source missing for a 2",""),IF(F161="","No owner",IF(COUNTIFS(R_TeamName,F161,R_TeamActive,"No")&gt;0,"Needs new owner","")),IF(AND(V161="Yes",X161&lt;&gt;"",X161&lt;S_SemStart),"Path overdue",""),IF(AND(S161&lt;&gt;"",S161&lt;S_Today-365),"Stale research",""),IF(AND(AE161="Research",COUNTIF('Commercial Evidence'!$A$3:$A$502,$A161)=0),"Add commercial evidence","")))</f>
        <v/>
      </c>
      <c r="AI161" s="34" t="str">
        <f aca="false">IF(OR($A161="",Z161="Yes"),"",IF(AND(AE161="Priority",AG161=0,COUNTIFS(Opportunities!$A$3:$A$502,$A161,Opportunities!$Y$3:$Y$502,"Renewal due")=0),600000+(10-AC161)*1000+(4-AD161)*100+ROW()/100000,IF(V161="Yes",700000+IF(X161="",0,X161-40000)/10+ROW()/100000,IF(AND(AE161="Quick Win",U161&lt;&gt;"",AG161=0),800000+(10-AC161)*1000+ROW()/100000,IF(AND(AE161="Build a Path",COUNTIF($V$3:$V$502,"Yes")&lt;S_PathCap),900000+(10-AC161)*1000+(4-AD161)*100+ROW()/100000,"")))))</f>
        <v/>
      </c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8"/>
      <c r="T162" s="27"/>
      <c r="U162" s="27"/>
      <c r="V162" s="27"/>
      <c r="W162" s="27"/>
      <c r="X162" s="28"/>
      <c r="Y162" s="27"/>
      <c r="Z162" s="27"/>
      <c r="AA162" s="27"/>
      <c r="AB162" s="32" t="str">
        <f aca="false">IF($A162="","",IF(COUNTIF('Commercial Evidence'!$A$3:$A$502,$A162)=0,"",IF(COUNTIFS('Commercial Evidence'!$A$3:$A$502,$A162,'Commercial Evidence'!$B$3:$B$502,"Previous CBS Talks spend")+COUNTIFS('Commercial Evidence'!$A$3:$A$502,$A162,'Commercial Evidence'!$B$3:$B$502,"Sponsors student organisations")&gt;0,2,IF(COUNTIFS('Commercial Evidence'!$A$3:$A$502,$A162,'Commercial Evidence'!$B$3:$B$502,"Sponsors university activities")+COUNTIFS('Commercial Evidence'!$A$3:$A$502,$A162,'Commercial Evidence'!$B$3:$B$502,"Sponsors similar events")+COUNTIFS('Commercial Evidence'!$A$3:$A$502,$A162,'Commercial Evidence'!$B$3:$B$502,"Previous CBS Talks partner")&gt;0,1,0))))</f>
        <v/>
      </c>
      <c r="AC162" s="32" t="str">
        <f aca="false">IF($A162="","",IF(COUNT(G162,J162,M162,P162,AB162)&lt;5,"",G162+J162+M162+P162+AB162))</f>
        <v/>
      </c>
      <c r="AD162" s="32" t="str">
        <f aca="false">IF($A162="","",IF(COUNTIFS(Contacts!$A$3:$A$502,$A162,Contacts!$E$3:$E$502,"Champion",Contacts!$K$3:$K$502,"&lt;&gt;Yes",Contacts!$L$3:$L$502,"&lt;&gt;Yes")+COUNTIFS(Opportunities!$A$3:$A$502,$A162,Opportunities!$C$3:$C$502,"Won",Opportunities!$Q$3:$Q$502,"Satisfied")&gt;0,4,IF(COUNTIFS(Interactions!$B$3:$B$502,$A162,Interactions!$I$3:$I$502,"Yes",Interactions!$A$3:$A$502,"&gt;="&amp;(S_Today-S_WarmDays))&gt;0,3,IF(T162&lt;&gt;"",2,IF(COUNTIFS(Contacts!$A$3:$A$502,$A162,Contacts!$M$3:$M$502,"Yes",Contacts!$K$3:$K$502,"&lt;&gt;Yes",Contacts!$L$3:$L$502,"&lt;&gt;Yes")&gt;0,1,0)))))</f>
        <v/>
      </c>
      <c r="AE162" s="32" t="str">
        <f aca="false">IF($A162="","",IF(Z162="Yes","Do not contact",IF(AC162="","Research",IF(AND(AC162&gt;=S_FitHigh,AD162&gt;=S_AccessHigh),"Priority",IF(AC162&gt;=S_FitHigh,"Build a Path",IF(AD162&gt;=S_AccessHigh,"Quick Win","Low Priority"))))))</f>
        <v/>
      </c>
      <c r="AF162" s="33" t="str">
        <f aca="false">IF($A162="","",IF(_xlfn.MAXIFS(Interactions!$A$3:$A$502,Interactions!$B$3:$B$502,$A162)=0,"",_xlfn.MAXIFS(Interactions!$A$3:$A$502,Interactions!$B$3:$B$502,$A162)))</f>
        <v/>
      </c>
      <c r="AG162" s="32" t="str">
        <f aca="false">IF($A162="","",COUNTIFS(Opportunities!$A$3:$A$502,$A162,Opportunities!$X$3:$X$502,"Yes"))</f>
        <v/>
      </c>
      <c r="AH162" s="32" t="str">
        <f aca="false">IF($A162="","",_xlfn.TEXTJOIN(", ",TRUE(),IF(COUNTIF($A$3:$A$502,$A162)&gt;1,"Duplicate name",""),IF(OR(AND(G162=2,I162=""),AND(J162=2,L162=""),AND(M162=2,O162=""),AND(P162=2,R162="")),"Source missing for a 2",""),IF(F162="","No owner",IF(COUNTIFS(R_TeamName,F162,R_TeamActive,"No")&gt;0,"Needs new owner","")),IF(AND(V162="Yes",X162&lt;&gt;"",X162&lt;S_SemStart),"Path overdue",""),IF(AND(S162&lt;&gt;"",S162&lt;S_Today-365),"Stale research",""),IF(AND(AE162="Research",COUNTIF('Commercial Evidence'!$A$3:$A$502,$A162)=0),"Add commercial evidence","")))</f>
        <v/>
      </c>
      <c r="AI162" s="34" t="str">
        <f aca="false">IF(OR($A162="",Z162="Yes"),"",IF(AND(AE162="Priority",AG162=0,COUNTIFS(Opportunities!$A$3:$A$502,$A162,Opportunities!$Y$3:$Y$502,"Renewal due")=0),600000+(10-AC162)*1000+(4-AD162)*100+ROW()/100000,IF(V162="Yes",700000+IF(X162="",0,X162-40000)/10+ROW()/100000,IF(AND(AE162="Quick Win",U162&lt;&gt;"",AG162=0),800000+(10-AC162)*1000+ROW()/100000,IF(AND(AE162="Build a Path",COUNTIF($V$3:$V$502,"Yes")&lt;S_PathCap),900000+(10-AC162)*1000+(4-AD162)*100+ROW()/100000,"")))))</f>
        <v/>
      </c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8"/>
      <c r="T163" s="27"/>
      <c r="U163" s="27"/>
      <c r="V163" s="27"/>
      <c r="W163" s="27"/>
      <c r="X163" s="28"/>
      <c r="Y163" s="27"/>
      <c r="Z163" s="27"/>
      <c r="AA163" s="27"/>
      <c r="AB163" s="32" t="str">
        <f aca="false">IF($A163="","",IF(COUNTIF('Commercial Evidence'!$A$3:$A$502,$A163)=0,"",IF(COUNTIFS('Commercial Evidence'!$A$3:$A$502,$A163,'Commercial Evidence'!$B$3:$B$502,"Previous CBS Talks spend")+COUNTIFS('Commercial Evidence'!$A$3:$A$502,$A163,'Commercial Evidence'!$B$3:$B$502,"Sponsors student organisations")&gt;0,2,IF(COUNTIFS('Commercial Evidence'!$A$3:$A$502,$A163,'Commercial Evidence'!$B$3:$B$502,"Sponsors university activities")+COUNTIFS('Commercial Evidence'!$A$3:$A$502,$A163,'Commercial Evidence'!$B$3:$B$502,"Sponsors similar events")+COUNTIFS('Commercial Evidence'!$A$3:$A$502,$A163,'Commercial Evidence'!$B$3:$B$502,"Previous CBS Talks partner")&gt;0,1,0))))</f>
        <v/>
      </c>
      <c r="AC163" s="32" t="str">
        <f aca="false">IF($A163="","",IF(COUNT(G163,J163,M163,P163,AB163)&lt;5,"",G163+J163+M163+P163+AB163))</f>
        <v/>
      </c>
      <c r="AD163" s="32" t="str">
        <f aca="false">IF($A163="","",IF(COUNTIFS(Contacts!$A$3:$A$502,$A163,Contacts!$E$3:$E$502,"Champion",Contacts!$K$3:$K$502,"&lt;&gt;Yes",Contacts!$L$3:$L$502,"&lt;&gt;Yes")+COUNTIFS(Opportunities!$A$3:$A$502,$A163,Opportunities!$C$3:$C$502,"Won",Opportunities!$Q$3:$Q$502,"Satisfied")&gt;0,4,IF(COUNTIFS(Interactions!$B$3:$B$502,$A163,Interactions!$I$3:$I$502,"Yes",Interactions!$A$3:$A$502,"&gt;="&amp;(S_Today-S_WarmDays))&gt;0,3,IF(T163&lt;&gt;"",2,IF(COUNTIFS(Contacts!$A$3:$A$502,$A163,Contacts!$M$3:$M$502,"Yes",Contacts!$K$3:$K$502,"&lt;&gt;Yes",Contacts!$L$3:$L$502,"&lt;&gt;Yes")&gt;0,1,0)))))</f>
        <v/>
      </c>
      <c r="AE163" s="32" t="str">
        <f aca="false">IF($A163="","",IF(Z163="Yes","Do not contact",IF(AC163="","Research",IF(AND(AC163&gt;=S_FitHigh,AD163&gt;=S_AccessHigh),"Priority",IF(AC163&gt;=S_FitHigh,"Build a Path",IF(AD163&gt;=S_AccessHigh,"Quick Win","Low Priority"))))))</f>
        <v/>
      </c>
      <c r="AF163" s="33" t="str">
        <f aca="false">IF($A163="","",IF(_xlfn.MAXIFS(Interactions!$A$3:$A$502,Interactions!$B$3:$B$502,$A163)=0,"",_xlfn.MAXIFS(Interactions!$A$3:$A$502,Interactions!$B$3:$B$502,$A163)))</f>
        <v/>
      </c>
      <c r="AG163" s="32" t="str">
        <f aca="false">IF($A163="","",COUNTIFS(Opportunities!$A$3:$A$502,$A163,Opportunities!$X$3:$X$502,"Yes"))</f>
        <v/>
      </c>
      <c r="AH163" s="32" t="str">
        <f aca="false">IF($A163="","",_xlfn.TEXTJOIN(", ",TRUE(),IF(COUNTIF($A$3:$A$502,$A163)&gt;1,"Duplicate name",""),IF(OR(AND(G163=2,I163=""),AND(J163=2,L163=""),AND(M163=2,O163=""),AND(P163=2,R163="")),"Source missing for a 2",""),IF(F163="","No owner",IF(COUNTIFS(R_TeamName,F163,R_TeamActive,"No")&gt;0,"Needs new owner","")),IF(AND(V163="Yes",X163&lt;&gt;"",X163&lt;S_SemStart),"Path overdue",""),IF(AND(S163&lt;&gt;"",S163&lt;S_Today-365),"Stale research",""),IF(AND(AE163="Research",COUNTIF('Commercial Evidence'!$A$3:$A$502,$A163)=0),"Add commercial evidence","")))</f>
        <v/>
      </c>
      <c r="AI163" s="34" t="str">
        <f aca="false">IF(OR($A163="",Z163="Yes"),"",IF(AND(AE163="Priority",AG163=0,COUNTIFS(Opportunities!$A$3:$A$502,$A163,Opportunities!$Y$3:$Y$502,"Renewal due")=0),600000+(10-AC163)*1000+(4-AD163)*100+ROW()/100000,IF(V163="Yes",700000+IF(X163="",0,X163-40000)/10+ROW()/100000,IF(AND(AE163="Quick Win",U163&lt;&gt;"",AG163=0),800000+(10-AC163)*1000+ROW()/100000,IF(AND(AE163="Build a Path",COUNTIF($V$3:$V$502,"Yes")&lt;S_PathCap),900000+(10-AC163)*1000+(4-AD163)*100+ROW()/100000,"")))))</f>
        <v/>
      </c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8"/>
      <c r="T164" s="27"/>
      <c r="U164" s="27"/>
      <c r="V164" s="27"/>
      <c r="W164" s="27"/>
      <c r="X164" s="28"/>
      <c r="Y164" s="27"/>
      <c r="Z164" s="27"/>
      <c r="AA164" s="27"/>
      <c r="AB164" s="32" t="str">
        <f aca="false">IF($A164="","",IF(COUNTIF('Commercial Evidence'!$A$3:$A$502,$A164)=0,"",IF(COUNTIFS('Commercial Evidence'!$A$3:$A$502,$A164,'Commercial Evidence'!$B$3:$B$502,"Previous CBS Talks spend")+COUNTIFS('Commercial Evidence'!$A$3:$A$502,$A164,'Commercial Evidence'!$B$3:$B$502,"Sponsors student organisations")&gt;0,2,IF(COUNTIFS('Commercial Evidence'!$A$3:$A$502,$A164,'Commercial Evidence'!$B$3:$B$502,"Sponsors university activities")+COUNTIFS('Commercial Evidence'!$A$3:$A$502,$A164,'Commercial Evidence'!$B$3:$B$502,"Sponsors similar events")+COUNTIFS('Commercial Evidence'!$A$3:$A$502,$A164,'Commercial Evidence'!$B$3:$B$502,"Previous CBS Talks partner")&gt;0,1,0))))</f>
        <v/>
      </c>
      <c r="AC164" s="32" t="str">
        <f aca="false">IF($A164="","",IF(COUNT(G164,J164,M164,P164,AB164)&lt;5,"",G164+J164+M164+P164+AB164))</f>
        <v/>
      </c>
      <c r="AD164" s="32" t="str">
        <f aca="false">IF($A164="","",IF(COUNTIFS(Contacts!$A$3:$A$502,$A164,Contacts!$E$3:$E$502,"Champion",Contacts!$K$3:$K$502,"&lt;&gt;Yes",Contacts!$L$3:$L$502,"&lt;&gt;Yes")+COUNTIFS(Opportunities!$A$3:$A$502,$A164,Opportunities!$C$3:$C$502,"Won",Opportunities!$Q$3:$Q$502,"Satisfied")&gt;0,4,IF(COUNTIFS(Interactions!$B$3:$B$502,$A164,Interactions!$I$3:$I$502,"Yes",Interactions!$A$3:$A$502,"&gt;="&amp;(S_Today-S_WarmDays))&gt;0,3,IF(T164&lt;&gt;"",2,IF(COUNTIFS(Contacts!$A$3:$A$502,$A164,Contacts!$M$3:$M$502,"Yes",Contacts!$K$3:$K$502,"&lt;&gt;Yes",Contacts!$L$3:$L$502,"&lt;&gt;Yes")&gt;0,1,0)))))</f>
        <v/>
      </c>
      <c r="AE164" s="32" t="str">
        <f aca="false">IF($A164="","",IF(Z164="Yes","Do not contact",IF(AC164="","Research",IF(AND(AC164&gt;=S_FitHigh,AD164&gt;=S_AccessHigh),"Priority",IF(AC164&gt;=S_FitHigh,"Build a Path",IF(AD164&gt;=S_AccessHigh,"Quick Win","Low Priority"))))))</f>
        <v/>
      </c>
      <c r="AF164" s="33" t="str">
        <f aca="false">IF($A164="","",IF(_xlfn.MAXIFS(Interactions!$A$3:$A$502,Interactions!$B$3:$B$502,$A164)=0,"",_xlfn.MAXIFS(Interactions!$A$3:$A$502,Interactions!$B$3:$B$502,$A164)))</f>
        <v/>
      </c>
      <c r="AG164" s="32" t="str">
        <f aca="false">IF($A164="","",COUNTIFS(Opportunities!$A$3:$A$502,$A164,Opportunities!$X$3:$X$502,"Yes"))</f>
        <v/>
      </c>
      <c r="AH164" s="32" t="str">
        <f aca="false">IF($A164="","",_xlfn.TEXTJOIN(", ",TRUE(),IF(COUNTIF($A$3:$A$502,$A164)&gt;1,"Duplicate name",""),IF(OR(AND(G164=2,I164=""),AND(J164=2,L164=""),AND(M164=2,O164=""),AND(P164=2,R164="")),"Source missing for a 2",""),IF(F164="","No owner",IF(COUNTIFS(R_TeamName,F164,R_TeamActive,"No")&gt;0,"Needs new owner","")),IF(AND(V164="Yes",X164&lt;&gt;"",X164&lt;S_SemStart),"Path overdue",""),IF(AND(S164&lt;&gt;"",S164&lt;S_Today-365),"Stale research",""),IF(AND(AE164="Research",COUNTIF('Commercial Evidence'!$A$3:$A$502,$A164)=0),"Add commercial evidence","")))</f>
        <v/>
      </c>
      <c r="AI164" s="34" t="str">
        <f aca="false">IF(OR($A164="",Z164="Yes"),"",IF(AND(AE164="Priority",AG164=0,COUNTIFS(Opportunities!$A$3:$A$502,$A164,Opportunities!$Y$3:$Y$502,"Renewal due")=0),600000+(10-AC164)*1000+(4-AD164)*100+ROW()/100000,IF(V164="Yes",700000+IF(X164="",0,X164-40000)/10+ROW()/100000,IF(AND(AE164="Quick Win",U164&lt;&gt;"",AG164=0),800000+(10-AC164)*1000+ROW()/100000,IF(AND(AE164="Build a Path",COUNTIF($V$3:$V$502,"Yes")&lt;S_PathCap),900000+(10-AC164)*1000+(4-AD164)*100+ROW()/100000,"")))))</f>
        <v/>
      </c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8"/>
      <c r="T165" s="27"/>
      <c r="U165" s="27"/>
      <c r="V165" s="27"/>
      <c r="W165" s="27"/>
      <c r="X165" s="28"/>
      <c r="Y165" s="27"/>
      <c r="Z165" s="27"/>
      <c r="AA165" s="27"/>
      <c r="AB165" s="32" t="str">
        <f aca="false">IF($A165="","",IF(COUNTIF('Commercial Evidence'!$A$3:$A$502,$A165)=0,"",IF(COUNTIFS('Commercial Evidence'!$A$3:$A$502,$A165,'Commercial Evidence'!$B$3:$B$502,"Previous CBS Talks spend")+COUNTIFS('Commercial Evidence'!$A$3:$A$502,$A165,'Commercial Evidence'!$B$3:$B$502,"Sponsors student organisations")&gt;0,2,IF(COUNTIFS('Commercial Evidence'!$A$3:$A$502,$A165,'Commercial Evidence'!$B$3:$B$502,"Sponsors university activities")+COUNTIFS('Commercial Evidence'!$A$3:$A$502,$A165,'Commercial Evidence'!$B$3:$B$502,"Sponsors similar events")+COUNTIFS('Commercial Evidence'!$A$3:$A$502,$A165,'Commercial Evidence'!$B$3:$B$502,"Previous CBS Talks partner")&gt;0,1,0))))</f>
        <v/>
      </c>
      <c r="AC165" s="32" t="str">
        <f aca="false">IF($A165="","",IF(COUNT(G165,J165,M165,P165,AB165)&lt;5,"",G165+J165+M165+P165+AB165))</f>
        <v/>
      </c>
      <c r="AD165" s="32" t="str">
        <f aca="false">IF($A165="","",IF(COUNTIFS(Contacts!$A$3:$A$502,$A165,Contacts!$E$3:$E$502,"Champion",Contacts!$K$3:$K$502,"&lt;&gt;Yes",Contacts!$L$3:$L$502,"&lt;&gt;Yes")+COUNTIFS(Opportunities!$A$3:$A$502,$A165,Opportunities!$C$3:$C$502,"Won",Opportunities!$Q$3:$Q$502,"Satisfied")&gt;0,4,IF(COUNTIFS(Interactions!$B$3:$B$502,$A165,Interactions!$I$3:$I$502,"Yes",Interactions!$A$3:$A$502,"&gt;="&amp;(S_Today-S_WarmDays))&gt;0,3,IF(T165&lt;&gt;"",2,IF(COUNTIFS(Contacts!$A$3:$A$502,$A165,Contacts!$M$3:$M$502,"Yes",Contacts!$K$3:$K$502,"&lt;&gt;Yes",Contacts!$L$3:$L$502,"&lt;&gt;Yes")&gt;0,1,0)))))</f>
        <v/>
      </c>
      <c r="AE165" s="32" t="str">
        <f aca="false">IF($A165="","",IF(Z165="Yes","Do not contact",IF(AC165="","Research",IF(AND(AC165&gt;=S_FitHigh,AD165&gt;=S_AccessHigh),"Priority",IF(AC165&gt;=S_FitHigh,"Build a Path",IF(AD165&gt;=S_AccessHigh,"Quick Win","Low Priority"))))))</f>
        <v/>
      </c>
      <c r="AF165" s="33" t="str">
        <f aca="false">IF($A165="","",IF(_xlfn.MAXIFS(Interactions!$A$3:$A$502,Interactions!$B$3:$B$502,$A165)=0,"",_xlfn.MAXIFS(Interactions!$A$3:$A$502,Interactions!$B$3:$B$502,$A165)))</f>
        <v/>
      </c>
      <c r="AG165" s="32" t="str">
        <f aca="false">IF($A165="","",COUNTIFS(Opportunities!$A$3:$A$502,$A165,Opportunities!$X$3:$X$502,"Yes"))</f>
        <v/>
      </c>
      <c r="AH165" s="32" t="str">
        <f aca="false">IF($A165="","",_xlfn.TEXTJOIN(", ",TRUE(),IF(COUNTIF($A$3:$A$502,$A165)&gt;1,"Duplicate name",""),IF(OR(AND(G165=2,I165=""),AND(J165=2,L165=""),AND(M165=2,O165=""),AND(P165=2,R165="")),"Source missing for a 2",""),IF(F165="","No owner",IF(COUNTIFS(R_TeamName,F165,R_TeamActive,"No")&gt;0,"Needs new owner","")),IF(AND(V165="Yes",X165&lt;&gt;"",X165&lt;S_SemStart),"Path overdue",""),IF(AND(S165&lt;&gt;"",S165&lt;S_Today-365),"Stale research",""),IF(AND(AE165="Research",COUNTIF('Commercial Evidence'!$A$3:$A$502,$A165)=0),"Add commercial evidence","")))</f>
        <v/>
      </c>
      <c r="AI165" s="34" t="str">
        <f aca="false">IF(OR($A165="",Z165="Yes"),"",IF(AND(AE165="Priority",AG165=0,COUNTIFS(Opportunities!$A$3:$A$502,$A165,Opportunities!$Y$3:$Y$502,"Renewal due")=0),600000+(10-AC165)*1000+(4-AD165)*100+ROW()/100000,IF(V165="Yes",700000+IF(X165="",0,X165-40000)/10+ROW()/100000,IF(AND(AE165="Quick Win",U165&lt;&gt;"",AG165=0),800000+(10-AC165)*1000+ROW()/100000,IF(AND(AE165="Build a Path",COUNTIF($V$3:$V$502,"Yes")&lt;S_PathCap),900000+(10-AC165)*1000+(4-AD165)*100+ROW()/100000,"")))))</f>
        <v/>
      </c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8"/>
      <c r="T166" s="27"/>
      <c r="U166" s="27"/>
      <c r="V166" s="27"/>
      <c r="W166" s="27"/>
      <c r="X166" s="28"/>
      <c r="Y166" s="27"/>
      <c r="Z166" s="27"/>
      <c r="AA166" s="27"/>
      <c r="AB166" s="32" t="str">
        <f aca="false">IF($A166="","",IF(COUNTIF('Commercial Evidence'!$A$3:$A$502,$A166)=0,"",IF(COUNTIFS('Commercial Evidence'!$A$3:$A$502,$A166,'Commercial Evidence'!$B$3:$B$502,"Previous CBS Talks spend")+COUNTIFS('Commercial Evidence'!$A$3:$A$502,$A166,'Commercial Evidence'!$B$3:$B$502,"Sponsors student organisations")&gt;0,2,IF(COUNTIFS('Commercial Evidence'!$A$3:$A$502,$A166,'Commercial Evidence'!$B$3:$B$502,"Sponsors university activities")+COUNTIFS('Commercial Evidence'!$A$3:$A$502,$A166,'Commercial Evidence'!$B$3:$B$502,"Sponsors similar events")+COUNTIFS('Commercial Evidence'!$A$3:$A$502,$A166,'Commercial Evidence'!$B$3:$B$502,"Previous CBS Talks partner")&gt;0,1,0))))</f>
        <v/>
      </c>
      <c r="AC166" s="32" t="str">
        <f aca="false">IF($A166="","",IF(COUNT(G166,J166,M166,P166,AB166)&lt;5,"",G166+J166+M166+P166+AB166))</f>
        <v/>
      </c>
      <c r="AD166" s="32" t="str">
        <f aca="false">IF($A166="","",IF(COUNTIFS(Contacts!$A$3:$A$502,$A166,Contacts!$E$3:$E$502,"Champion",Contacts!$K$3:$K$502,"&lt;&gt;Yes",Contacts!$L$3:$L$502,"&lt;&gt;Yes")+COUNTIFS(Opportunities!$A$3:$A$502,$A166,Opportunities!$C$3:$C$502,"Won",Opportunities!$Q$3:$Q$502,"Satisfied")&gt;0,4,IF(COUNTIFS(Interactions!$B$3:$B$502,$A166,Interactions!$I$3:$I$502,"Yes",Interactions!$A$3:$A$502,"&gt;="&amp;(S_Today-S_WarmDays))&gt;0,3,IF(T166&lt;&gt;"",2,IF(COUNTIFS(Contacts!$A$3:$A$502,$A166,Contacts!$M$3:$M$502,"Yes",Contacts!$K$3:$K$502,"&lt;&gt;Yes",Contacts!$L$3:$L$502,"&lt;&gt;Yes")&gt;0,1,0)))))</f>
        <v/>
      </c>
      <c r="AE166" s="32" t="str">
        <f aca="false">IF($A166="","",IF(Z166="Yes","Do not contact",IF(AC166="","Research",IF(AND(AC166&gt;=S_FitHigh,AD166&gt;=S_AccessHigh),"Priority",IF(AC166&gt;=S_FitHigh,"Build a Path",IF(AD166&gt;=S_AccessHigh,"Quick Win","Low Priority"))))))</f>
        <v/>
      </c>
      <c r="AF166" s="33" t="str">
        <f aca="false">IF($A166="","",IF(_xlfn.MAXIFS(Interactions!$A$3:$A$502,Interactions!$B$3:$B$502,$A166)=0,"",_xlfn.MAXIFS(Interactions!$A$3:$A$502,Interactions!$B$3:$B$502,$A166)))</f>
        <v/>
      </c>
      <c r="AG166" s="32" t="str">
        <f aca="false">IF($A166="","",COUNTIFS(Opportunities!$A$3:$A$502,$A166,Opportunities!$X$3:$X$502,"Yes"))</f>
        <v/>
      </c>
      <c r="AH166" s="32" t="str">
        <f aca="false">IF($A166="","",_xlfn.TEXTJOIN(", ",TRUE(),IF(COUNTIF($A$3:$A$502,$A166)&gt;1,"Duplicate name",""),IF(OR(AND(G166=2,I166=""),AND(J166=2,L166=""),AND(M166=2,O166=""),AND(P166=2,R166="")),"Source missing for a 2",""),IF(F166="","No owner",IF(COUNTIFS(R_TeamName,F166,R_TeamActive,"No")&gt;0,"Needs new owner","")),IF(AND(V166="Yes",X166&lt;&gt;"",X166&lt;S_SemStart),"Path overdue",""),IF(AND(S166&lt;&gt;"",S166&lt;S_Today-365),"Stale research",""),IF(AND(AE166="Research",COUNTIF('Commercial Evidence'!$A$3:$A$502,$A166)=0),"Add commercial evidence","")))</f>
        <v/>
      </c>
      <c r="AI166" s="34" t="str">
        <f aca="false">IF(OR($A166="",Z166="Yes"),"",IF(AND(AE166="Priority",AG166=0,COUNTIFS(Opportunities!$A$3:$A$502,$A166,Opportunities!$Y$3:$Y$502,"Renewal due")=0),600000+(10-AC166)*1000+(4-AD166)*100+ROW()/100000,IF(V166="Yes",700000+IF(X166="",0,X166-40000)/10+ROW()/100000,IF(AND(AE166="Quick Win",U166&lt;&gt;"",AG166=0),800000+(10-AC166)*1000+ROW()/100000,IF(AND(AE166="Build a Path",COUNTIF($V$3:$V$502,"Yes")&lt;S_PathCap),900000+(10-AC166)*1000+(4-AD166)*100+ROW()/100000,"")))))</f>
        <v/>
      </c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8"/>
      <c r="T167" s="27"/>
      <c r="U167" s="27"/>
      <c r="V167" s="27"/>
      <c r="W167" s="27"/>
      <c r="X167" s="28"/>
      <c r="Y167" s="27"/>
      <c r="Z167" s="27"/>
      <c r="AA167" s="27"/>
      <c r="AB167" s="32" t="str">
        <f aca="false">IF($A167="","",IF(COUNTIF('Commercial Evidence'!$A$3:$A$502,$A167)=0,"",IF(COUNTIFS('Commercial Evidence'!$A$3:$A$502,$A167,'Commercial Evidence'!$B$3:$B$502,"Previous CBS Talks spend")+COUNTIFS('Commercial Evidence'!$A$3:$A$502,$A167,'Commercial Evidence'!$B$3:$B$502,"Sponsors student organisations")&gt;0,2,IF(COUNTIFS('Commercial Evidence'!$A$3:$A$502,$A167,'Commercial Evidence'!$B$3:$B$502,"Sponsors university activities")+COUNTIFS('Commercial Evidence'!$A$3:$A$502,$A167,'Commercial Evidence'!$B$3:$B$502,"Sponsors similar events")+COUNTIFS('Commercial Evidence'!$A$3:$A$502,$A167,'Commercial Evidence'!$B$3:$B$502,"Previous CBS Talks partner")&gt;0,1,0))))</f>
        <v/>
      </c>
      <c r="AC167" s="32" t="str">
        <f aca="false">IF($A167="","",IF(COUNT(G167,J167,M167,P167,AB167)&lt;5,"",G167+J167+M167+P167+AB167))</f>
        <v/>
      </c>
      <c r="AD167" s="32" t="str">
        <f aca="false">IF($A167="","",IF(COUNTIFS(Contacts!$A$3:$A$502,$A167,Contacts!$E$3:$E$502,"Champion",Contacts!$K$3:$K$502,"&lt;&gt;Yes",Contacts!$L$3:$L$502,"&lt;&gt;Yes")+COUNTIFS(Opportunities!$A$3:$A$502,$A167,Opportunities!$C$3:$C$502,"Won",Opportunities!$Q$3:$Q$502,"Satisfied")&gt;0,4,IF(COUNTIFS(Interactions!$B$3:$B$502,$A167,Interactions!$I$3:$I$502,"Yes",Interactions!$A$3:$A$502,"&gt;="&amp;(S_Today-S_WarmDays))&gt;0,3,IF(T167&lt;&gt;"",2,IF(COUNTIFS(Contacts!$A$3:$A$502,$A167,Contacts!$M$3:$M$502,"Yes",Contacts!$K$3:$K$502,"&lt;&gt;Yes",Contacts!$L$3:$L$502,"&lt;&gt;Yes")&gt;0,1,0)))))</f>
        <v/>
      </c>
      <c r="AE167" s="32" t="str">
        <f aca="false">IF($A167="","",IF(Z167="Yes","Do not contact",IF(AC167="","Research",IF(AND(AC167&gt;=S_FitHigh,AD167&gt;=S_AccessHigh),"Priority",IF(AC167&gt;=S_FitHigh,"Build a Path",IF(AD167&gt;=S_AccessHigh,"Quick Win","Low Priority"))))))</f>
        <v/>
      </c>
      <c r="AF167" s="33" t="str">
        <f aca="false">IF($A167="","",IF(_xlfn.MAXIFS(Interactions!$A$3:$A$502,Interactions!$B$3:$B$502,$A167)=0,"",_xlfn.MAXIFS(Interactions!$A$3:$A$502,Interactions!$B$3:$B$502,$A167)))</f>
        <v/>
      </c>
      <c r="AG167" s="32" t="str">
        <f aca="false">IF($A167="","",COUNTIFS(Opportunities!$A$3:$A$502,$A167,Opportunities!$X$3:$X$502,"Yes"))</f>
        <v/>
      </c>
      <c r="AH167" s="32" t="str">
        <f aca="false">IF($A167="","",_xlfn.TEXTJOIN(", ",TRUE(),IF(COUNTIF($A$3:$A$502,$A167)&gt;1,"Duplicate name",""),IF(OR(AND(G167=2,I167=""),AND(J167=2,L167=""),AND(M167=2,O167=""),AND(P167=2,R167="")),"Source missing for a 2",""),IF(F167="","No owner",IF(COUNTIFS(R_TeamName,F167,R_TeamActive,"No")&gt;0,"Needs new owner","")),IF(AND(V167="Yes",X167&lt;&gt;"",X167&lt;S_SemStart),"Path overdue",""),IF(AND(S167&lt;&gt;"",S167&lt;S_Today-365),"Stale research",""),IF(AND(AE167="Research",COUNTIF('Commercial Evidence'!$A$3:$A$502,$A167)=0),"Add commercial evidence","")))</f>
        <v/>
      </c>
      <c r="AI167" s="34" t="str">
        <f aca="false">IF(OR($A167="",Z167="Yes"),"",IF(AND(AE167="Priority",AG167=0,COUNTIFS(Opportunities!$A$3:$A$502,$A167,Opportunities!$Y$3:$Y$502,"Renewal due")=0),600000+(10-AC167)*1000+(4-AD167)*100+ROW()/100000,IF(V167="Yes",700000+IF(X167="",0,X167-40000)/10+ROW()/100000,IF(AND(AE167="Quick Win",U167&lt;&gt;"",AG167=0),800000+(10-AC167)*1000+ROW()/100000,IF(AND(AE167="Build a Path",COUNTIF($V$3:$V$502,"Yes")&lt;S_PathCap),900000+(10-AC167)*1000+(4-AD167)*100+ROW()/100000,"")))))</f>
        <v/>
      </c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8"/>
      <c r="T168" s="27"/>
      <c r="U168" s="27"/>
      <c r="V168" s="27"/>
      <c r="W168" s="27"/>
      <c r="X168" s="28"/>
      <c r="Y168" s="27"/>
      <c r="Z168" s="27"/>
      <c r="AA168" s="27"/>
      <c r="AB168" s="32" t="str">
        <f aca="false">IF($A168="","",IF(COUNTIF('Commercial Evidence'!$A$3:$A$502,$A168)=0,"",IF(COUNTIFS('Commercial Evidence'!$A$3:$A$502,$A168,'Commercial Evidence'!$B$3:$B$502,"Previous CBS Talks spend")+COUNTIFS('Commercial Evidence'!$A$3:$A$502,$A168,'Commercial Evidence'!$B$3:$B$502,"Sponsors student organisations")&gt;0,2,IF(COUNTIFS('Commercial Evidence'!$A$3:$A$502,$A168,'Commercial Evidence'!$B$3:$B$502,"Sponsors university activities")+COUNTIFS('Commercial Evidence'!$A$3:$A$502,$A168,'Commercial Evidence'!$B$3:$B$502,"Sponsors similar events")+COUNTIFS('Commercial Evidence'!$A$3:$A$502,$A168,'Commercial Evidence'!$B$3:$B$502,"Previous CBS Talks partner")&gt;0,1,0))))</f>
        <v/>
      </c>
      <c r="AC168" s="32" t="str">
        <f aca="false">IF($A168="","",IF(COUNT(G168,J168,M168,P168,AB168)&lt;5,"",G168+J168+M168+P168+AB168))</f>
        <v/>
      </c>
      <c r="AD168" s="32" t="str">
        <f aca="false">IF($A168="","",IF(COUNTIFS(Contacts!$A$3:$A$502,$A168,Contacts!$E$3:$E$502,"Champion",Contacts!$K$3:$K$502,"&lt;&gt;Yes",Contacts!$L$3:$L$502,"&lt;&gt;Yes")+COUNTIFS(Opportunities!$A$3:$A$502,$A168,Opportunities!$C$3:$C$502,"Won",Opportunities!$Q$3:$Q$502,"Satisfied")&gt;0,4,IF(COUNTIFS(Interactions!$B$3:$B$502,$A168,Interactions!$I$3:$I$502,"Yes",Interactions!$A$3:$A$502,"&gt;="&amp;(S_Today-S_WarmDays))&gt;0,3,IF(T168&lt;&gt;"",2,IF(COUNTIFS(Contacts!$A$3:$A$502,$A168,Contacts!$M$3:$M$502,"Yes",Contacts!$K$3:$K$502,"&lt;&gt;Yes",Contacts!$L$3:$L$502,"&lt;&gt;Yes")&gt;0,1,0)))))</f>
        <v/>
      </c>
      <c r="AE168" s="32" t="str">
        <f aca="false">IF($A168="","",IF(Z168="Yes","Do not contact",IF(AC168="","Research",IF(AND(AC168&gt;=S_FitHigh,AD168&gt;=S_AccessHigh),"Priority",IF(AC168&gt;=S_FitHigh,"Build a Path",IF(AD168&gt;=S_AccessHigh,"Quick Win","Low Priority"))))))</f>
        <v/>
      </c>
      <c r="AF168" s="33" t="str">
        <f aca="false">IF($A168="","",IF(_xlfn.MAXIFS(Interactions!$A$3:$A$502,Interactions!$B$3:$B$502,$A168)=0,"",_xlfn.MAXIFS(Interactions!$A$3:$A$502,Interactions!$B$3:$B$502,$A168)))</f>
        <v/>
      </c>
      <c r="AG168" s="32" t="str">
        <f aca="false">IF($A168="","",COUNTIFS(Opportunities!$A$3:$A$502,$A168,Opportunities!$X$3:$X$502,"Yes"))</f>
        <v/>
      </c>
      <c r="AH168" s="32" t="str">
        <f aca="false">IF($A168="","",_xlfn.TEXTJOIN(", ",TRUE(),IF(COUNTIF($A$3:$A$502,$A168)&gt;1,"Duplicate name",""),IF(OR(AND(G168=2,I168=""),AND(J168=2,L168=""),AND(M168=2,O168=""),AND(P168=2,R168="")),"Source missing for a 2",""),IF(F168="","No owner",IF(COUNTIFS(R_TeamName,F168,R_TeamActive,"No")&gt;0,"Needs new owner","")),IF(AND(V168="Yes",X168&lt;&gt;"",X168&lt;S_SemStart),"Path overdue",""),IF(AND(S168&lt;&gt;"",S168&lt;S_Today-365),"Stale research",""),IF(AND(AE168="Research",COUNTIF('Commercial Evidence'!$A$3:$A$502,$A168)=0),"Add commercial evidence","")))</f>
        <v/>
      </c>
      <c r="AI168" s="34" t="str">
        <f aca="false">IF(OR($A168="",Z168="Yes"),"",IF(AND(AE168="Priority",AG168=0,COUNTIFS(Opportunities!$A$3:$A$502,$A168,Opportunities!$Y$3:$Y$502,"Renewal due")=0),600000+(10-AC168)*1000+(4-AD168)*100+ROW()/100000,IF(V168="Yes",700000+IF(X168="",0,X168-40000)/10+ROW()/100000,IF(AND(AE168="Quick Win",U168&lt;&gt;"",AG168=0),800000+(10-AC168)*1000+ROW()/100000,IF(AND(AE168="Build a Path",COUNTIF($V$3:$V$502,"Yes")&lt;S_PathCap),900000+(10-AC168)*1000+(4-AD168)*100+ROW()/100000,"")))))</f>
        <v/>
      </c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8"/>
      <c r="T169" s="27"/>
      <c r="U169" s="27"/>
      <c r="V169" s="27"/>
      <c r="W169" s="27"/>
      <c r="X169" s="28"/>
      <c r="Y169" s="27"/>
      <c r="Z169" s="27"/>
      <c r="AA169" s="27"/>
      <c r="AB169" s="32" t="str">
        <f aca="false">IF($A169="","",IF(COUNTIF('Commercial Evidence'!$A$3:$A$502,$A169)=0,"",IF(COUNTIFS('Commercial Evidence'!$A$3:$A$502,$A169,'Commercial Evidence'!$B$3:$B$502,"Previous CBS Talks spend")+COUNTIFS('Commercial Evidence'!$A$3:$A$502,$A169,'Commercial Evidence'!$B$3:$B$502,"Sponsors student organisations")&gt;0,2,IF(COUNTIFS('Commercial Evidence'!$A$3:$A$502,$A169,'Commercial Evidence'!$B$3:$B$502,"Sponsors university activities")+COUNTIFS('Commercial Evidence'!$A$3:$A$502,$A169,'Commercial Evidence'!$B$3:$B$502,"Sponsors similar events")+COUNTIFS('Commercial Evidence'!$A$3:$A$502,$A169,'Commercial Evidence'!$B$3:$B$502,"Previous CBS Talks partner")&gt;0,1,0))))</f>
        <v/>
      </c>
      <c r="AC169" s="32" t="str">
        <f aca="false">IF($A169="","",IF(COUNT(G169,J169,M169,P169,AB169)&lt;5,"",G169+J169+M169+P169+AB169))</f>
        <v/>
      </c>
      <c r="AD169" s="32" t="str">
        <f aca="false">IF($A169="","",IF(COUNTIFS(Contacts!$A$3:$A$502,$A169,Contacts!$E$3:$E$502,"Champion",Contacts!$K$3:$K$502,"&lt;&gt;Yes",Contacts!$L$3:$L$502,"&lt;&gt;Yes")+COUNTIFS(Opportunities!$A$3:$A$502,$A169,Opportunities!$C$3:$C$502,"Won",Opportunities!$Q$3:$Q$502,"Satisfied")&gt;0,4,IF(COUNTIFS(Interactions!$B$3:$B$502,$A169,Interactions!$I$3:$I$502,"Yes",Interactions!$A$3:$A$502,"&gt;="&amp;(S_Today-S_WarmDays))&gt;0,3,IF(T169&lt;&gt;"",2,IF(COUNTIFS(Contacts!$A$3:$A$502,$A169,Contacts!$M$3:$M$502,"Yes",Contacts!$K$3:$K$502,"&lt;&gt;Yes",Contacts!$L$3:$L$502,"&lt;&gt;Yes")&gt;0,1,0)))))</f>
        <v/>
      </c>
      <c r="AE169" s="32" t="str">
        <f aca="false">IF($A169="","",IF(Z169="Yes","Do not contact",IF(AC169="","Research",IF(AND(AC169&gt;=S_FitHigh,AD169&gt;=S_AccessHigh),"Priority",IF(AC169&gt;=S_FitHigh,"Build a Path",IF(AD169&gt;=S_AccessHigh,"Quick Win","Low Priority"))))))</f>
        <v/>
      </c>
      <c r="AF169" s="33" t="str">
        <f aca="false">IF($A169="","",IF(_xlfn.MAXIFS(Interactions!$A$3:$A$502,Interactions!$B$3:$B$502,$A169)=0,"",_xlfn.MAXIFS(Interactions!$A$3:$A$502,Interactions!$B$3:$B$502,$A169)))</f>
        <v/>
      </c>
      <c r="AG169" s="32" t="str">
        <f aca="false">IF($A169="","",COUNTIFS(Opportunities!$A$3:$A$502,$A169,Opportunities!$X$3:$X$502,"Yes"))</f>
        <v/>
      </c>
      <c r="AH169" s="32" t="str">
        <f aca="false">IF($A169="","",_xlfn.TEXTJOIN(", ",TRUE(),IF(COUNTIF($A$3:$A$502,$A169)&gt;1,"Duplicate name",""),IF(OR(AND(G169=2,I169=""),AND(J169=2,L169=""),AND(M169=2,O169=""),AND(P169=2,R169="")),"Source missing for a 2",""),IF(F169="","No owner",IF(COUNTIFS(R_TeamName,F169,R_TeamActive,"No")&gt;0,"Needs new owner","")),IF(AND(V169="Yes",X169&lt;&gt;"",X169&lt;S_SemStart),"Path overdue",""),IF(AND(S169&lt;&gt;"",S169&lt;S_Today-365),"Stale research",""),IF(AND(AE169="Research",COUNTIF('Commercial Evidence'!$A$3:$A$502,$A169)=0),"Add commercial evidence","")))</f>
        <v/>
      </c>
      <c r="AI169" s="34" t="str">
        <f aca="false">IF(OR($A169="",Z169="Yes"),"",IF(AND(AE169="Priority",AG169=0,COUNTIFS(Opportunities!$A$3:$A$502,$A169,Opportunities!$Y$3:$Y$502,"Renewal due")=0),600000+(10-AC169)*1000+(4-AD169)*100+ROW()/100000,IF(V169="Yes",700000+IF(X169="",0,X169-40000)/10+ROW()/100000,IF(AND(AE169="Quick Win",U169&lt;&gt;"",AG169=0),800000+(10-AC169)*1000+ROW()/100000,IF(AND(AE169="Build a Path",COUNTIF($V$3:$V$502,"Yes")&lt;S_PathCap),900000+(10-AC169)*1000+(4-AD169)*100+ROW()/100000,"")))))</f>
        <v/>
      </c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8"/>
      <c r="T170" s="27"/>
      <c r="U170" s="27"/>
      <c r="V170" s="27"/>
      <c r="W170" s="27"/>
      <c r="X170" s="28"/>
      <c r="Y170" s="27"/>
      <c r="Z170" s="27"/>
      <c r="AA170" s="27"/>
      <c r="AB170" s="32" t="str">
        <f aca="false">IF($A170="","",IF(COUNTIF('Commercial Evidence'!$A$3:$A$502,$A170)=0,"",IF(COUNTIFS('Commercial Evidence'!$A$3:$A$502,$A170,'Commercial Evidence'!$B$3:$B$502,"Previous CBS Talks spend")+COUNTIFS('Commercial Evidence'!$A$3:$A$502,$A170,'Commercial Evidence'!$B$3:$B$502,"Sponsors student organisations")&gt;0,2,IF(COUNTIFS('Commercial Evidence'!$A$3:$A$502,$A170,'Commercial Evidence'!$B$3:$B$502,"Sponsors university activities")+COUNTIFS('Commercial Evidence'!$A$3:$A$502,$A170,'Commercial Evidence'!$B$3:$B$502,"Sponsors similar events")+COUNTIFS('Commercial Evidence'!$A$3:$A$502,$A170,'Commercial Evidence'!$B$3:$B$502,"Previous CBS Talks partner")&gt;0,1,0))))</f>
        <v/>
      </c>
      <c r="AC170" s="32" t="str">
        <f aca="false">IF($A170="","",IF(COUNT(G170,J170,M170,P170,AB170)&lt;5,"",G170+J170+M170+P170+AB170))</f>
        <v/>
      </c>
      <c r="AD170" s="32" t="str">
        <f aca="false">IF($A170="","",IF(COUNTIFS(Contacts!$A$3:$A$502,$A170,Contacts!$E$3:$E$502,"Champion",Contacts!$K$3:$K$502,"&lt;&gt;Yes",Contacts!$L$3:$L$502,"&lt;&gt;Yes")+COUNTIFS(Opportunities!$A$3:$A$502,$A170,Opportunities!$C$3:$C$502,"Won",Opportunities!$Q$3:$Q$502,"Satisfied")&gt;0,4,IF(COUNTIFS(Interactions!$B$3:$B$502,$A170,Interactions!$I$3:$I$502,"Yes",Interactions!$A$3:$A$502,"&gt;="&amp;(S_Today-S_WarmDays))&gt;0,3,IF(T170&lt;&gt;"",2,IF(COUNTIFS(Contacts!$A$3:$A$502,$A170,Contacts!$M$3:$M$502,"Yes",Contacts!$K$3:$K$502,"&lt;&gt;Yes",Contacts!$L$3:$L$502,"&lt;&gt;Yes")&gt;0,1,0)))))</f>
        <v/>
      </c>
      <c r="AE170" s="32" t="str">
        <f aca="false">IF($A170="","",IF(Z170="Yes","Do not contact",IF(AC170="","Research",IF(AND(AC170&gt;=S_FitHigh,AD170&gt;=S_AccessHigh),"Priority",IF(AC170&gt;=S_FitHigh,"Build a Path",IF(AD170&gt;=S_AccessHigh,"Quick Win","Low Priority"))))))</f>
        <v/>
      </c>
      <c r="AF170" s="33" t="str">
        <f aca="false">IF($A170="","",IF(_xlfn.MAXIFS(Interactions!$A$3:$A$502,Interactions!$B$3:$B$502,$A170)=0,"",_xlfn.MAXIFS(Interactions!$A$3:$A$502,Interactions!$B$3:$B$502,$A170)))</f>
        <v/>
      </c>
      <c r="AG170" s="32" t="str">
        <f aca="false">IF($A170="","",COUNTIFS(Opportunities!$A$3:$A$502,$A170,Opportunities!$X$3:$X$502,"Yes"))</f>
        <v/>
      </c>
      <c r="AH170" s="32" t="str">
        <f aca="false">IF($A170="","",_xlfn.TEXTJOIN(", ",TRUE(),IF(COUNTIF($A$3:$A$502,$A170)&gt;1,"Duplicate name",""),IF(OR(AND(G170=2,I170=""),AND(J170=2,L170=""),AND(M170=2,O170=""),AND(P170=2,R170="")),"Source missing for a 2",""),IF(F170="","No owner",IF(COUNTIFS(R_TeamName,F170,R_TeamActive,"No")&gt;0,"Needs new owner","")),IF(AND(V170="Yes",X170&lt;&gt;"",X170&lt;S_SemStart),"Path overdue",""),IF(AND(S170&lt;&gt;"",S170&lt;S_Today-365),"Stale research",""),IF(AND(AE170="Research",COUNTIF('Commercial Evidence'!$A$3:$A$502,$A170)=0),"Add commercial evidence","")))</f>
        <v/>
      </c>
      <c r="AI170" s="34" t="str">
        <f aca="false">IF(OR($A170="",Z170="Yes"),"",IF(AND(AE170="Priority",AG170=0,COUNTIFS(Opportunities!$A$3:$A$502,$A170,Opportunities!$Y$3:$Y$502,"Renewal due")=0),600000+(10-AC170)*1000+(4-AD170)*100+ROW()/100000,IF(V170="Yes",700000+IF(X170="",0,X170-40000)/10+ROW()/100000,IF(AND(AE170="Quick Win",U170&lt;&gt;"",AG170=0),800000+(10-AC170)*1000+ROW()/100000,IF(AND(AE170="Build a Path",COUNTIF($V$3:$V$502,"Yes")&lt;S_PathCap),900000+(10-AC170)*1000+(4-AD170)*100+ROW()/100000,"")))))</f>
        <v/>
      </c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8"/>
      <c r="T171" s="27"/>
      <c r="U171" s="27"/>
      <c r="V171" s="27"/>
      <c r="W171" s="27"/>
      <c r="X171" s="28"/>
      <c r="Y171" s="27"/>
      <c r="Z171" s="27"/>
      <c r="AA171" s="27"/>
      <c r="AB171" s="32" t="str">
        <f aca="false">IF($A171="","",IF(COUNTIF('Commercial Evidence'!$A$3:$A$502,$A171)=0,"",IF(COUNTIFS('Commercial Evidence'!$A$3:$A$502,$A171,'Commercial Evidence'!$B$3:$B$502,"Previous CBS Talks spend")+COUNTIFS('Commercial Evidence'!$A$3:$A$502,$A171,'Commercial Evidence'!$B$3:$B$502,"Sponsors student organisations")&gt;0,2,IF(COUNTIFS('Commercial Evidence'!$A$3:$A$502,$A171,'Commercial Evidence'!$B$3:$B$502,"Sponsors university activities")+COUNTIFS('Commercial Evidence'!$A$3:$A$502,$A171,'Commercial Evidence'!$B$3:$B$502,"Sponsors similar events")+COUNTIFS('Commercial Evidence'!$A$3:$A$502,$A171,'Commercial Evidence'!$B$3:$B$502,"Previous CBS Talks partner")&gt;0,1,0))))</f>
        <v/>
      </c>
      <c r="AC171" s="32" t="str">
        <f aca="false">IF($A171="","",IF(COUNT(G171,J171,M171,P171,AB171)&lt;5,"",G171+J171+M171+P171+AB171))</f>
        <v/>
      </c>
      <c r="AD171" s="32" t="str">
        <f aca="false">IF($A171="","",IF(COUNTIFS(Contacts!$A$3:$A$502,$A171,Contacts!$E$3:$E$502,"Champion",Contacts!$K$3:$K$502,"&lt;&gt;Yes",Contacts!$L$3:$L$502,"&lt;&gt;Yes")+COUNTIFS(Opportunities!$A$3:$A$502,$A171,Opportunities!$C$3:$C$502,"Won",Opportunities!$Q$3:$Q$502,"Satisfied")&gt;0,4,IF(COUNTIFS(Interactions!$B$3:$B$502,$A171,Interactions!$I$3:$I$502,"Yes",Interactions!$A$3:$A$502,"&gt;="&amp;(S_Today-S_WarmDays))&gt;0,3,IF(T171&lt;&gt;"",2,IF(COUNTIFS(Contacts!$A$3:$A$502,$A171,Contacts!$M$3:$M$502,"Yes",Contacts!$K$3:$K$502,"&lt;&gt;Yes",Contacts!$L$3:$L$502,"&lt;&gt;Yes")&gt;0,1,0)))))</f>
        <v/>
      </c>
      <c r="AE171" s="32" t="str">
        <f aca="false">IF($A171="","",IF(Z171="Yes","Do not contact",IF(AC171="","Research",IF(AND(AC171&gt;=S_FitHigh,AD171&gt;=S_AccessHigh),"Priority",IF(AC171&gt;=S_FitHigh,"Build a Path",IF(AD171&gt;=S_AccessHigh,"Quick Win","Low Priority"))))))</f>
        <v/>
      </c>
      <c r="AF171" s="33" t="str">
        <f aca="false">IF($A171="","",IF(_xlfn.MAXIFS(Interactions!$A$3:$A$502,Interactions!$B$3:$B$502,$A171)=0,"",_xlfn.MAXIFS(Interactions!$A$3:$A$502,Interactions!$B$3:$B$502,$A171)))</f>
        <v/>
      </c>
      <c r="AG171" s="32" t="str">
        <f aca="false">IF($A171="","",COUNTIFS(Opportunities!$A$3:$A$502,$A171,Opportunities!$X$3:$X$502,"Yes"))</f>
        <v/>
      </c>
      <c r="AH171" s="32" t="str">
        <f aca="false">IF($A171="","",_xlfn.TEXTJOIN(", ",TRUE(),IF(COUNTIF($A$3:$A$502,$A171)&gt;1,"Duplicate name",""),IF(OR(AND(G171=2,I171=""),AND(J171=2,L171=""),AND(M171=2,O171=""),AND(P171=2,R171="")),"Source missing for a 2",""),IF(F171="","No owner",IF(COUNTIFS(R_TeamName,F171,R_TeamActive,"No")&gt;0,"Needs new owner","")),IF(AND(V171="Yes",X171&lt;&gt;"",X171&lt;S_SemStart),"Path overdue",""),IF(AND(S171&lt;&gt;"",S171&lt;S_Today-365),"Stale research",""),IF(AND(AE171="Research",COUNTIF('Commercial Evidence'!$A$3:$A$502,$A171)=0),"Add commercial evidence","")))</f>
        <v/>
      </c>
      <c r="AI171" s="34" t="str">
        <f aca="false">IF(OR($A171="",Z171="Yes"),"",IF(AND(AE171="Priority",AG171=0,COUNTIFS(Opportunities!$A$3:$A$502,$A171,Opportunities!$Y$3:$Y$502,"Renewal due")=0),600000+(10-AC171)*1000+(4-AD171)*100+ROW()/100000,IF(V171="Yes",700000+IF(X171="",0,X171-40000)/10+ROW()/100000,IF(AND(AE171="Quick Win",U171&lt;&gt;"",AG171=0),800000+(10-AC171)*1000+ROW()/100000,IF(AND(AE171="Build a Path",COUNTIF($V$3:$V$502,"Yes")&lt;S_PathCap),900000+(10-AC171)*1000+(4-AD171)*100+ROW()/100000,"")))))</f>
        <v/>
      </c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8"/>
      <c r="T172" s="27"/>
      <c r="U172" s="27"/>
      <c r="V172" s="27"/>
      <c r="W172" s="27"/>
      <c r="X172" s="28"/>
      <c r="Y172" s="27"/>
      <c r="Z172" s="27"/>
      <c r="AA172" s="27"/>
      <c r="AB172" s="32" t="str">
        <f aca="false">IF($A172="","",IF(COUNTIF('Commercial Evidence'!$A$3:$A$502,$A172)=0,"",IF(COUNTIFS('Commercial Evidence'!$A$3:$A$502,$A172,'Commercial Evidence'!$B$3:$B$502,"Previous CBS Talks spend")+COUNTIFS('Commercial Evidence'!$A$3:$A$502,$A172,'Commercial Evidence'!$B$3:$B$502,"Sponsors student organisations")&gt;0,2,IF(COUNTIFS('Commercial Evidence'!$A$3:$A$502,$A172,'Commercial Evidence'!$B$3:$B$502,"Sponsors university activities")+COUNTIFS('Commercial Evidence'!$A$3:$A$502,$A172,'Commercial Evidence'!$B$3:$B$502,"Sponsors similar events")+COUNTIFS('Commercial Evidence'!$A$3:$A$502,$A172,'Commercial Evidence'!$B$3:$B$502,"Previous CBS Talks partner")&gt;0,1,0))))</f>
        <v/>
      </c>
      <c r="AC172" s="32" t="str">
        <f aca="false">IF($A172="","",IF(COUNT(G172,J172,M172,P172,AB172)&lt;5,"",G172+J172+M172+P172+AB172))</f>
        <v/>
      </c>
      <c r="AD172" s="32" t="str">
        <f aca="false">IF($A172="","",IF(COUNTIFS(Contacts!$A$3:$A$502,$A172,Contacts!$E$3:$E$502,"Champion",Contacts!$K$3:$K$502,"&lt;&gt;Yes",Contacts!$L$3:$L$502,"&lt;&gt;Yes")+COUNTIFS(Opportunities!$A$3:$A$502,$A172,Opportunities!$C$3:$C$502,"Won",Opportunities!$Q$3:$Q$502,"Satisfied")&gt;0,4,IF(COUNTIFS(Interactions!$B$3:$B$502,$A172,Interactions!$I$3:$I$502,"Yes",Interactions!$A$3:$A$502,"&gt;="&amp;(S_Today-S_WarmDays))&gt;0,3,IF(T172&lt;&gt;"",2,IF(COUNTIFS(Contacts!$A$3:$A$502,$A172,Contacts!$M$3:$M$502,"Yes",Contacts!$K$3:$K$502,"&lt;&gt;Yes",Contacts!$L$3:$L$502,"&lt;&gt;Yes")&gt;0,1,0)))))</f>
        <v/>
      </c>
      <c r="AE172" s="32" t="str">
        <f aca="false">IF($A172="","",IF(Z172="Yes","Do not contact",IF(AC172="","Research",IF(AND(AC172&gt;=S_FitHigh,AD172&gt;=S_AccessHigh),"Priority",IF(AC172&gt;=S_FitHigh,"Build a Path",IF(AD172&gt;=S_AccessHigh,"Quick Win","Low Priority"))))))</f>
        <v/>
      </c>
      <c r="AF172" s="33" t="str">
        <f aca="false">IF($A172="","",IF(_xlfn.MAXIFS(Interactions!$A$3:$A$502,Interactions!$B$3:$B$502,$A172)=0,"",_xlfn.MAXIFS(Interactions!$A$3:$A$502,Interactions!$B$3:$B$502,$A172)))</f>
        <v/>
      </c>
      <c r="AG172" s="32" t="str">
        <f aca="false">IF($A172="","",COUNTIFS(Opportunities!$A$3:$A$502,$A172,Opportunities!$X$3:$X$502,"Yes"))</f>
        <v/>
      </c>
      <c r="AH172" s="32" t="str">
        <f aca="false">IF($A172="","",_xlfn.TEXTJOIN(", ",TRUE(),IF(COUNTIF($A$3:$A$502,$A172)&gt;1,"Duplicate name",""),IF(OR(AND(G172=2,I172=""),AND(J172=2,L172=""),AND(M172=2,O172=""),AND(P172=2,R172="")),"Source missing for a 2",""),IF(F172="","No owner",IF(COUNTIFS(R_TeamName,F172,R_TeamActive,"No")&gt;0,"Needs new owner","")),IF(AND(V172="Yes",X172&lt;&gt;"",X172&lt;S_SemStart),"Path overdue",""),IF(AND(S172&lt;&gt;"",S172&lt;S_Today-365),"Stale research",""),IF(AND(AE172="Research",COUNTIF('Commercial Evidence'!$A$3:$A$502,$A172)=0),"Add commercial evidence","")))</f>
        <v/>
      </c>
      <c r="AI172" s="34" t="str">
        <f aca="false">IF(OR($A172="",Z172="Yes"),"",IF(AND(AE172="Priority",AG172=0,COUNTIFS(Opportunities!$A$3:$A$502,$A172,Opportunities!$Y$3:$Y$502,"Renewal due")=0),600000+(10-AC172)*1000+(4-AD172)*100+ROW()/100000,IF(V172="Yes",700000+IF(X172="",0,X172-40000)/10+ROW()/100000,IF(AND(AE172="Quick Win",U172&lt;&gt;"",AG172=0),800000+(10-AC172)*1000+ROW()/100000,IF(AND(AE172="Build a Path",COUNTIF($V$3:$V$502,"Yes")&lt;S_PathCap),900000+(10-AC172)*1000+(4-AD172)*100+ROW()/100000,"")))))</f>
        <v/>
      </c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8"/>
      <c r="T173" s="27"/>
      <c r="U173" s="27"/>
      <c r="V173" s="27"/>
      <c r="W173" s="27"/>
      <c r="X173" s="28"/>
      <c r="Y173" s="27"/>
      <c r="Z173" s="27"/>
      <c r="AA173" s="27"/>
      <c r="AB173" s="32" t="str">
        <f aca="false">IF($A173="","",IF(COUNTIF('Commercial Evidence'!$A$3:$A$502,$A173)=0,"",IF(COUNTIFS('Commercial Evidence'!$A$3:$A$502,$A173,'Commercial Evidence'!$B$3:$B$502,"Previous CBS Talks spend")+COUNTIFS('Commercial Evidence'!$A$3:$A$502,$A173,'Commercial Evidence'!$B$3:$B$502,"Sponsors student organisations")&gt;0,2,IF(COUNTIFS('Commercial Evidence'!$A$3:$A$502,$A173,'Commercial Evidence'!$B$3:$B$502,"Sponsors university activities")+COUNTIFS('Commercial Evidence'!$A$3:$A$502,$A173,'Commercial Evidence'!$B$3:$B$502,"Sponsors similar events")+COUNTIFS('Commercial Evidence'!$A$3:$A$502,$A173,'Commercial Evidence'!$B$3:$B$502,"Previous CBS Talks partner")&gt;0,1,0))))</f>
        <v/>
      </c>
      <c r="AC173" s="32" t="str">
        <f aca="false">IF($A173="","",IF(COUNT(G173,J173,M173,P173,AB173)&lt;5,"",G173+J173+M173+P173+AB173))</f>
        <v/>
      </c>
      <c r="AD173" s="32" t="str">
        <f aca="false">IF($A173="","",IF(COUNTIFS(Contacts!$A$3:$A$502,$A173,Contacts!$E$3:$E$502,"Champion",Contacts!$K$3:$K$502,"&lt;&gt;Yes",Contacts!$L$3:$L$502,"&lt;&gt;Yes")+COUNTIFS(Opportunities!$A$3:$A$502,$A173,Opportunities!$C$3:$C$502,"Won",Opportunities!$Q$3:$Q$502,"Satisfied")&gt;0,4,IF(COUNTIFS(Interactions!$B$3:$B$502,$A173,Interactions!$I$3:$I$502,"Yes",Interactions!$A$3:$A$502,"&gt;="&amp;(S_Today-S_WarmDays))&gt;0,3,IF(T173&lt;&gt;"",2,IF(COUNTIFS(Contacts!$A$3:$A$502,$A173,Contacts!$M$3:$M$502,"Yes",Contacts!$K$3:$K$502,"&lt;&gt;Yes",Contacts!$L$3:$L$502,"&lt;&gt;Yes")&gt;0,1,0)))))</f>
        <v/>
      </c>
      <c r="AE173" s="32" t="str">
        <f aca="false">IF($A173="","",IF(Z173="Yes","Do not contact",IF(AC173="","Research",IF(AND(AC173&gt;=S_FitHigh,AD173&gt;=S_AccessHigh),"Priority",IF(AC173&gt;=S_FitHigh,"Build a Path",IF(AD173&gt;=S_AccessHigh,"Quick Win","Low Priority"))))))</f>
        <v/>
      </c>
      <c r="AF173" s="33" t="str">
        <f aca="false">IF($A173="","",IF(_xlfn.MAXIFS(Interactions!$A$3:$A$502,Interactions!$B$3:$B$502,$A173)=0,"",_xlfn.MAXIFS(Interactions!$A$3:$A$502,Interactions!$B$3:$B$502,$A173)))</f>
        <v/>
      </c>
      <c r="AG173" s="32" t="str">
        <f aca="false">IF($A173="","",COUNTIFS(Opportunities!$A$3:$A$502,$A173,Opportunities!$X$3:$X$502,"Yes"))</f>
        <v/>
      </c>
      <c r="AH173" s="32" t="str">
        <f aca="false">IF($A173="","",_xlfn.TEXTJOIN(", ",TRUE(),IF(COUNTIF($A$3:$A$502,$A173)&gt;1,"Duplicate name",""),IF(OR(AND(G173=2,I173=""),AND(J173=2,L173=""),AND(M173=2,O173=""),AND(P173=2,R173="")),"Source missing for a 2",""),IF(F173="","No owner",IF(COUNTIFS(R_TeamName,F173,R_TeamActive,"No")&gt;0,"Needs new owner","")),IF(AND(V173="Yes",X173&lt;&gt;"",X173&lt;S_SemStart),"Path overdue",""),IF(AND(S173&lt;&gt;"",S173&lt;S_Today-365),"Stale research",""),IF(AND(AE173="Research",COUNTIF('Commercial Evidence'!$A$3:$A$502,$A173)=0),"Add commercial evidence","")))</f>
        <v/>
      </c>
      <c r="AI173" s="34" t="str">
        <f aca="false">IF(OR($A173="",Z173="Yes"),"",IF(AND(AE173="Priority",AG173=0,COUNTIFS(Opportunities!$A$3:$A$502,$A173,Opportunities!$Y$3:$Y$502,"Renewal due")=0),600000+(10-AC173)*1000+(4-AD173)*100+ROW()/100000,IF(V173="Yes",700000+IF(X173="",0,X173-40000)/10+ROW()/100000,IF(AND(AE173="Quick Win",U173&lt;&gt;"",AG173=0),800000+(10-AC173)*1000+ROW()/100000,IF(AND(AE173="Build a Path",COUNTIF($V$3:$V$502,"Yes")&lt;S_PathCap),900000+(10-AC173)*1000+(4-AD173)*100+ROW()/100000,"")))))</f>
        <v/>
      </c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8"/>
      <c r="T174" s="27"/>
      <c r="U174" s="27"/>
      <c r="V174" s="27"/>
      <c r="W174" s="27"/>
      <c r="X174" s="28"/>
      <c r="Y174" s="27"/>
      <c r="Z174" s="27"/>
      <c r="AA174" s="27"/>
      <c r="AB174" s="32" t="str">
        <f aca="false">IF($A174="","",IF(COUNTIF('Commercial Evidence'!$A$3:$A$502,$A174)=0,"",IF(COUNTIFS('Commercial Evidence'!$A$3:$A$502,$A174,'Commercial Evidence'!$B$3:$B$502,"Previous CBS Talks spend")+COUNTIFS('Commercial Evidence'!$A$3:$A$502,$A174,'Commercial Evidence'!$B$3:$B$502,"Sponsors student organisations")&gt;0,2,IF(COUNTIFS('Commercial Evidence'!$A$3:$A$502,$A174,'Commercial Evidence'!$B$3:$B$502,"Sponsors university activities")+COUNTIFS('Commercial Evidence'!$A$3:$A$502,$A174,'Commercial Evidence'!$B$3:$B$502,"Sponsors similar events")+COUNTIFS('Commercial Evidence'!$A$3:$A$502,$A174,'Commercial Evidence'!$B$3:$B$502,"Previous CBS Talks partner")&gt;0,1,0))))</f>
        <v/>
      </c>
      <c r="AC174" s="32" t="str">
        <f aca="false">IF($A174="","",IF(COUNT(G174,J174,M174,P174,AB174)&lt;5,"",G174+J174+M174+P174+AB174))</f>
        <v/>
      </c>
      <c r="AD174" s="32" t="str">
        <f aca="false">IF($A174="","",IF(COUNTIFS(Contacts!$A$3:$A$502,$A174,Contacts!$E$3:$E$502,"Champion",Contacts!$K$3:$K$502,"&lt;&gt;Yes",Contacts!$L$3:$L$502,"&lt;&gt;Yes")+COUNTIFS(Opportunities!$A$3:$A$502,$A174,Opportunities!$C$3:$C$502,"Won",Opportunities!$Q$3:$Q$502,"Satisfied")&gt;0,4,IF(COUNTIFS(Interactions!$B$3:$B$502,$A174,Interactions!$I$3:$I$502,"Yes",Interactions!$A$3:$A$502,"&gt;="&amp;(S_Today-S_WarmDays))&gt;0,3,IF(T174&lt;&gt;"",2,IF(COUNTIFS(Contacts!$A$3:$A$502,$A174,Contacts!$M$3:$M$502,"Yes",Contacts!$K$3:$K$502,"&lt;&gt;Yes",Contacts!$L$3:$L$502,"&lt;&gt;Yes")&gt;0,1,0)))))</f>
        <v/>
      </c>
      <c r="AE174" s="32" t="str">
        <f aca="false">IF($A174="","",IF(Z174="Yes","Do not contact",IF(AC174="","Research",IF(AND(AC174&gt;=S_FitHigh,AD174&gt;=S_AccessHigh),"Priority",IF(AC174&gt;=S_FitHigh,"Build a Path",IF(AD174&gt;=S_AccessHigh,"Quick Win","Low Priority"))))))</f>
        <v/>
      </c>
      <c r="AF174" s="33" t="str">
        <f aca="false">IF($A174="","",IF(_xlfn.MAXIFS(Interactions!$A$3:$A$502,Interactions!$B$3:$B$502,$A174)=0,"",_xlfn.MAXIFS(Interactions!$A$3:$A$502,Interactions!$B$3:$B$502,$A174)))</f>
        <v/>
      </c>
      <c r="AG174" s="32" t="str">
        <f aca="false">IF($A174="","",COUNTIFS(Opportunities!$A$3:$A$502,$A174,Opportunities!$X$3:$X$502,"Yes"))</f>
        <v/>
      </c>
      <c r="AH174" s="32" t="str">
        <f aca="false">IF($A174="","",_xlfn.TEXTJOIN(", ",TRUE(),IF(COUNTIF($A$3:$A$502,$A174)&gt;1,"Duplicate name",""),IF(OR(AND(G174=2,I174=""),AND(J174=2,L174=""),AND(M174=2,O174=""),AND(P174=2,R174="")),"Source missing for a 2",""),IF(F174="","No owner",IF(COUNTIFS(R_TeamName,F174,R_TeamActive,"No")&gt;0,"Needs new owner","")),IF(AND(V174="Yes",X174&lt;&gt;"",X174&lt;S_SemStart),"Path overdue",""),IF(AND(S174&lt;&gt;"",S174&lt;S_Today-365),"Stale research",""),IF(AND(AE174="Research",COUNTIF('Commercial Evidence'!$A$3:$A$502,$A174)=0),"Add commercial evidence","")))</f>
        <v/>
      </c>
      <c r="AI174" s="34" t="str">
        <f aca="false">IF(OR($A174="",Z174="Yes"),"",IF(AND(AE174="Priority",AG174=0,COUNTIFS(Opportunities!$A$3:$A$502,$A174,Opportunities!$Y$3:$Y$502,"Renewal due")=0),600000+(10-AC174)*1000+(4-AD174)*100+ROW()/100000,IF(V174="Yes",700000+IF(X174="",0,X174-40000)/10+ROW()/100000,IF(AND(AE174="Quick Win",U174&lt;&gt;"",AG174=0),800000+(10-AC174)*1000+ROW()/100000,IF(AND(AE174="Build a Path",COUNTIF($V$3:$V$502,"Yes")&lt;S_PathCap),900000+(10-AC174)*1000+(4-AD174)*100+ROW()/100000,"")))))</f>
        <v/>
      </c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8"/>
      <c r="T175" s="27"/>
      <c r="U175" s="27"/>
      <c r="V175" s="27"/>
      <c r="W175" s="27"/>
      <c r="X175" s="28"/>
      <c r="Y175" s="27"/>
      <c r="Z175" s="27"/>
      <c r="AA175" s="27"/>
      <c r="AB175" s="32" t="str">
        <f aca="false">IF($A175="","",IF(COUNTIF('Commercial Evidence'!$A$3:$A$502,$A175)=0,"",IF(COUNTIFS('Commercial Evidence'!$A$3:$A$502,$A175,'Commercial Evidence'!$B$3:$B$502,"Previous CBS Talks spend")+COUNTIFS('Commercial Evidence'!$A$3:$A$502,$A175,'Commercial Evidence'!$B$3:$B$502,"Sponsors student organisations")&gt;0,2,IF(COUNTIFS('Commercial Evidence'!$A$3:$A$502,$A175,'Commercial Evidence'!$B$3:$B$502,"Sponsors university activities")+COUNTIFS('Commercial Evidence'!$A$3:$A$502,$A175,'Commercial Evidence'!$B$3:$B$502,"Sponsors similar events")+COUNTIFS('Commercial Evidence'!$A$3:$A$502,$A175,'Commercial Evidence'!$B$3:$B$502,"Previous CBS Talks partner")&gt;0,1,0))))</f>
        <v/>
      </c>
      <c r="AC175" s="32" t="str">
        <f aca="false">IF($A175="","",IF(COUNT(G175,J175,M175,P175,AB175)&lt;5,"",G175+J175+M175+P175+AB175))</f>
        <v/>
      </c>
      <c r="AD175" s="32" t="str">
        <f aca="false">IF($A175="","",IF(COUNTIFS(Contacts!$A$3:$A$502,$A175,Contacts!$E$3:$E$502,"Champion",Contacts!$K$3:$K$502,"&lt;&gt;Yes",Contacts!$L$3:$L$502,"&lt;&gt;Yes")+COUNTIFS(Opportunities!$A$3:$A$502,$A175,Opportunities!$C$3:$C$502,"Won",Opportunities!$Q$3:$Q$502,"Satisfied")&gt;0,4,IF(COUNTIFS(Interactions!$B$3:$B$502,$A175,Interactions!$I$3:$I$502,"Yes",Interactions!$A$3:$A$502,"&gt;="&amp;(S_Today-S_WarmDays))&gt;0,3,IF(T175&lt;&gt;"",2,IF(COUNTIFS(Contacts!$A$3:$A$502,$A175,Contacts!$M$3:$M$502,"Yes",Contacts!$K$3:$K$502,"&lt;&gt;Yes",Contacts!$L$3:$L$502,"&lt;&gt;Yes")&gt;0,1,0)))))</f>
        <v/>
      </c>
      <c r="AE175" s="32" t="str">
        <f aca="false">IF($A175="","",IF(Z175="Yes","Do not contact",IF(AC175="","Research",IF(AND(AC175&gt;=S_FitHigh,AD175&gt;=S_AccessHigh),"Priority",IF(AC175&gt;=S_FitHigh,"Build a Path",IF(AD175&gt;=S_AccessHigh,"Quick Win","Low Priority"))))))</f>
        <v/>
      </c>
      <c r="AF175" s="33" t="str">
        <f aca="false">IF($A175="","",IF(_xlfn.MAXIFS(Interactions!$A$3:$A$502,Interactions!$B$3:$B$502,$A175)=0,"",_xlfn.MAXIFS(Interactions!$A$3:$A$502,Interactions!$B$3:$B$502,$A175)))</f>
        <v/>
      </c>
      <c r="AG175" s="32" t="str">
        <f aca="false">IF($A175="","",COUNTIFS(Opportunities!$A$3:$A$502,$A175,Opportunities!$X$3:$X$502,"Yes"))</f>
        <v/>
      </c>
      <c r="AH175" s="32" t="str">
        <f aca="false">IF($A175="","",_xlfn.TEXTJOIN(", ",TRUE(),IF(COUNTIF($A$3:$A$502,$A175)&gt;1,"Duplicate name",""),IF(OR(AND(G175=2,I175=""),AND(J175=2,L175=""),AND(M175=2,O175=""),AND(P175=2,R175="")),"Source missing for a 2",""),IF(F175="","No owner",IF(COUNTIFS(R_TeamName,F175,R_TeamActive,"No")&gt;0,"Needs new owner","")),IF(AND(V175="Yes",X175&lt;&gt;"",X175&lt;S_SemStart),"Path overdue",""),IF(AND(S175&lt;&gt;"",S175&lt;S_Today-365),"Stale research",""),IF(AND(AE175="Research",COUNTIF('Commercial Evidence'!$A$3:$A$502,$A175)=0),"Add commercial evidence","")))</f>
        <v/>
      </c>
      <c r="AI175" s="34" t="str">
        <f aca="false">IF(OR($A175="",Z175="Yes"),"",IF(AND(AE175="Priority",AG175=0,COUNTIFS(Opportunities!$A$3:$A$502,$A175,Opportunities!$Y$3:$Y$502,"Renewal due")=0),600000+(10-AC175)*1000+(4-AD175)*100+ROW()/100000,IF(V175="Yes",700000+IF(X175="",0,X175-40000)/10+ROW()/100000,IF(AND(AE175="Quick Win",U175&lt;&gt;"",AG175=0),800000+(10-AC175)*1000+ROW()/100000,IF(AND(AE175="Build a Path",COUNTIF($V$3:$V$502,"Yes")&lt;S_PathCap),900000+(10-AC175)*1000+(4-AD175)*100+ROW()/100000,"")))))</f>
        <v/>
      </c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8"/>
      <c r="T176" s="27"/>
      <c r="U176" s="27"/>
      <c r="V176" s="27"/>
      <c r="W176" s="27"/>
      <c r="X176" s="28"/>
      <c r="Y176" s="27"/>
      <c r="Z176" s="27"/>
      <c r="AA176" s="27"/>
      <c r="AB176" s="32" t="str">
        <f aca="false">IF($A176="","",IF(COUNTIF('Commercial Evidence'!$A$3:$A$502,$A176)=0,"",IF(COUNTIFS('Commercial Evidence'!$A$3:$A$502,$A176,'Commercial Evidence'!$B$3:$B$502,"Previous CBS Talks spend")+COUNTIFS('Commercial Evidence'!$A$3:$A$502,$A176,'Commercial Evidence'!$B$3:$B$502,"Sponsors student organisations")&gt;0,2,IF(COUNTIFS('Commercial Evidence'!$A$3:$A$502,$A176,'Commercial Evidence'!$B$3:$B$502,"Sponsors university activities")+COUNTIFS('Commercial Evidence'!$A$3:$A$502,$A176,'Commercial Evidence'!$B$3:$B$502,"Sponsors similar events")+COUNTIFS('Commercial Evidence'!$A$3:$A$502,$A176,'Commercial Evidence'!$B$3:$B$502,"Previous CBS Talks partner")&gt;0,1,0))))</f>
        <v/>
      </c>
      <c r="AC176" s="32" t="str">
        <f aca="false">IF($A176="","",IF(COUNT(G176,J176,M176,P176,AB176)&lt;5,"",G176+J176+M176+P176+AB176))</f>
        <v/>
      </c>
      <c r="AD176" s="32" t="str">
        <f aca="false">IF($A176="","",IF(COUNTIFS(Contacts!$A$3:$A$502,$A176,Contacts!$E$3:$E$502,"Champion",Contacts!$K$3:$K$502,"&lt;&gt;Yes",Contacts!$L$3:$L$502,"&lt;&gt;Yes")+COUNTIFS(Opportunities!$A$3:$A$502,$A176,Opportunities!$C$3:$C$502,"Won",Opportunities!$Q$3:$Q$502,"Satisfied")&gt;0,4,IF(COUNTIFS(Interactions!$B$3:$B$502,$A176,Interactions!$I$3:$I$502,"Yes",Interactions!$A$3:$A$502,"&gt;="&amp;(S_Today-S_WarmDays))&gt;0,3,IF(T176&lt;&gt;"",2,IF(COUNTIFS(Contacts!$A$3:$A$502,$A176,Contacts!$M$3:$M$502,"Yes",Contacts!$K$3:$K$502,"&lt;&gt;Yes",Contacts!$L$3:$L$502,"&lt;&gt;Yes")&gt;0,1,0)))))</f>
        <v/>
      </c>
      <c r="AE176" s="32" t="str">
        <f aca="false">IF($A176="","",IF(Z176="Yes","Do not contact",IF(AC176="","Research",IF(AND(AC176&gt;=S_FitHigh,AD176&gt;=S_AccessHigh),"Priority",IF(AC176&gt;=S_FitHigh,"Build a Path",IF(AD176&gt;=S_AccessHigh,"Quick Win","Low Priority"))))))</f>
        <v/>
      </c>
      <c r="AF176" s="33" t="str">
        <f aca="false">IF($A176="","",IF(_xlfn.MAXIFS(Interactions!$A$3:$A$502,Interactions!$B$3:$B$502,$A176)=0,"",_xlfn.MAXIFS(Interactions!$A$3:$A$502,Interactions!$B$3:$B$502,$A176)))</f>
        <v/>
      </c>
      <c r="AG176" s="32" t="str">
        <f aca="false">IF($A176="","",COUNTIFS(Opportunities!$A$3:$A$502,$A176,Opportunities!$X$3:$X$502,"Yes"))</f>
        <v/>
      </c>
      <c r="AH176" s="32" t="str">
        <f aca="false">IF($A176="","",_xlfn.TEXTJOIN(", ",TRUE(),IF(COUNTIF($A$3:$A$502,$A176)&gt;1,"Duplicate name",""),IF(OR(AND(G176=2,I176=""),AND(J176=2,L176=""),AND(M176=2,O176=""),AND(P176=2,R176="")),"Source missing for a 2",""),IF(F176="","No owner",IF(COUNTIFS(R_TeamName,F176,R_TeamActive,"No")&gt;0,"Needs new owner","")),IF(AND(V176="Yes",X176&lt;&gt;"",X176&lt;S_SemStart),"Path overdue",""),IF(AND(S176&lt;&gt;"",S176&lt;S_Today-365),"Stale research",""),IF(AND(AE176="Research",COUNTIF('Commercial Evidence'!$A$3:$A$502,$A176)=0),"Add commercial evidence","")))</f>
        <v/>
      </c>
      <c r="AI176" s="34" t="str">
        <f aca="false">IF(OR($A176="",Z176="Yes"),"",IF(AND(AE176="Priority",AG176=0,COUNTIFS(Opportunities!$A$3:$A$502,$A176,Opportunities!$Y$3:$Y$502,"Renewal due")=0),600000+(10-AC176)*1000+(4-AD176)*100+ROW()/100000,IF(V176="Yes",700000+IF(X176="",0,X176-40000)/10+ROW()/100000,IF(AND(AE176="Quick Win",U176&lt;&gt;"",AG176=0),800000+(10-AC176)*1000+ROW()/100000,IF(AND(AE176="Build a Path",COUNTIF($V$3:$V$502,"Yes")&lt;S_PathCap),900000+(10-AC176)*1000+(4-AD176)*100+ROW()/100000,"")))))</f>
        <v/>
      </c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8"/>
      <c r="T177" s="27"/>
      <c r="U177" s="27"/>
      <c r="V177" s="27"/>
      <c r="W177" s="27"/>
      <c r="X177" s="28"/>
      <c r="Y177" s="27"/>
      <c r="Z177" s="27"/>
      <c r="AA177" s="27"/>
      <c r="AB177" s="32" t="str">
        <f aca="false">IF($A177="","",IF(COUNTIF('Commercial Evidence'!$A$3:$A$502,$A177)=0,"",IF(COUNTIFS('Commercial Evidence'!$A$3:$A$502,$A177,'Commercial Evidence'!$B$3:$B$502,"Previous CBS Talks spend")+COUNTIFS('Commercial Evidence'!$A$3:$A$502,$A177,'Commercial Evidence'!$B$3:$B$502,"Sponsors student organisations")&gt;0,2,IF(COUNTIFS('Commercial Evidence'!$A$3:$A$502,$A177,'Commercial Evidence'!$B$3:$B$502,"Sponsors university activities")+COUNTIFS('Commercial Evidence'!$A$3:$A$502,$A177,'Commercial Evidence'!$B$3:$B$502,"Sponsors similar events")+COUNTIFS('Commercial Evidence'!$A$3:$A$502,$A177,'Commercial Evidence'!$B$3:$B$502,"Previous CBS Talks partner")&gt;0,1,0))))</f>
        <v/>
      </c>
      <c r="AC177" s="32" t="str">
        <f aca="false">IF($A177="","",IF(COUNT(G177,J177,M177,P177,AB177)&lt;5,"",G177+J177+M177+P177+AB177))</f>
        <v/>
      </c>
      <c r="AD177" s="32" t="str">
        <f aca="false">IF($A177="","",IF(COUNTIFS(Contacts!$A$3:$A$502,$A177,Contacts!$E$3:$E$502,"Champion",Contacts!$K$3:$K$502,"&lt;&gt;Yes",Contacts!$L$3:$L$502,"&lt;&gt;Yes")+COUNTIFS(Opportunities!$A$3:$A$502,$A177,Opportunities!$C$3:$C$502,"Won",Opportunities!$Q$3:$Q$502,"Satisfied")&gt;0,4,IF(COUNTIFS(Interactions!$B$3:$B$502,$A177,Interactions!$I$3:$I$502,"Yes",Interactions!$A$3:$A$502,"&gt;="&amp;(S_Today-S_WarmDays))&gt;0,3,IF(T177&lt;&gt;"",2,IF(COUNTIFS(Contacts!$A$3:$A$502,$A177,Contacts!$M$3:$M$502,"Yes",Contacts!$K$3:$K$502,"&lt;&gt;Yes",Contacts!$L$3:$L$502,"&lt;&gt;Yes")&gt;0,1,0)))))</f>
        <v/>
      </c>
      <c r="AE177" s="32" t="str">
        <f aca="false">IF($A177="","",IF(Z177="Yes","Do not contact",IF(AC177="","Research",IF(AND(AC177&gt;=S_FitHigh,AD177&gt;=S_AccessHigh),"Priority",IF(AC177&gt;=S_FitHigh,"Build a Path",IF(AD177&gt;=S_AccessHigh,"Quick Win","Low Priority"))))))</f>
        <v/>
      </c>
      <c r="AF177" s="33" t="str">
        <f aca="false">IF($A177="","",IF(_xlfn.MAXIFS(Interactions!$A$3:$A$502,Interactions!$B$3:$B$502,$A177)=0,"",_xlfn.MAXIFS(Interactions!$A$3:$A$502,Interactions!$B$3:$B$502,$A177)))</f>
        <v/>
      </c>
      <c r="AG177" s="32" t="str">
        <f aca="false">IF($A177="","",COUNTIFS(Opportunities!$A$3:$A$502,$A177,Opportunities!$X$3:$X$502,"Yes"))</f>
        <v/>
      </c>
      <c r="AH177" s="32" t="str">
        <f aca="false">IF($A177="","",_xlfn.TEXTJOIN(", ",TRUE(),IF(COUNTIF($A$3:$A$502,$A177)&gt;1,"Duplicate name",""),IF(OR(AND(G177=2,I177=""),AND(J177=2,L177=""),AND(M177=2,O177=""),AND(P177=2,R177="")),"Source missing for a 2",""),IF(F177="","No owner",IF(COUNTIFS(R_TeamName,F177,R_TeamActive,"No")&gt;0,"Needs new owner","")),IF(AND(V177="Yes",X177&lt;&gt;"",X177&lt;S_SemStart),"Path overdue",""),IF(AND(S177&lt;&gt;"",S177&lt;S_Today-365),"Stale research",""),IF(AND(AE177="Research",COUNTIF('Commercial Evidence'!$A$3:$A$502,$A177)=0),"Add commercial evidence","")))</f>
        <v/>
      </c>
      <c r="AI177" s="34" t="str">
        <f aca="false">IF(OR($A177="",Z177="Yes"),"",IF(AND(AE177="Priority",AG177=0,COUNTIFS(Opportunities!$A$3:$A$502,$A177,Opportunities!$Y$3:$Y$502,"Renewal due")=0),600000+(10-AC177)*1000+(4-AD177)*100+ROW()/100000,IF(V177="Yes",700000+IF(X177="",0,X177-40000)/10+ROW()/100000,IF(AND(AE177="Quick Win",U177&lt;&gt;"",AG177=0),800000+(10-AC177)*1000+ROW()/100000,IF(AND(AE177="Build a Path",COUNTIF($V$3:$V$502,"Yes")&lt;S_PathCap),900000+(10-AC177)*1000+(4-AD177)*100+ROW()/100000,"")))))</f>
        <v/>
      </c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8"/>
      <c r="T178" s="27"/>
      <c r="U178" s="27"/>
      <c r="V178" s="27"/>
      <c r="W178" s="27"/>
      <c r="X178" s="28"/>
      <c r="Y178" s="27"/>
      <c r="Z178" s="27"/>
      <c r="AA178" s="27"/>
      <c r="AB178" s="32" t="str">
        <f aca="false">IF($A178="","",IF(COUNTIF('Commercial Evidence'!$A$3:$A$502,$A178)=0,"",IF(COUNTIFS('Commercial Evidence'!$A$3:$A$502,$A178,'Commercial Evidence'!$B$3:$B$502,"Previous CBS Talks spend")+COUNTIFS('Commercial Evidence'!$A$3:$A$502,$A178,'Commercial Evidence'!$B$3:$B$502,"Sponsors student organisations")&gt;0,2,IF(COUNTIFS('Commercial Evidence'!$A$3:$A$502,$A178,'Commercial Evidence'!$B$3:$B$502,"Sponsors university activities")+COUNTIFS('Commercial Evidence'!$A$3:$A$502,$A178,'Commercial Evidence'!$B$3:$B$502,"Sponsors similar events")+COUNTIFS('Commercial Evidence'!$A$3:$A$502,$A178,'Commercial Evidence'!$B$3:$B$502,"Previous CBS Talks partner")&gt;0,1,0))))</f>
        <v/>
      </c>
      <c r="AC178" s="32" t="str">
        <f aca="false">IF($A178="","",IF(COUNT(G178,J178,M178,P178,AB178)&lt;5,"",G178+J178+M178+P178+AB178))</f>
        <v/>
      </c>
      <c r="AD178" s="32" t="str">
        <f aca="false">IF($A178="","",IF(COUNTIFS(Contacts!$A$3:$A$502,$A178,Contacts!$E$3:$E$502,"Champion",Contacts!$K$3:$K$502,"&lt;&gt;Yes",Contacts!$L$3:$L$502,"&lt;&gt;Yes")+COUNTIFS(Opportunities!$A$3:$A$502,$A178,Opportunities!$C$3:$C$502,"Won",Opportunities!$Q$3:$Q$502,"Satisfied")&gt;0,4,IF(COUNTIFS(Interactions!$B$3:$B$502,$A178,Interactions!$I$3:$I$502,"Yes",Interactions!$A$3:$A$502,"&gt;="&amp;(S_Today-S_WarmDays))&gt;0,3,IF(T178&lt;&gt;"",2,IF(COUNTIFS(Contacts!$A$3:$A$502,$A178,Contacts!$M$3:$M$502,"Yes",Contacts!$K$3:$K$502,"&lt;&gt;Yes",Contacts!$L$3:$L$502,"&lt;&gt;Yes")&gt;0,1,0)))))</f>
        <v/>
      </c>
      <c r="AE178" s="32" t="str">
        <f aca="false">IF($A178="","",IF(Z178="Yes","Do not contact",IF(AC178="","Research",IF(AND(AC178&gt;=S_FitHigh,AD178&gt;=S_AccessHigh),"Priority",IF(AC178&gt;=S_FitHigh,"Build a Path",IF(AD178&gt;=S_AccessHigh,"Quick Win","Low Priority"))))))</f>
        <v/>
      </c>
      <c r="AF178" s="33" t="str">
        <f aca="false">IF($A178="","",IF(_xlfn.MAXIFS(Interactions!$A$3:$A$502,Interactions!$B$3:$B$502,$A178)=0,"",_xlfn.MAXIFS(Interactions!$A$3:$A$502,Interactions!$B$3:$B$502,$A178)))</f>
        <v/>
      </c>
      <c r="AG178" s="32" t="str">
        <f aca="false">IF($A178="","",COUNTIFS(Opportunities!$A$3:$A$502,$A178,Opportunities!$X$3:$X$502,"Yes"))</f>
        <v/>
      </c>
      <c r="AH178" s="32" t="str">
        <f aca="false">IF($A178="","",_xlfn.TEXTJOIN(", ",TRUE(),IF(COUNTIF($A$3:$A$502,$A178)&gt;1,"Duplicate name",""),IF(OR(AND(G178=2,I178=""),AND(J178=2,L178=""),AND(M178=2,O178=""),AND(P178=2,R178="")),"Source missing for a 2",""),IF(F178="","No owner",IF(COUNTIFS(R_TeamName,F178,R_TeamActive,"No")&gt;0,"Needs new owner","")),IF(AND(V178="Yes",X178&lt;&gt;"",X178&lt;S_SemStart),"Path overdue",""),IF(AND(S178&lt;&gt;"",S178&lt;S_Today-365),"Stale research",""),IF(AND(AE178="Research",COUNTIF('Commercial Evidence'!$A$3:$A$502,$A178)=0),"Add commercial evidence","")))</f>
        <v/>
      </c>
      <c r="AI178" s="34" t="str">
        <f aca="false">IF(OR($A178="",Z178="Yes"),"",IF(AND(AE178="Priority",AG178=0,COUNTIFS(Opportunities!$A$3:$A$502,$A178,Opportunities!$Y$3:$Y$502,"Renewal due")=0),600000+(10-AC178)*1000+(4-AD178)*100+ROW()/100000,IF(V178="Yes",700000+IF(X178="",0,X178-40000)/10+ROW()/100000,IF(AND(AE178="Quick Win",U178&lt;&gt;"",AG178=0),800000+(10-AC178)*1000+ROW()/100000,IF(AND(AE178="Build a Path",COUNTIF($V$3:$V$502,"Yes")&lt;S_PathCap),900000+(10-AC178)*1000+(4-AD178)*100+ROW()/100000,"")))))</f>
        <v/>
      </c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8"/>
      <c r="T179" s="27"/>
      <c r="U179" s="27"/>
      <c r="V179" s="27"/>
      <c r="W179" s="27"/>
      <c r="X179" s="28"/>
      <c r="Y179" s="27"/>
      <c r="Z179" s="27"/>
      <c r="AA179" s="27"/>
      <c r="AB179" s="32" t="str">
        <f aca="false">IF($A179="","",IF(COUNTIF('Commercial Evidence'!$A$3:$A$502,$A179)=0,"",IF(COUNTIFS('Commercial Evidence'!$A$3:$A$502,$A179,'Commercial Evidence'!$B$3:$B$502,"Previous CBS Talks spend")+COUNTIFS('Commercial Evidence'!$A$3:$A$502,$A179,'Commercial Evidence'!$B$3:$B$502,"Sponsors student organisations")&gt;0,2,IF(COUNTIFS('Commercial Evidence'!$A$3:$A$502,$A179,'Commercial Evidence'!$B$3:$B$502,"Sponsors university activities")+COUNTIFS('Commercial Evidence'!$A$3:$A$502,$A179,'Commercial Evidence'!$B$3:$B$502,"Sponsors similar events")+COUNTIFS('Commercial Evidence'!$A$3:$A$502,$A179,'Commercial Evidence'!$B$3:$B$502,"Previous CBS Talks partner")&gt;0,1,0))))</f>
        <v/>
      </c>
      <c r="AC179" s="32" t="str">
        <f aca="false">IF($A179="","",IF(COUNT(G179,J179,M179,P179,AB179)&lt;5,"",G179+J179+M179+P179+AB179))</f>
        <v/>
      </c>
      <c r="AD179" s="32" t="str">
        <f aca="false">IF($A179="","",IF(COUNTIFS(Contacts!$A$3:$A$502,$A179,Contacts!$E$3:$E$502,"Champion",Contacts!$K$3:$K$502,"&lt;&gt;Yes",Contacts!$L$3:$L$502,"&lt;&gt;Yes")+COUNTIFS(Opportunities!$A$3:$A$502,$A179,Opportunities!$C$3:$C$502,"Won",Opportunities!$Q$3:$Q$502,"Satisfied")&gt;0,4,IF(COUNTIFS(Interactions!$B$3:$B$502,$A179,Interactions!$I$3:$I$502,"Yes",Interactions!$A$3:$A$502,"&gt;="&amp;(S_Today-S_WarmDays))&gt;0,3,IF(T179&lt;&gt;"",2,IF(COUNTIFS(Contacts!$A$3:$A$502,$A179,Contacts!$M$3:$M$502,"Yes",Contacts!$K$3:$K$502,"&lt;&gt;Yes",Contacts!$L$3:$L$502,"&lt;&gt;Yes")&gt;0,1,0)))))</f>
        <v/>
      </c>
      <c r="AE179" s="32" t="str">
        <f aca="false">IF($A179="","",IF(Z179="Yes","Do not contact",IF(AC179="","Research",IF(AND(AC179&gt;=S_FitHigh,AD179&gt;=S_AccessHigh),"Priority",IF(AC179&gt;=S_FitHigh,"Build a Path",IF(AD179&gt;=S_AccessHigh,"Quick Win","Low Priority"))))))</f>
        <v/>
      </c>
      <c r="AF179" s="33" t="str">
        <f aca="false">IF($A179="","",IF(_xlfn.MAXIFS(Interactions!$A$3:$A$502,Interactions!$B$3:$B$502,$A179)=0,"",_xlfn.MAXIFS(Interactions!$A$3:$A$502,Interactions!$B$3:$B$502,$A179)))</f>
        <v/>
      </c>
      <c r="AG179" s="32" t="str">
        <f aca="false">IF($A179="","",COUNTIFS(Opportunities!$A$3:$A$502,$A179,Opportunities!$X$3:$X$502,"Yes"))</f>
        <v/>
      </c>
      <c r="AH179" s="32" t="str">
        <f aca="false">IF($A179="","",_xlfn.TEXTJOIN(", ",TRUE(),IF(COUNTIF($A$3:$A$502,$A179)&gt;1,"Duplicate name",""),IF(OR(AND(G179=2,I179=""),AND(J179=2,L179=""),AND(M179=2,O179=""),AND(P179=2,R179="")),"Source missing for a 2",""),IF(F179="","No owner",IF(COUNTIFS(R_TeamName,F179,R_TeamActive,"No")&gt;0,"Needs new owner","")),IF(AND(V179="Yes",X179&lt;&gt;"",X179&lt;S_SemStart),"Path overdue",""),IF(AND(S179&lt;&gt;"",S179&lt;S_Today-365),"Stale research",""),IF(AND(AE179="Research",COUNTIF('Commercial Evidence'!$A$3:$A$502,$A179)=0),"Add commercial evidence","")))</f>
        <v/>
      </c>
      <c r="AI179" s="34" t="str">
        <f aca="false">IF(OR($A179="",Z179="Yes"),"",IF(AND(AE179="Priority",AG179=0,COUNTIFS(Opportunities!$A$3:$A$502,$A179,Opportunities!$Y$3:$Y$502,"Renewal due")=0),600000+(10-AC179)*1000+(4-AD179)*100+ROW()/100000,IF(V179="Yes",700000+IF(X179="",0,X179-40000)/10+ROW()/100000,IF(AND(AE179="Quick Win",U179&lt;&gt;"",AG179=0),800000+(10-AC179)*1000+ROW()/100000,IF(AND(AE179="Build a Path",COUNTIF($V$3:$V$502,"Yes")&lt;S_PathCap),900000+(10-AC179)*1000+(4-AD179)*100+ROW()/100000,"")))))</f>
        <v/>
      </c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8"/>
      <c r="T180" s="27"/>
      <c r="U180" s="27"/>
      <c r="V180" s="27"/>
      <c r="W180" s="27"/>
      <c r="X180" s="28"/>
      <c r="Y180" s="27"/>
      <c r="Z180" s="27"/>
      <c r="AA180" s="27"/>
      <c r="AB180" s="32" t="str">
        <f aca="false">IF($A180="","",IF(COUNTIF('Commercial Evidence'!$A$3:$A$502,$A180)=0,"",IF(COUNTIFS('Commercial Evidence'!$A$3:$A$502,$A180,'Commercial Evidence'!$B$3:$B$502,"Previous CBS Talks spend")+COUNTIFS('Commercial Evidence'!$A$3:$A$502,$A180,'Commercial Evidence'!$B$3:$B$502,"Sponsors student organisations")&gt;0,2,IF(COUNTIFS('Commercial Evidence'!$A$3:$A$502,$A180,'Commercial Evidence'!$B$3:$B$502,"Sponsors university activities")+COUNTIFS('Commercial Evidence'!$A$3:$A$502,$A180,'Commercial Evidence'!$B$3:$B$502,"Sponsors similar events")+COUNTIFS('Commercial Evidence'!$A$3:$A$502,$A180,'Commercial Evidence'!$B$3:$B$502,"Previous CBS Talks partner")&gt;0,1,0))))</f>
        <v/>
      </c>
      <c r="AC180" s="32" t="str">
        <f aca="false">IF($A180="","",IF(COUNT(G180,J180,M180,P180,AB180)&lt;5,"",G180+J180+M180+P180+AB180))</f>
        <v/>
      </c>
      <c r="AD180" s="32" t="str">
        <f aca="false">IF($A180="","",IF(COUNTIFS(Contacts!$A$3:$A$502,$A180,Contacts!$E$3:$E$502,"Champion",Contacts!$K$3:$K$502,"&lt;&gt;Yes",Contacts!$L$3:$L$502,"&lt;&gt;Yes")+COUNTIFS(Opportunities!$A$3:$A$502,$A180,Opportunities!$C$3:$C$502,"Won",Opportunities!$Q$3:$Q$502,"Satisfied")&gt;0,4,IF(COUNTIFS(Interactions!$B$3:$B$502,$A180,Interactions!$I$3:$I$502,"Yes",Interactions!$A$3:$A$502,"&gt;="&amp;(S_Today-S_WarmDays))&gt;0,3,IF(T180&lt;&gt;"",2,IF(COUNTIFS(Contacts!$A$3:$A$502,$A180,Contacts!$M$3:$M$502,"Yes",Contacts!$K$3:$K$502,"&lt;&gt;Yes",Contacts!$L$3:$L$502,"&lt;&gt;Yes")&gt;0,1,0)))))</f>
        <v/>
      </c>
      <c r="AE180" s="32" t="str">
        <f aca="false">IF($A180="","",IF(Z180="Yes","Do not contact",IF(AC180="","Research",IF(AND(AC180&gt;=S_FitHigh,AD180&gt;=S_AccessHigh),"Priority",IF(AC180&gt;=S_FitHigh,"Build a Path",IF(AD180&gt;=S_AccessHigh,"Quick Win","Low Priority"))))))</f>
        <v/>
      </c>
      <c r="AF180" s="33" t="str">
        <f aca="false">IF($A180="","",IF(_xlfn.MAXIFS(Interactions!$A$3:$A$502,Interactions!$B$3:$B$502,$A180)=0,"",_xlfn.MAXIFS(Interactions!$A$3:$A$502,Interactions!$B$3:$B$502,$A180)))</f>
        <v/>
      </c>
      <c r="AG180" s="32" t="str">
        <f aca="false">IF($A180="","",COUNTIFS(Opportunities!$A$3:$A$502,$A180,Opportunities!$X$3:$X$502,"Yes"))</f>
        <v/>
      </c>
      <c r="AH180" s="32" t="str">
        <f aca="false">IF($A180="","",_xlfn.TEXTJOIN(", ",TRUE(),IF(COUNTIF($A$3:$A$502,$A180)&gt;1,"Duplicate name",""),IF(OR(AND(G180=2,I180=""),AND(J180=2,L180=""),AND(M180=2,O180=""),AND(P180=2,R180="")),"Source missing for a 2",""),IF(F180="","No owner",IF(COUNTIFS(R_TeamName,F180,R_TeamActive,"No")&gt;0,"Needs new owner","")),IF(AND(V180="Yes",X180&lt;&gt;"",X180&lt;S_SemStart),"Path overdue",""),IF(AND(S180&lt;&gt;"",S180&lt;S_Today-365),"Stale research",""),IF(AND(AE180="Research",COUNTIF('Commercial Evidence'!$A$3:$A$502,$A180)=0),"Add commercial evidence","")))</f>
        <v/>
      </c>
      <c r="AI180" s="34" t="str">
        <f aca="false">IF(OR($A180="",Z180="Yes"),"",IF(AND(AE180="Priority",AG180=0,COUNTIFS(Opportunities!$A$3:$A$502,$A180,Opportunities!$Y$3:$Y$502,"Renewal due")=0),600000+(10-AC180)*1000+(4-AD180)*100+ROW()/100000,IF(V180="Yes",700000+IF(X180="",0,X180-40000)/10+ROW()/100000,IF(AND(AE180="Quick Win",U180&lt;&gt;"",AG180=0),800000+(10-AC180)*1000+ROW()/100000,IF(AND(AE180="Build a Path",COUNTIF($V$3:$V$502,"Yes")&lt;S_PathCap),900000+(10-AC180)*1000+(4-AD180)*100+ROW()/100000,"")))))</f>
        <v/>
      </c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8"/>
      <c r="T181" s="27"/>
      <c r="U181" s="27"/>
      <c r="V181" s="27"/>
      <c r="W181" s="27"/>
      <c r="X181" s="28"/>
      <c r="Y181" s="27"/>
      <c r="Z181" s="27"/>
      <c r="AA181" s="27"/>
      <c r="AB181" s="32" t="str">
        <f aca="false">IF($A181="","",IF(COUNTIF('Commercial Evidence'!$A$3:$A$502,$A181)=0,"",IF(COUNTIFS('Commercial Evidence'!$A$3:$A$502,$A181,'Commercial Evidence'!$B$3:$B$502,"Previous CBS Talks spend")+COUNTIFS('Commercial Evidence'!$A$3:$A$502,$A181,'Commercial Evidence'!$B$3:$B$502,"Sponsors student organisations")&gt;0,2,IF(COUNTIFS('Commercial Evidence'!$A$3:$A$502,$A181,'Commercial Evidence'!$B$3:$B$502,"Sponsors university activities")+COUNTIFS('Commercial Evidence'!$A$3:$A$502,$A181,'Commercial Evidence'!$B$3:$B$502,"Sponsors similar events")+COUNTIFS('Commercial Evidence'!$A$3:$A$502,$A181,'Commercial Evidence'!$B$3:$B$502,"Previous CBS Talks partner")&gt;0,1,0))))</f>
        <v/>
      </c>
      <c r="AC181" s="32" t="str">
        <f aca="false">IF($A181="","",IF(COUNT(G181,J181,M181,P181,AB181)&lt;5,"",G181+J181+M181+P181+AB181))</f>
        <v/>
      </c>
      <c r="AD181" s="32" t="str">
        <f aca="false">IF($A181="","",IF(COUNTIFS(Contacts!$A$3:$A$502,$A181,Contacts!$E$3:$E$502,"Champion",Contacts!$K$3:$K$502,"&lt;&gt;Yes",Contacts!$L$3:$L$502,"&lt;&gt;Yes")+COUNTIFS(Opportunities!$A$3:$A$502,$A181,Opportunities!$C$3:$C$502,"Won",Opportunities!$Q$3:$Q$502,"Satisfied")&gt;0,4,IF(COUNTIFS(Interactions!$B$3:$B$502,$A181,Interactions!$I$3:$I$502,"Yes",Interactions!$A$3:$A$502,"&gt;="&amp;(S_Today-S_WarmDays))&gt;0,3,IF(T181&lt;&gt;"",2,IF(COUNTIFS(Contacts!$A$3:$A$502,$A181,Contacts!$M$3:$M$502,"Yes",Contacts!$K$3:$K$502,"&lt;&gt;Yes",Contacts!$L$3:$L$502,"&lt;&gt;Yes")&gt;0,1,0)))))</f>
        <v/>
      </c>
      <c r="AE181" s="32" t="str">
        <f aca="false">IF($A181="","",IF(Z181="Yes","Do not contact",IF(AC181="","Research",IF(AND(AC181&gt;=S_FitHigh,AD181&gt;=S_AccessHigh),"Priority",IF(AC181&gt;=S_FitHigh,"Build a Path",IF(AD181&gt;=S_AccessHigh,"Quick Win","Low Priority"))))))</f>
        <v/>
      </c>
      <c r="AF181" s="33" t="str">
        <f aca="false">IF($A181="","",IF(_xlfn.MAXIFS(Interactions!$A$3:$A$502,Interactions!$B$3:$B$502,$A181)=0,"",_xlfn.MAXIFS(Interactions!$A$3:$A$502,Interactions!$B$3:$B$502,$A181)))</f>
        <v/>
      </c>
      <c r="AG181" s="32" t="str">
        <f aca="false">IF($A181="","",COUNTIFS(Opportunities!$A$3:$A$502,$A181,Opportunities!$X$3:$X$502,"Yes"))</f>
        <v/>
      </c>
      <c r="AH181" s="32" t="str">
        <f aca="false">IF($A181="","",_xlfn.TEXTJOIN(", ",TRUE(),IF(COUNTIF($A$3:$A$502,$A181)&gt;1,"Duplicate name",""),IF(OR(AND(G181=2,I181=""),AND(J181=2,L181=""),AND(M181=2,O181=""),AND(P181=2,R181="")),"Source missing for a 2",""),IF(F181="","No owner",IF(COUNTIFS(R_TeamName,F181,R_TeamActive,"No")&gt;0,"Needs new owner","")),IF(AND(V181="Yes",X181&lt;&gt;"",X181&lt;S_SemStart),"Path overdue",""),IF(AND(S181&lt;&gt;"",S181&lt;S_Today-365),"Stale research",""),IF(AND(AE181="Research",COUNTIF('Commercial Evidence'!$A$3:$A$502,$A181)=0),"Add commercial evidence","")))</f>
        <v/>
      </c>
      <c r="AI181" s="34" t="str">
        <f aca="false">IF(OR($A181="",Z181="Yes"),"",IF(AND(AE181="Priority",AG181=0,COUNTIFS(Opportunities!$A$3:$A$502,$A181,Opportunities!$Y$3:$Y$502,"Renewal due")=0),600000+(10-AC181)*1000+(4-AD181)*100+ROW()/100000,IF(V181="Yes",700000+IF(X181="",0,X181-40000)/10+ROW()/100000,IF(AND(AE181="Quick Win",U181&lt;&gt;"",AG181=0),800000+(10-AC181)*1000+ROW()/100000,IF(AND(AE181="Build a Path",COUNTIF($V$3:$V$502,"Yes")&lt;S_PathCap),900000+(10-AC181)*1000+(4-AD181)*100+ROW()/100000,"")))))</f>
        <v/>
      </c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8"/>
      <c r="T182" s="27"/>
      <c r="U182" s="27"/>
      <c r="V182" s="27"/>
      <c r="W182" s="27"/>
      <c r="X182" s="28"/>
      <c r="Y182" s="27"/>
      <c r="Z182" s="27"/>
      <c r="AA182" s="27"/>
      <c r="AB182" s="32" t="str">
        <f aca="false">IF($A182="","",IF(COUNTIF('Commercial Evidence'!$A$3:$A$502,$A182)=0,"",IF(COUNTIFS('Commercial Evidence'!$A$3:$A$502,$A182,'Commercial Evidence'!$B$3:$B$502,"Previous CBS Talks spend")+COUNTIFS('Commercial Evidence'!$A$3:$A$502,$A182,'Commercial Evidence'!$B$3:$B$502,"Sponsors student organisations")&gt;0,2,IF(COUNTIFS('Commercial Evidence'!$A$3:$A$502,$A182,'Commercial Evidence'!$B$3:$B$502,"Sponsors university activities")+COUNTIFS('Commercial Evidence'!$A$3:$A$502,$A182,'Commercial Evidence'!$B$3:$B$502,"Sponsors similar events")+COUNTIFS('Commercial Evidence'!$A$3:$A$502,$A182,'Commercial Evidence'!$B$3:$B$502,"Previous CBS Talks partner")&gt;0,1,0))))</f>
        <v/>
      </c>
      <c r="AC182" s="32" t="str">
        <f aca="false">IF($A182="","",IF(COUNT(G182,J182,M182,P182,AB182)&lt;5,"",G182+J182+M182+P182+AB182))</f>
        <v/>
      </c>
      <c r="AD182" s="32" t="str">
        <f aca="false">IF($A182="","",IF(COUNTIFS(Contacts!$A$3:$A$502,$A182,Contacts!$E$3:$E$502,"Champion",Contacts!$K$3:$K$502,"&lt;&gt;Yes",Contacts!$L$3:$L$502,"&lt;&gt;Yes")+COUNTIFS(Opportunities!$A$3:$A$502,$A182,Opportunities!$C$3:$C$502,"Won",Opportunities!$Q$3:$Q$502,"Satisfied")&gt;0,4,IF(COUNTIFS(Interactions!$B$3:$B$502,$A182,Interactions!$I$3:$I$502,"Yes",Interactions!$A$3:$A$502,"&gt;="&amp;(S_Today-S_WarmDays))&gt;0,3,IF(T182&lt;&gt;"",2,IF(COUNTIFS(Contacts!$A$3:$A$502,$A182,Contacts!$M$3:$M$502,"Yes",Contacts!$K$3:$K$502,"&lt;&gt;Yes",Contacts!$L$3:$L$502,"&lt;&gt;Yes")&gt;0,1,0)))))</f>
        <v/>
      </c>
      <c r="AE182" s="32" t="str">
        <f aca="false">IF($A182="","",IF(Z182="Yes","Do not contact",IF(AC182="","Research",IF(AND(AC182&gt;=S_FitHigh,AD182&gt;=S_AccessHigh),"Priority",IF(AC182&gt;=S_FitHigh,"Build a Path",IF(AD182&gt;=S_AccessHigh,"Quick Win","Low Priority"))))))</f>
        <v/>
      </c>
      <c r="AF182" s="33" t="str">
        <f aca="false">IF($A182="","",IF(_xlfn.MAXIFS(Interactions!$A$3:$A$502,Interactions!$B$3:$B$502,$A182)=0,"",_xlfn.MAXIFS(Interactions!$A$3:$A$502,Interactions!$B$3:$B$502,$A182)))</f>
        <v/>
      </c>
      <c r="AG182" s="32" t="str">
        <f aca="false">IF($A182="","",COUNTIFS(Opportunities!$A$3:$A$502,$A182,Opportunities!$X$3:$X$502,"Yes"))</f>
        <v/>
      </c>
      <c r="AH182" s="32" t="str">
        <f aca="false">IF($A182="","",_xlfn.TEXTJOIN(", ",TRUE(),IF(COUNTIF($A$3:$A$502,$A182)&gt;1,"Duplicate name",""),IF(OR(AND(G182=2,I182=""),AND(J182=2,L182=""),AND(M182=2,O182=""),AND(P182=2,R182="")),"Source missing for a 2",""),IF(F182="","No owner",IF(COUNTIFS(R_TeamName,F182,R_TeamActive,"No")&gt;0,"Needs new owner","")),IF(AND(V182="Yes",X182&lt;&gt;"",X182&lt;S_SemStart),"Path overdue",""),IF(AND(S182&lt;&gt;"",S182&lt;S_Today-365),"Stale research",""),IF(AND(AE182="Research",COUNTIF('Commercial Evidence'!$A$3:$A$502,$A182)=0),"Add commercial evidence","")))</f>
        <v/>
      </c>
      <c r="AI182" s="34" t="str">
        <f aca="false">IF(OR($A182="",Z182="Yes"),"",IF(AND(AE182="Priority",AG182=0,COUNTIFS(Opportunities!$A$3:$A$502,$A182,Opportunities!$Y$3:$Y$502,"Renewal due")=0),600000+(10-AC182)*1000+(4-AD182)*100+ROW()/100000,IF(V182="Yes",700000+IF(X182="",0,X182-40000)/10+ROW()/100000,IF(AND(AE182="Quick Win",U182&lt;&gt;"",AG182=0),800000+(10-AC182)*1000+ROW()/100000,IF(AND(AE182="Build a Path",COUNTIF($V$3:$V$502,"Yes")&lt;S_PathCap),900000+(10-AC182)*1000+(4-AD182)*100+ROW()/100000,"")))))</f>
        <v/>
      </c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8"/>
      <c r="T183" s="27"/>
      <c r="U183" s="27"/>
      <c r="V183" s="27"/>
      <c r="W183" s="27"/>
      <c r="X183" s="28"/>
      <c r="Y183" s="27"/>
      <c r="Z183" s="27"/>
      <c r="AA183" s="27"/>
      <c r="AB183" s="32" t="str">
        <f aca="false">IF($A183="","",IF(COUNTIF('Commercial Evidence'!$A$3:$A$502,$A183)=0,"",IF(COUNTIFS('Commercial Evidence'!$A$3:$A$502,$A183,'Commercial Evidence'!$B$3:$B$502,"Previous CBS Talks spend")+COUNTIFS('Commercial Evidence'!$A$3:$A$502,$A183,'Commercial Evidence'!$B$3:$B$502,"Sponsors student organisations")&gt;0,2,IF(COUNTIFS('Commercial Evidence'!$A$3:$A$502,$A183,'Commercial Evidence'!$B$3:$B$502,"Sponsors university activities")+COUNTIFS('Commercial Evidence'!$A$3:$A$502,$A183,'Commercial Evidence'!$B$3:$B$502,"Sponsors similar events")+COUNTIFS('Commercial Evidence'!$A$3:$A$502,$A183,'Commercial Evidence'!$B$3:$B$502,"Previous CBS Talks partner")&gt;0,1,0))))</f>
        <v/>
      </c>
      <c r="AC183" s="32" t="str">
        <f aca="false">IF($A183="","",IF(COUNT(G183,J183,M183,P183,AB183)&lt;5,"",G183+J183+M183+P183+AB183))</f>
        <v/>
      </c>
      <c r="AD183" s="32" t="str">
        <f aca="false">IF($A183="","",IF(COUNTIFS(Contacts!$A$3:$A$502,$A183,Contacts!$E$3:$E$502,"Champion",Contacts!$K$3:$K$502,"&lt;&gt;Yes",Contacts!$L$3:$L$502,"&lt;&gt;Yes")+COUNTIFS(Opportunities!$A$3:$A$502,$A183,Opportunities!$C$3:$C$502,"Won",Opportunities!$Q$3:$Q$502,"Satisfied")&gt;0,4,IF(COUNTIFS(Interactions!$B$3:$B$502,$A183,Interactions!$I$3:$I$502,"Yes",Interactions!$A$3:$A$502,"&gt;="&amp;(S_Today-S_WarmDays))&gt;0,3,IF(T183&lt;&gt;"",2,IF(COUNTIFS(Contacts!$A$3:$A$502,$A183,Contacts!$M$3:$M$502,"Yes",Contacts!$K$3:$K$502,"&lt;&gt;Yes",Contacts!$L$3:$L$502,"&lt;&gt;Yes")&gt;0,1,0)))))</f>
        <v/>
      </c>
      <c r="AE183" s="32" t="str">
        <f aca="false">IF($A183="","",IF(Z183="Yes","Do not contact",IF(AC183="","Research",IF(AND(AC183&gt;=S_FitHigh,AD183&gt;=S_AccessHigh),"Priority",IF(AC183&gt;=S_FitHigh,"Build a Path",IF(AD183&gt;=S_AccessHigh,"Quick Win","Low Priority"))))))</f>
        <v/>
      </c>
      <c r="AF183" s="33" t="str">
        <f aca="false">IF($A183="","",IF(_xlfn.MAXIFS(Interactions!$A$3:$A$502,Interactions!$B$3:$B$502,$A183)=0,"",_xlfn.MAXIFS(Interactions!$A$3:$A$502,Interactions!$B$3:$B$502,$A183)))</f>
        <v/>
      </c>
      <c r="AG183" s="32" t="str">
        <f aca="false">IF($A183="","",COUNTIFS(Opportunities!$A$3:$A$502,$A183,Opportunities!$X$3:$X$502,"Yes"))</f>
        <v/>
      </c>
      <c r="AH183" s="32" t="str">
        <f aca="false">IF($A183="","",_xlfn.TEXTJOIN(", ",TRUE(),IF(COUNTIF($A$3:$A$502,$A183)&gt;1,"Duplicate name",""),IF(OR(AND(G183=2,I183=""),AND(J183=2,L183=""),AND(M183=2,O183=""),AND(P183=2,R183="")),"Source missing for a 2",""),IF(F183="","No owner",IF(COUNTIFS(R_TeamName,F183,R_TeamActive,"No")&gt;0,"Needs new owner","")),IF(AND(V183="Yes",X183&lt;&gt;"",X183&lt;S_SemStart),"Path overdue",""),IF(AND(S183&lt;&gt;"",S183&lt;S_Today-365),"Stale research",""),IF(AND(AE183="Research",COUNTIF('Commercial Evidence'!$A$3:$A$502,$A183)=0),"Add commercial evidence","")))</f>
        <v/>
      </c>
      <c r="AI183" s="34" t="str">
        <f aca="false">IF(OR($A183="",Z183="Yes"),"",IF(AND(AE183="Priority",AG183=0,COUNTIFS(Opportunities!$A$3:$A$502,$A183,Opportunities!$Y$3:$Y$502,"Renewal due")=0),600000+(10-AC183)*1000+(4-AD183)*100+ROW()/100000,IF(V183="Yes",700000+IF(X183="",0,X183-40000)/10+ROW()/100000,IF(AND(AE183="Quick Win",U183&lt;&gt;"",AG183=0),800000+(10-AC183)*1000+ROW()/100000,IF(AND(AE183="Build a Path",COUNTIF($V$3:$V$502,"Yes")&lt;S_PathCap),900000+(10-AC183)*1000+(4-AD183)*100+ROW()/100000,"")))))</f>
        <v/>
      </c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8"/>
      <c r="T184" s="27"/>
      <c r="U184" s="27"/>
      <c r="V184" s="27"/>
      <c r="W184" s="27"/>
      <c r="X184" s="28"/>
      <c r="Y184" s="27"/>
      <c r="Z184" s="27"/>
      <c r="AA184" s="27"/>
      <c r="AB184" s="32" t="str">
        <f aca="false">IF($A184="","",IF(COUNTIF('Commercial Evidence'!$A$3:$A$502,$A184)=0,"",IF(COUNTIFS('Commercial Evidence'!$A$3:$A$502,$A184,'Commercial Evidence'!$B$3:$B$502,"Previous CBS Talks spend")+COUNTIFS('Commercial Evidence'!$A$3:$A$502,$A184,'Commercial Evidence'!$B$3:$B$502,"Sponsors student organisations")&gt;0,2,IF(COUNTIFS('Commercial Evidence'!$A$3:$A$502,$A184,'Commercial Evidence'!$B$3:$B$502,"Sponsors university activities")+COUNTIFS('Commercial Evidence'!$A$3:$A$502,$A184,'Commercial Evidence'!$B$3:$B$502,"Sponsors similar events")+COUNTIFS('Commercial Evidence'!$A$3:$A$502,$A184,'Commercial Evidence'!$B$3:$B$502,"Previous CBS Talks partner")&gt;0,1,0))))</f>
        <v/>
      </c>
      <c r="AC184" s="32" t="str">
        <f aca="false">IF($A184="","",IF(COUNT(G184,J184,M184,P184,AB184)&lt;5,"",G184+J184+M184+P184+AB184))</f>
        <v/>
      </c>
      <c r="AD184" s="32" t="str">
        <f aca="false">IF($A184="","",IF(COUNTIFS(Contacts!$A$3:$A$502,$A184,Contacts!$E$3:$E$502,"Champion",Contacts!$K$3:$K$502,"&lt;&gt;Yes",Contacts!$L$3:$L$502,"&lt;&gt;Yes")+COUNTIFS(Opportunities!$A$3:$A$502,$A184,Opportunities!$C$3:$C$502,"Won",Opportunities!$Q$3:$Q$502,"Satisfied")&gt;0,4,IF(COUNTIFS(Interactions!$B$3:$B$502,$A184,Interactions!$I$3:$I$502,"Yes",Interactions!$A$3:$A$502,"&gt;="&amp;(S_Today-S_WarmDays))&gt;0,3,IF(T184&lt;&gt;"",2,IF(COUNTIFS(Contacts!$A$3:$A$502,$A184,Contacts!$M$3:$M$502,"Yes",Contacts!$K$3:$K$502,"&lt;&gt;Yes",Contacts!$L$3:$L$502,"&lt;&gt;Yes")&gt;0,1,0)))))</f>
        <v/>
      </c>
      <c r="AE184" s="32" t="str">
        <f aca="false">IF($A184="","",IF(Z184="Yes","Do not contact",IF(AC184="","Research",IF(AND(AC184&gt;=S_FitHigh,AD184&gt;=S_AccessHigh),"Priority",IF(AC184&gt;=S_FitHigh,"Build a Path",IF(AD184&gt;=S_AccessHigh,"Quick Win","Low Priority"))))))</f>
        <v/>
      </c>
      <c r="AF184" s="33" t="str">
        <f aca="false">IF($A184="","",IF(_xlfn.MAXIFS(Interactions!$A$3:$A$502,Interactions!$B$3:$B$502,$A184)=0,"",_xlfn.MAXIFS(Interactions!$A$3:$A$502,Interactions!$B$3:$B$502,$A184)))</f>
        <v/>
      </c>
      <c r="AG184" s="32" t="str">
        <f aca="false">IF($A184="","",COUNTIFS(Opportunities!$A$3:$A$502,$A184,Opportunities!$X$3:$X$502,"Yes"))</f>
        <v/>
      </c>
      <c r="AH184" s="32" t="str">
        <f aca="false">IF($A184="","",_xlfn.TEXTJOIN(", ",TRUE(),IF(COUNTIF($A$3:$A$502,$A184)&gt;1,"Duplicate name",""),IF(OR(AND(G184=2,I184=""),AND(J184=2,L184=""),AND(M184=2,O184=""),AND(P184=2,R184="")),"Source missing for a 2",""),IF(F184="","No owner",IF(COUNTIFS(R_TeamName,F184,R_TeamActive,"No")&gt;0,"Needs new owner","")),IF(AND(V184="Yes",X184&lt;&gt;"",X184&lt;S_SemStart),"Path overdue",""),IF(AND(S184&lt;&gt;"",S184&lt;S_Today-365),"Stale research",""),IF(AND(AE184="Research",COUNTIF('Commercial Evidence'!$A$3:$A$502,$A184)=0),"Add commercial evidence","")))</f>
        <v/>
      </c>
      <c r="AI184" s="34" t="str">
        <f aca="false">IF(OR($A184="",Z184="Yes"),"",IF(AND(AE184="Priority",AG184=0,COUNTIFS(Opportunities!$A$3:$A$502,$A184,Opportunities!$Y$3:$Y$502,"Renewal due")=0),600000+(10-AC184)*1000+(4-AD184)*100+ROW()/100000,IF(V184="Yes",700000+IF(X184="",0,X184-40000)/10+ROW()/100000,IF(AND(AE184="Quick Win",U184&lt;&gt;"",AG184=0),800000+(10-AC184)*1000+ROW()/100000,IF(AND(AE184="Build a Path",COUNTIF($V$3:$V$502,"Yes")&lt;S_PathCap),900000+(10-AC184)*1000+(4-AD184)*100+ROW()/100000,"")))))</f>
        <v/>
      </c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8"/>
      <c r="T185" s="27"/>
      <c r="U185" s="27"/>
      <c r="V185" s="27"/>
      <c r="W185" s="27"/>
      <c r="X185" s="28"/>
      <c r="Y185" s="27"/>
      <c r="Z185" s="27"/>
      <c r="AA185" s="27"/>
      <c r="AB185" s="32" t="str">
        <f aca="false">IF($A185="","",IF(COUNTIF('Commercial Evidence'!$A$3:$A$502,$A185)=0,"",IF(COUNTIFS('Commercial Evidence'!$A$3:$A$502,$A185,'Commercial Evidence'!$B$3:$B$502,"Previous CBS Talks spend")+COUNTIFS('Commercial Evidence'!$A$3:$A$502,$A185,'Commercial Evidence'!$B$3:$B$502,"Sponsors student organisations")&gt;0,2,IF(COUNTIFS('Commercial Evidence'!$A$3:$A$502,$A185,'Commercial Evidence'!$B$3:$B$502,"Sponsors university activities")+COUNTIFS('Commercial Evidence'!$A$3:$A$502,$A185,'Commercial Evidence'!$B$3:$B$502,"Sponsors similar events")+COUNTIFS('Commercial Evidence'!$A$3:$A$502,$A185,'Commercial Evidence'!$B$3:$B$502,"Previous CBS Talks partner")&gt;0,1,0))))</f>
        <v/>
      </c>
      <c r="AC185" s="32" t="str">
        <f aca="false">IF($A185="","",IF(COUNT(G185,J185,M185,P185,AB185)&lt;5,"",G185+J185+M185+P185+AB185))</f>
        <v/>
      </c>
      <c r="AD185" s="32" t="str">
        <f aca="false">IF($A185="","",IF(COUNTIFS(Contacts!$A$3:$A$502,$A185,Contacts!$E$3:$E$502,"Champion",Contacts!$K$3:$K$502,"&lt;&gt;Yes",Contacts!$L$3:$L$502,"&lt;&gt;Yes")+COUNTIFS(Opportunities!$A$3:$A$502,$A185,Opportunities!$C$3:$C$502,"Won",Opportunities!$Q$3:$Q$502,"Satisfied")&gt;0,4,IF(COUNTIFS(Interactions!$B$3:$B$502,$A185,Interactions!$I$3:$I$502,"Yes",Interactions!$A$3:$A$502,"&gt;="&amp;(S_Today-S_WarmDays))&gt;0,3,IF(T185&lt;&gt;"",2,IF(COUNTIFS(Contacts!$A$3:$A$502,$A185,Contacts!$M$3:$M$502,"Yes",Contacts!$K$3:$K$502,"&lt;&gt;Yes",Contacts!$L$3:$L$502,"&lt;&gt;Yes")&gt;0,1,0)))))</f>
        <v/>
      </c>
      <c r="AE185" s="32" t="str">
        <f aca="false">IF($A185="","",IF(Z185="Yes","Do not contact",IF(AC185="","Research",IF(AND(AC185&gt;=S_FitHigh,AD185&gt;=S_AccessHigh),"Priority",IF(AC185&gt;=S_FitHigh,"Build a Path",IF(AD185&gt;=S_AccessHigh,"Quick Win","Low Priority"))))))</f>
        <v/>
      </c>
      <c r="AF185" s="33" t="str">
        <f aca="false">IF($A185="","",IF(_xlfn.MAXIFS(Interactions!$A$3:$A$502,Interactions!$B$3:$B$502,$A185)=0,"",_xlfn.MAXIFS(Interactions!$A$3:$A$502,Interactions!$B$3:$B$502,$A185)))</f>
        <v/>
      </c>
      <c r="AG185" s="32" t="str">
        <f aca="false">IF($A185="","",COUNTIFS(Opportunities!$A$3:$A$502,$A185,Opportunities!$X$3:$X$502,"Yes"))</f>
        <v/>
      </c>
      <c r="AH185" s="32" t="str">
        <f aca="false">IF($A185="","",_xlfn.TEXTJOIN(", ",TRUE(),IF(COUNTIF($A$3:$A$502,$A185)&gt;1,"Duplicate name",""),IF(OR(AND(G185=2,I185=""),AND(J185=2,L185=""),AND(M185=2,O185=""),AND(P185=2,R185="")),"Source missing for a 2",""),IF(F185="","No owner",IF(COUNTIFS(R_TeamName,F185,R_TeamActive,"No")&gt;0,"Needs new owner","")),IF(AND(V185="Yes",X185&lt;&gt;"",X185&lt;S_SemStart),"Path overdue",""),IF(AND(S185&lt;&gt;"",S185&lt;S_Today-365),"Stale research",""),IF(AND(AE185="Research",COUNTIF('Commercial Evidence'!$A$3:$A$502,$A185)=0),"Add commercial evidence","")))</f>
        <v/>
      </c>
      <c r="AI185" s="34" t="str">
        <f aca="false">IF(OR($A185="",Z185="Yes"),"",IF(AND(AE185="Priority",AG185=0,COUNTIFS(Opportunities!$A$3:$A$502,$A185,Opportunities!$Y$3:$Y$502,"Renewal due")=0),600000+(10-AC185)*1000+(4-AD185)*100+ROW()/100000,IF(V185="Yes",700000+IF(X185="",0,X185-40000)/10+ROW()/100000,IF(AND(AE185="Quick Win",U185&lt;&gt;"",AG185=0),800000+(10-AC185)*1000+ROW()/100000,IF(AND(AE185="Build a Path",COUNTIF($V$3:$V$502,"Yes")&lt;S_PathCap),900000+(10-AC185)*1000+(4-AD185)*100+ROW()/100000,"")))))</f>
        <v/>
      </c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8"/>
      <c r="T186" s="27"/>
      <c r="U186" s="27"/>
      <c r="V186" s="27"/>
      <c r="W186" s="27"/>
      <c r="X186" s="28"/>
      <c r="Y186" s="27"/>
      <c r="Z186" s="27"/>
      <c r="AA186" s="27"/>
      <c r="AB186" s="32" t="str">
        <f aca="false">IF($A186="","",IF(COUNTIF('Commercial Evidence'!$A$3:$A$502,$A186)=0,"",IF(COUNTIFS('Commercial Evidence'!$A$3:$A$502,$A186,'Commercial Evidence'!$B$3:$B$502,"Previous CBS Talks spend")+COUNTIFS('Commercial Evidence'!$A$3:$A$502,$A186,'Commercial Evidence'!$B$3:$B$502,"Sponsors student organisations")&gt;0,2,IF(COUNTIFS('Commercial Evidence'!$A$3:$A$502,$A186,'Commercial Evidence'!$B$3:$B$502,"Sponsors university activities")+COUNTIFS('Commercial Evidence'!$A$3:$A$502,$A186,'Commercial Evidence'!$B$3:$B$502,"Sponsors similar events")+COUNTIFS('Commercial Evidence'!$A$3:$A$502,$A186,'Commercial Evidence'!$B$3:$B$502,"Previous CBS Talks partner")&gt;0,1,0))))</f>
        <v/>
      </c>
      <c r="AC186" s="32" t="str">
        <f aca="false">IF($A186="","",IF(COUNT(G186,J186,M186,P186,AB186)&lt;5,"",G186+J186+M186+P186+AB186))</f>
        <v/>
      </c>
      <c r="AD186" s="32" t="str">
        <f aca="false">IF($A186="","",IF(COUNTIFS(Contacts!$A$3:$A$502,$A186,Contacts!$E$3:$E$502,"Champion",Contacts!$K$3:$K$502,"&lt;&gt;Yes",Contacts!$L$3:$L$502,"&lt;&gt;Yes")+COUNTIFS(Opportunities!$A$3:$A$502,$A186,Opportunities!$C$3:$C$502,"Won",Opportunities!$Q$3:$Q$502,"Satisfied")&gt;0,4,IF(COUNTIFS(Interactions!$B$3:$B$502,$A186,Interactions!$I$3:$I$502,"Yes",Interactions!$A$3:$A$502,"&gt;="&amp;(S_Today-S_WarmDays))&gt;0,3,IF(T186&lt;&gt;"",2,IF(COUNTIFS(Contacts!$A$3:$A$502,$A186,Contacts!$M$3:$M$502,"Yes",Contacts!$K$3:$K$502,"&lt;&gt;Yes",Contacts!$L$3:$L$502,"&lt;&gt;Yes")&gt;0,1,0)))))</f>
        <v/>
      </c>
      <c r="AE186" s="32" t="str">
        <f aca="false">IF($A186="","",IF(Z186="Yes","Do not contact",IF(AC186="","Research",IF(AND(AC186&gt;=S_FitHigh,AD186&gt;=S_AccessHigh),"Priority",IF(AC186&gt;=S_FitHigh,"Build a Path",IF(AD186&gt;=S_AccessHigh,"Quick Win","Low Priority"))))))</f>
        <v/>
      </c>
      <c r="AF186" s="33" t="str">
        <f aca="false">IF($A186="","",IF(_xlfn.MAXIFS(Interactions!$A$3:$A$502,Interactions!$B$3:$B$502,$A186)=0,"",_xlfn.MAXIFS(Interactions!$A$3:$A$502,Interactions!$B$3:$B$502,$A186)))</f>
        <v/>
      </c>
      <c r="AG186" s="32" t="str">
        <f aca="false">IF($A186="","",COUNTIFS(Opportunities!$A$3:$A$502,$A186,Opportunities!$X$3:$X$502,"Yes"))</f>
        <v/>
      </c>
      <c r="AH186" s="32" t="str">
        <f aca="false">IF($A186="","",_xlfn.TEXTJOIN(", ",TRUE(),IF(COUNTIF($A$3:$A$502,$A186)&gt;1,"Duplicate name",""),IF(OR(AND(G186=2,I186=""),AND(J186=2,L186=""),AND(M186=2,O186=""),AND(P186=2,R186="")),"Source missing for a 2",""),IF(F186="","No owner",IF(COUNTIFS(R_TeamName,F186,R_TeamActive,"No")&gt;0,"Needs new owner","")),IF(AND(V186="Yes",X186&lt;&gt;"",X186&lt;S_SemStart),"Path overdue",""),IF(AND(S186&lt;&gt;"",S186&lt;S_Today-365),"Stale research",""),IF(AND(AE186="Research",COUNTIF('Commercial Evidence'!$A$3:$A$502,$A186)=0),"Add commercial evidence","")))</f>
        <v/>
      </c>
      <c r="AI186" s="34" t="str">
        <f aca="false">IF(OR($A186="",Z186="Yes"),"",IF(AND(AE186="Priority",AG186=0,COUNTIFS(Opportunities!$A$3:$A$502,$A186,Opportunities!$Y$3:$Y$502,"Renewal due")=0),600000+(10-AC186)*1000+(4-AD186)*100+ROW()/100000,IF(V186="Yes",700000+IF(X186="",0,X186-40000)/10+ROW()/100000,IF(AND(AE186="Quick Win",U186&lt;&gt;"",AG186=0),800000+(10-AC186)*1000+ROW()/100000,IF(AND(AE186="Build a Path",COUNTIF($V$3:$V$502,"Yes")&lt;S_PathCap),900000+(10-AC186)*1000+(4-AD186)*100+ROW()/100000,"")))))</f>
        <v/>
      </c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8"/>
      <c r="T187" s="27"/>
      <c r="U187" s="27"/>
      <c r="V187" s="27"/>
      <c r="W187" s="27"/>
      <c r="X187" s="28"/>
      <c r="Y187" s="27"/>
      <c r="Z187" s="27"/>
      <c r="AA187" s="27"/>
      <c r="AB187" s="32" t="str">
        <f aca="false">IF($A187="","",IF(COUNTIF('Commercial Evidence'!$A$3:$A$502,$A187)=0,"",IF(COUNTIFS('Commercial Evidence'!$A$3:$A$502,$A187,'Commercial Evidence'!$B$3:$B$502,"Previous CBS Talks spend")+COUNTIFS('Commercial Evidence'!$A$3:$A$502,$A187,'Commercial Evidence'!$B$3:$B$502,"Sponsors student organisations")&gt;0,2,IF(COUNTIFS('Commercial Evidence'!$A$3:$A$502,$A187,'Commercial Evidence'!$B$3:$B$502,"Sponsors university activities")+COUNTIFS('Commercial Evidence'!$A$3:$A$502,$A187,'Commercial Evidence'!$B$3:$B$502,"Sponsors similar events")+COUNTIFS('Commercial Evidence'!$A$3:$A$502,$A187,'Commercial Evidence'!$B$3:$B$502,"Previous CBS Talks partner")&gt;0,1,0))))</f>
        <v/>
      </c>
      <c r="AC187" s="32" t="str">
        <f aca="false">IF($A187="","",IF(COUNT(G187,J187,M187,P187,AB187)&lt;5,"",G187+J187+M187+P187+AB187))</f>
        <v/>
      </c>
      <c r="AD187" s="32" t="str">
        <f aca="false">IF($A187="","",IF(COUNTIFS(Contacts!$A$3:$A$502,$A187,Contacts!$E$3:$E$502,"Champion",Contacts!$K$3:$K$502,"&lt;&gt;Yes",Contacts!$L$3:$L$502,"&lt;&gt;Yes")+COUNTIFS(Opportunities!$A$3:$A$502,$A187,Opportunities!$C$3:$C$502,"Won",Opportunities!$Q$3:$Q$502,"Satisfied")&gt;0,4,IF(COUNTIFS(Interactions!$B$3:$B$502,$A187,Interactions!$I$3:$I$502,"Yes",Interactions!$A$3:$A$502,"&gt;="&amp;(S_Today-S_WarmDays))&gt;0,3,IF(T187&lt;&gt;"",2,IF(COUNTIFS(Contacts!$A$3:$A$502,$A187,Contacts!$M$3:$M$502,"Yes",Contacts!$K$3:$K$502,"&lt;&gt;Yes",Contacts!$L$3:$L$502,"&lt;&gt;Yes")&gt;0,1,0)))))</f>
        <v/>
      </c>
      <c r="AE187" s="32" t="str">
        <f aca="false">IF($A187="","",IF(Z187="Yes","Do not contact",IF(AC187="","Research",IF(AND(AC187&gt;=S_FitHigh,AD187&gt;=S_AccessHigh),"Priority",IF(AC187&gt;=S_FitHigh,"Build a Path",IF(AD187&gt;=S_AccessHigh,"Quick Win","Low Priority"))))))</f>
        <v/>
      </c>
      <c r="AF187" s="33" t="str">
        <f aca="false">IF($A187="","",IF(_xlfn.MAXIFS(Interactions!$A$3:$A$502,Interactions!$B$3:$B$502,$A187)=0,"",_xlfn.MAXIFS(Interactions!$A$3:$A$502,Interactions!$B$3:$B$502,$A187)))</f>
        <v/>
      </c>
      <c r="AG187" s="32" t="str">
        <f aca="false">IF($A187="","",COUNTIFS(Opportunities!$A$3:$A$502,$A187,Opportunities!$X$3:$X$502,"Yes"))</f>
        <v/>
      </c>
      <c r="AH187" s="32" t="str">
        <f aca="false">IF($A187="","",_xlfn.TEXTJOIN(", ",TRUE(),IF(COUNTIF($A$3:$A$502,$A187)&gt;1,"Duplicate name",""),IF(OR(AND(G187=2,I187=""),AND(J187=2,L187=""),AND(M187=2,O187=""),AND(P187=2,R187="")),"Source missing for a 2",""),IF(F187="","No owner",IF(COUNTIFS(R_TeamName,F187,R_TeamActive,"No")&gt;0,"Needs new owner","")),IF(AND(V187="Yes",X187&lt;&gt;"",X187&lt;S_SemStart),"Path overdue",""),IF(AND(S187&lt;&gt;"",S187&lt;S_Today-365),"Stale research",""),IF(AND(AE187="Research",COUNTIF('Commercial Evidence'!$A$3:$A$502,$A187)=0),"Add commercial evidence","")))</f>
        <v/>
      </c>
      <c r="AI187" s="34" t="str">
        <f aca="false">IF(OR($A187="",Z187="Yes"),"",IF(AND(AE187="Priority",AG187=0,COUNTIFS(Opportunities!$A$3:$A$502,$A187,Opportunities!$Y$3:$Y$502,"Renewal due")=0),600000+(10-AC187)*1000+(4-AD187)*100+ROW()/100000,IF(V187="Yes",700000+IF(X187="",0,X187-40000)/10+ROW()/100000,IF(AND(AE187="Quick Win",U187&lt;&gt;"",AG187=0),800000+(10-AC187)*1000+ROW()/100000,IF(AND(AE187="Build a Path",COUNTIF($V$3:$V$502,"Yes")&lt;S_PathCap),900000+(10-AC187)*1000+(4-AD187)*100+ROW()/100000,"")))))</f>
        <v/>
      </c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8"/>
      <c r="T188" s="27"/>
      <c r="U188" s="27"/>
      <c r="V188" s="27"/>
      <c r="W188" s="27"/>
      <c r="X188" s="28"/>
      <c r="Y188" s="27"/>
      <c r="Z188" s="27"/>
      <c r="AA188" s="27"/>
      <c r="AB188" s="32" t="str">
        <f aca="false">IF($A188="","",IF(COUNTIF('Commercial Evidence'!$A$3:$A$502,$A188)=0,"",IF(COUNTIFS('Commercial Evidence'!$A$3:$A$502,$A188,'Commercial Evidence'!$B$3:$B$502,"Previous CBS Talks spend")+COUNTIFS('Commercial Evidence'!$A$3:$A$502,$A188,'Commercial Evidence'!$B$3:$B$502,"Sponsors student organisations")&gt;0,2,IF(COUNTIFS('Commercial Evidence'!$A$3:$A$502,$A188,'Commercial Evidence'!$B$3:$B$502,"Sponsors university activities")+COUNTIFS('Commercial Evidence'!$A$3:$A$502,$A188,'Commercial Evidence'!$B$3:$B$502,"Sponsors similar events")+COUNTIFS('Commercial Evidence'!$A$3:$A$502,$A188,'Commercial Evidence'!$B$3:$B$502,"Previous CBS Talks partner")&gt;0,1,0))))</f>
        <v/>
      </c>
      <c r="AC188" s="32" t="str">
        <f aca="false">IF($A188="","",IF(COUNT(G188,J188,M188,P188,AB188)&lt;5,"",G188+J188+M188+P188+AB188))</f>
        <v/>
      </c>
      <c r="AD188" s="32" t="str">
        <f aca="false">IF($A188="","",IF(COUNTIFS(Contacts!$A$3:$A$502,$A188,Contacts!$E$3:$E$502,"Champion",Contacts!$K$3:$K$502,"&lt;&gt;Yes",Contacts!$L$3:$L$502,"&lt;&gt;Yes")+COUNTIFS(Opportunities!$A$3:$A$502,$A188,Opportunities!$C$3:$C$502,"Won",Opportunities!$Q$3:$Q$502,"Satisfied")&gt;0,4,IF(COUNTIFS(Interactions!$B$3:$B$502,$A188,Interactions!$I$3:$I$502,"Yes",Interactions!$A$3:$A$502,"&gt;="&amp;(S_Today-S_WarmDays))&gt;0,3,IF(T188&lt;&gt;"",2,IF(COUNTIFS(Contacts!$A$3:$A$502,$A188,Contacts!$M$3:$M$502,"Yes",Contacts!$K$3:$K$502,"&lt;&gt;Yes",Contacts!$L$3:$L$502,"&lt;&gt;Yes")&gt;0,1,0)))))</f>
        <v/>
      </c>
      <c r="AE188" s="32" t="str">
        <f aca="false">IF($A188="","",IF(Z188="Yes","Do not contact",IF(AC188="","Research",IF(AND(AC188&gt;=S_FitHigh,AD188&gt;=S_AccessHigh),"Priority",IF(AC188&gt;=S_FitHigh,"Build a Path",IF(AD188&gt;=S_AccessHigh,"Quick Win","Low Priority"))))))</f>
        <v/>
      </c>
      <c r="AF188" s="33" t="str">
        <f aca="false">IF($A188="","",IF(_xlfn.MAXIFS(Interactions!$A$3:$A$502,Interactions!$B$3:$B$502,$A188)=0,"",_xlfn.MAXIFS(Interactions!$A$3:$A$502,Interactions!$B$3:$B$502,$A188)))</f>
        <v/>
      </c>
      <c r="AG188" s="32" t="str">
        <f aca="false">IF($A188="","",COUNTIFS(Opportunities!$A$3:$A$502,$A188,Opportunities!$X$3:$X$502,"Yes"))</f>
        <v/>
      </c>
      <c r="AH188" s="32" t="str">
        <f aca="false">IF($A188="","",_xlfn.TEXTJOIN(", ",TRUE(),IF(COUNTIF($A$3:$A$502,$A188)&gt;1,"Duplicate name",""),IF(OR(AND(G188=2,I188=""),AND(J188=2,L188=""),AND(M188=2,O188=""),AND(P188=2,R188="")),"Source missing for a 2",""),IF(F188="","No owner",IF(COUNTIFS(R_TeamName,F188,R_TeamActive,"No")&gt;0,"Needs new owner","")),IF(AND(V188="Yes",X188&lt;&gt;"",X188&lt;S_SemStart),"Path overdue",""),IF(AND(S188&lt;&gt;"",S188&lt;S_Today-365),"Stale research",""),IF(AND(AE188="Research",COUNTIF('Commercial Evidence'!$A$3:$A$502,$A188)=0),"Add commercial evidence","")))</f>
        <v/>
      </c>
      <c r="AI188" s="34" t="str">
        <f aca="false">IF(OR($A188="",Z188="Yes"),"",IF(AND(AE188="Priority",AG188=0,COUNTIFS(Opportunities!$A$3:$A$502,$A188,Opportunities!$Y$3:$Y$502,"Renewal due")=0),600000+(10-AC188)*1000+(4-AD188)*100+ROW()/100000,IF(V188="Yes",700000+IF(X188="",0,X188-40000)/10+ROW()/100000,IF(AND(AE188="Quick Win",U188&lt;&gt;"",AG188=0),800000+(10-AC188)*1000+ROW()/100000,IF(AND(AE188="Build a Path",COUNTIF($V$3:$V$502,"Yes")&lt;S_PathCap),900000+(10-AC188)*1000+(4-AD188)*100+ROW()/100000,"")))))</f>
        <v/>
      </c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8"/>
      <c r="T189" s="27"/>
      <c r="U189" s="27"/>
      <c r="V189" s="27"/>
      <c r="W189" s="27"/>
      <c r="X189" s="28"/>
      <c r="Y189" s="27"/>
      <c r="Z189" s="27"/>
      <c r="AA189" s="27"/>
      <c r="AB189" s="32" t="str">
        <f aca="false">IF($A189="","",IF(COUNTIF('Commercial Evidence'!$A$3:$A$502,$A189)=0,"",IF(COUNTIFS('Commercial Evidence'!$A$3:$A$502,$A189,'Commercial Evidence'!$B$3:$B$502,"Previous CBS Talks spend")+COUNTIFS('Commercial Evidence'!$A$3:$A$502,$A189,'Commercial Evidence'!$B$3:$B$502,"Sponsors student organisations")&gt;0,2,IF(COUNTIFS('Commercial Evidence'!$A$3:$A$502,$A189,'Commercial Evidence'!$B$3:$B$502,"Sponsors university activities")+COUNTIFS('Commercial Evidence'!$A$3:$A$502,$A189,'Commercial Evidence'!$B$3:$B$502,"Sponsors similar events")+COUNTIFS('Commercial Evidence'!$A$3:$A$502,$A189,'Commercial Evidence'!$B$3:$B$502,"Previous CBS Talks partner")&gt;0,1,0))))</f>
        <v/>
      </c>
      <c r="AC189" s="32" t="str">
        <f aca="false">IF($A189="","",IF(COUNT(G189,J189,M189,P189,AB189)&lt;5,"",G189+J189+M189+P189+AB189))</f>
        <v/>
      </c>
      <c r="AD189" s="32" t="str">
        <f aca="false">IF($A189="","",IF(COUNTIFS(Contacts!$A$3:$A$502,$A189,Contacts!$E$3:$E$502,"Champion",Contacts!$K$3:$K$502,"&lt;&gt;Yes",Contacts!$L$3:$L$502,"&lt;&gt;Yes")+COUNTIFS(Opportunities!$A$3:$A$502,$A189,Opportunities!$C$3:$C$502,"Won",Opportunities!$Q$3:$Q$502,"Satisfied")&gt;0,4,IF(COUNTIFS(Interactions!$B$3:$B$502,$A189,Interactions!$I$3:$I$502,"Yes",Interactions!$A$3:$A$502,"&gt;="&amp;(S_Today-S_WarmDays))&gt;0,3,IF(T189&lt;&gt;"",2,IF(COUNTIFS(Contacts!$A$3:$A$502,$A189,Contacts!$M$3:$M$502,"Yes",Contacts!$K$3:$K$502,"&lt;&gt;Yes",Contacts!$L$3:$L$502,"&lt;&gt;Yes")&gt;0,1,0)))))</f>
        <v/>
      </c>
      <c r="AE189" s="32" t="str">
        <f aca="false">IF($A189="","",IF(Z189="Yes","Do not contact",IF(AC189="","Research",IF(AND(AC189&gt;=S_FitHigh,AD189&gt;=S_AccessHigh),"Priority",IF(AC189&gt;=S_FitHigh,"Build a Path",IF(AD189&gt;=S_AccessHigh,"Quick Win","Low Priority"))))))</f>
        <v/>
      </c>
      <c r="AF189" s="33" t="str">
        <f aca="false">IF($A189="","",IF(_xlfn.MAXIFS(Interactions!$A$3:$A$502,Interactions!$B$3:$B$502,$A189)=0,"",_xlfn.MAXIFS(Interactions!$A$3:$A$502,Interactions!$B$3:$B$502,$A189)))</f>
        <v/>
      </c>
      <c r="AG189" s="32" t="str">
        <f aca="false">IF($A189="","",COUNTIFS(Opportunities!$A$3:$A$502,$A189,Opportunities!$X$3:$X$502,"Yes"))</f>
        <v/>
      </c>
      <c r="AH189" s="32" t="str">
        <f aca="false">IF($A189="","",_xlfn.TEXTJOIN(", ",TRUE(),IF(COUNTIF($A$3:$A$502,$A189)&gt;1,"Duplicate name",""),IF(OR(AND(G189=2,I189=""),AND(J189=2,L189=""),AND(M189=2,O189=""),AND(P189=2,R189="")),"Source missing for a 2",""),IF(F189="","No owner",IF(COUNTIFS(R_TeamName,F189,R_TeamActive,"No")&gt;0,"Needs new owner","")),IF(AND(V189="Yes",X189&lt;&gt;"",X189&lt;S_SemStart),"Path overdue",""),IF(AND(S189&lt;&gt;"",S189&lt;S_Today-365),"Stale research",""),IF(AND(AE189="Research",COUNTIF('Commercial Evidence'!$A$3:$A$502,$A189)=0),"Add commercial evidence","")))</f>
        <v/>
      </c>
      <c r="AI189" s="34" t="str">
        <f aca="false">IF(OR($A189="",Z189="Yes"),"",IF(AND(AE189="Priority",AG189=0,COUNTIFS(Opportunities!$A$3:$A$502,$A189,Opportunities!$Y$3:$Y$502,"Renewal due")=0),600000+(10-AC189)*1000+(4-AD189)*100+ROW()/100000,IF(V189="Yes",700000+IF(X189="",0,X189-40000)/10+ROW()/100000,IF(AND(AE189="Quick Win",U189&lt;&gt;"",AG189=0),800000+(10-AC189)*1000+ROW()/100000,IF(AND(AE189="Build a Path",COUNTIF($V$3:$V$502,"Yes")&lt;S_PathCap),900000+(10-AC189)*1000+(4-AD189)*100+ROW()/100000,"")))))</f>
        <v/>
      </c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8"/>
      <c r="T190" s="27"/>
      <c r="U190" s="27"/>
      <c r="V190" s="27"/>
      <c r="W190" s="27"/>
      <c r="X190" s="28"/>
      <c r="Y190" s="27"/>
      <c r="Z190" s="27"/>
      <c r="AA190" s="27"/>
      <c r="AB190" s="32" t="str">
        <f aca="false">IF($A190="","",IF(COUNTIF('Commercial Evidence'!$A$3:$A$502,$A190)=0,"",IF(COUNTIFS('Commercial Evidence'!$A$3:$A$502,$A190,'Commercial Evidence'!$B$3:$B$502,"Previous CBS Talks spend")+COUNTIFS('Commercial Evidence'!$A$3:$A$502,$A190,'Commercial Evidence'!$B$3:$B$502,"Sponsors student organisations")&gt;0,2,IF(COUNTIFS('Commercial Evidence'!$A$3:$A$502,$A190,'Commercial Evidence'!$B$3:$B$502,"Sponsors university activities")+COUNTIFS('Commercial Evidence'!$A$3:$A$502,$A190,'Commercial Evidence'!$B$3:$B$502,"Sponsors similar events")+COUNTIFS('Commercial Evidence'!$A$3:$A$502,$A190,'Commercial Evidence'!$B$3:$B$502,"Previous CBS Talks partner")&gt;0,1,0))))</f>
        <v/>
      </c>
      <c r="AC190" s="32" t="str">
        <f aca="false">IF($A190="","",IF(COUNT(G190,J190,M190,P190,AB190)&lt;5,"",G190+J190+M190+P190+AB190))</f>
        <v/>
      </c>
      <c r="AD190" s="32" t="str">
        <f aca="false">IF($A190="","",IF(COUNTIFS(Contacts!$A$3:$A$502,$A190,Contacts!$E$3:$E$502,"Champion",Contacts!$K$3:$K$502,"&lt;&gt;Yes",Contacts!$L$3:$L$502,"&lt;&gt;Yes")+COUNTIFS(Opportunities!$A$3:$A$502,$A190,Opportunities!$C$3:$C$502,"Won",Opportunities!$Q$3:$Q$502,"Satisfied")&gt;0,4,IF(COUNTIFS(Interactions!$B$3:$B$502,$A190,Interactions!$I$3:$I$502,"Yes",Interactions!$A$3:$A$502,"&gt;="&amp;(S_Today-S_WarmDays))&gt;0,3,IF(T190&lt;&gt;"",2,IF(COUNTIFS(Contacts!$A$3:$A$502,$A190,Contacts!$M$3:$M$502,"Yes",Contacts!$K$3:$K$502,"&lt;&gt;Yes",Contacts!$L$3:$L$502,"&lt;&gt;Yes")&gt;0,1,0)))))</f>
        <v/>
      </c>
      <c r="AE190" s="32" t="str">
        <f aca="false">IF($A190="","",IF(Z190="Yes","Do not contact",IF(AC190="","Research",IF(AND(AC190&gt;=S_FitHigh,AD190&gt;=S_AccessHigh),"Priority",IF(AC190&gt;=S_FitHigh,"Build a Path",IF(AD190&gt;=S_AccessHigh,"Quick Win","Low Priority"))))))</f>
        <v/>
      </c>
      <c r="AF190" s="33" t="str">
        <f aca="false">IF($A190="","",IF(_xlfn.MAXIFS(Interactions!$A$3:$A$502,Interactions!$B$3:$B$502,$A190)=0,"",_xlfn.MAXIFS(Interactions!$A$3:$A$502,Interactions!$B$3:$B$502,$A190)))</f>
        <v/>
      </c>
      <c r="AG190" s="32" t="str">
        <f aca="false">IF($A190="","",COUNTIFS(Opportunities!$A$3:$A$502,$A190,Opportunities!$X$3:$X$502,"Yes"))</f>
        <v/>
      </c>
      <c r="AH190" s="32" t="str">
        <f aca="false">IF($A190="","",_xlfn.TEXTJOIN(", ",TRUE(),IF(COUNTIF($A$3:$A$502,$A190)&gt;1,"Duplicate name",""),IF(OR(AND(G190=2,I190=""),AND(J190=2,L190=""),AND(M190=2,O190=""),AND(P190=2,R190="")),"Source missing for a 2",""),IF(F190="","No owner",IF(COUNTIFS(R_TeamName,F190,R_TeamActive,"No")&gt;0,"Needs new owner","")),IF(AND(V190="Yes",X190&lt;&gt;"",X190&lt;S_SemStart),"Path overdue",""),IF(AND(S190&lt;&gt;"",S190&lt;S_Today-365),"Stale research",""),IF(AND(AE190="Research",COUNTIF('Commercial Evidence'!$A$3:$A$502,$A190)=0),"Add commercial evidence","")))</f>
        <v/>
      </c>
      <c r="AI190" s="34" t="str">
        <f aca="false">IF(OR($A190="",Z190="Yes"),"",IF(AND(AE190="Priority",AG190=0,COUNTIFS(Opportunities!$A$3:$A$502,$A190,Opportunities!$Y$3:$Y$502,"Renewal due")=0),600000+(10-AC190)*1000+(4-AD190)*100+ROW()/100000,IF(V190="Yes",700000+IF(X190="",0,X190-40000)/10+ROW()/100000,IF(AND(AE190="Quick Win",U190&lt;&gt;"",AG190=0),800000+(10-AC190)*1000+ROW()/100000,IF(AND(AE190="Build a Path",COUNTIF($V$3:$V$502,"Yes")&lt;S_PathCap),900000+(10-AC190)*1000+(4-AD190)*100+ROW()/100000,"")))))</f>
        <v/>
      </c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8"/>
      <c r="T191" s="27"/>
      <c r="U191" s="27"/>
      <c r="V191" s="27"/>
      <c r="W191" s="27"/>
      <c r="X191" s="28"/>
      <c r="Y191" s="27"/>
      <c r="Z191" s="27"/>
      <c r="AA191" s="27"/>
      <c r="AB191" s="32" t="str">
        <f aca="false">IF($A191="","",IF(COUNTIF('Commercial Evidence'!$A$3:$A$502,$A191)=0,"",IF(COUNTIFS('Commercial Evidence'!$A$3:$A$502,$A191,'Commercial Evidence'!$B$3:$B$502,"Previous CBS Talks spend")+COUNTIFS('Commercial Evidence'!$A$3:$A$502,$A191,'Commercial Evidence'!$B$3:$B$502,"Sponsors student organisations")&gt;0,2,IF(COUNTIFS('Commercial Evidence'!$A$3:$A$502,$A191,'Commercial Evidence'!$B$3:$B$502,"Sponsors university activities")+COUNTIFS('Commercial Evidence'!$A$3:$A$502,$A191,'Commercial Evidence'!$B$3:$B$502,"Sponsors similar events")+COUNTIFS('Commercial Evidence'!$A$3:$A$502,$A191,'Commercial Evidence'!$B$3:$B$502,"Previous CBS Talks partner")&gt;0,1,0))))</f>
        <v/>
      </c>
      <c r="AC191" s="32" t="str">
        <f aca="false">IF($A191="","",IF(COUNT(G191,J191,M191,P191,AB191)&lt;5,"",G191+J191+M191+P191+AB191))</f>
        <v/>
      </c>
      <c r="AD191" s="32" t="str">
        <f aca="false">IF($A191="","",IF(COUNTIFS(Contacts!$A$3:$A$502,$A191,Contacts!$E$3:$E$502,"Champion",Contacts!$K$3:$K$502,"&lt;&gt;Yes",Contacts!$L$3:$L$502,"&lt;&gt;Yes")+COUNTIFS(Opportunities!$A$3:$A$502,$A191,Opportunities!$C$3:$C$502,"Won",Opportunities!$Q$3:$Q$502,"Satisfied")&gt;0,4,IF(COUNTIFS(Interactions!$B$3:$B$502,$A191,Interactions!$I$3:$I$502,"Yes",Interactions!$A$3:$A$502,"&gt;="&amp;(S_Today-S_WarmDays))&gt;0,3,IF(T191&lt;&gt;"",2,IF(COUNTIFS(Contacts!$A$3:$A$502,$A191,Contacts!$M$3:$M$502,"Yes",Contacts!$K$3:$K$502,"&lt;&gt;Yes",Contacts!$L$3:$L$502,"&lt;&gt;Yes")&gt;0,1,0)))))</f>
        <v/>
      </c>
      <c r="AE191" s="32" t="str">
        <f aca="false">IF($A191="","",IF(Z191="Yes","Do not contact",IF(AC191="","Research",IF(AND(AC191&gt;=S_FitHigh,AD191&gt;=S_AccessHigh),"Priority",IF(AC191&gt;=S_FitHigh,"Build a Path",IF(AD191&gt;=S_AccessHigh,"Quick Win","Low Priority"))))))</f>
        <v/>
      </c>
      <c r="AF191" s="33" t="str">
        <f aca="false">IF($A191="","",IF(_xlfn.MAXIFS(Interactions!$A$3:$A$502,Interactions!$B$3:$B$502,$A191)=0,"",_xlfn.MAXIFS(Interactions!$A$3:$A$502,Interactions!$B$3:$B$502,$A191)))</f>
        <v/>
      </c>
      <c r="AG191" s="32" t="str">
        <f aca="false">IF($A191="","",COUNTIFS(Opportunities!$A$3:$A$502,$A191,Opportunities!$X$3:$X$502,"Yes"))</f>
        <v/>
      </c>
      <c r="AH191" s="32" t="str">
        <f aca="false">IF($A191="","",_xlfn.TEXTJOIN(", ",TRUE(),IF(COUNTIF($A$3:$A$502,$A191)&gt;1,"Duplicate name",""),IF(OR(AND(G191=2,I191=""),AND(J191=2,L191=""),AND(M191=2,O191=""),AND(P191=2,R191="")),"Source missing for a 2",""),IF(F191="","No owner",IF(COUNTIFS(R_TeamName,F191,R_TeamActive,"No")&gt;0,"Needs new owner","")),IF(AND(V191="Yes",X191&lt;&gt;"",X191&lt;S_SemStart),"Path overdue",""),IF(AND(S191&lt;&gt;"",S191&lt;S_Today-365),"Stale research",""),IF(AND(AE191="Research",COUNTIF('Commercial Evidence'!$A$3:$A$502,$A191)=0),"Add commercial evidence","")))</f>
        <v/>
      </c>
      <c r="AI191" s="34" t="str">
        <f aca="false">IF(OR($A191="",Z191="Yes"),"",IF(AND(AE191="Priority",AG191=0,COUNTIFS(Opportunities!$A$3:$A$502,$A191,Opportunities!$Y$3:$Y$502,"Renewal due")=0),600000+(10-AC191)*1000+(4-AD191)*100+ROW()/100000,IF(V191="Yes",700000+IF(X191="",0,X191-40000)/10+ROW()/100000,IF(AND(AE191="Quick Win",U191&lt;&gt;"",AG191=0),800000+(10-AC191)*1000+ROW()/100000,IF(AND(AE191="Build a Path",COUNTIF($V$3:$V$502,"Yes")&lt;S_PathCap),900000+(10-AC191)*1000+(4-AD191)*100+ROW()/100000,"")))))</f>
        <v/>
      </c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8"/>
      <c r="T192" s="27"/>
      <c r="U192" s="27"/>
      <c r="V192" s="27"/>
      <c r="W192" s="27"/>
      <c r="X192" s="28"/>
      <c r="Y192" s="27"/>
      <c r="Z192" s="27"/>
      <c r="AA192" s="27"/>
      <c r="AB192" s="32" t="str">
        <f aca="false">IF($A192="","",IF(COUNTIF('Commercial Evidence'!$A$3:$A$502,$A192)=0,"",IF(COUNTIFS('Commercial Evidence'!$A$3:$A$502,$A192,'Commercial Evidence'!$B$3:$B$502,"Previous CBS Talks spend")+COUNTIFS('Commercial Evidence'!$A$3:$A$502,$A192,'Commercial Evidence'!$B$3:$B$502,"Sponsors student organisations")&gt;0,2,IF(COUNTIFS('Commercial Evidence'!$A$3:$A$502,$A192,'Commercial Evidence'!$B$3:$B$502,"Sponsors university activities")+COUNTIFS('Commercial Evidence'!$A$3:$A$502,$A192,'Commercial Evidence'!$B$3:$B$502,"Sponsors similar events")+COUNTIFS('Commercial Evidence'!$A$3:$A$502,$A192,'Commercial Evidence'!$B$3:$B$502,"Previous CBS Talks partner")&gt;0,1,0))))</f>
        <v/>
      </c>
      <c r="AC192" s="32" t="str">
        <f aca="false">IF($A192="","",IF(COUNT(G192,J192,M192,P192,AB192)&lt;5,"",G192+J192+M192+P192+AB192))</f>
        <v/>
      </c>
      <c r="AD192" s="32" t="str">
        <f aca="false">IF($A192="","",IF(COUNTIFS(Contacts!$A$3:$A$502,$A192,Contacts!$E$3:$E$502,"Champion",Contacts!$K$3:$K$502,"&lt;&gt;Yes",Contacts!$L$3:$L$502,"&lt;&gt;Yes")+COUNTIFS(Opportunities!$A$3:$A$502,$A192,Opportunities!$C$3:$C$502,"Won",Opportunities!$Q$3:$Q$502,"Satisfied")&gt;0,4,IF(COUNTIFS(Interactions!$B$3:$B$502,$A192,Interactions!$I$3:$I$502,"Yes",Interactions!$A$3:$A$502,"&gt;="&amp;(S_Today-S_WarmDays))&gt;0,3,IF(T192&lt;&gt;"",2,IF(COUNTIFS(Contacts!$A$3:$A$502,$A192,Contacts!$M$3:$M$502,"Yes",Contacts!$K$3:$K$502,"&lt;&gt;Yes",Contacts!$L$3:$L$502,"&lt;&gt;Yes")&gt;0,1,0)))))</f>
        <v/>
      </c>
      <c r="AE192" s="32" t="str">
        <f aca="false">IF($A192="","",IF(Z192="Yes","Do not contact",IF(AC192="","Research",IF(AND(AC192&gt;=S_FitHigh,AD192&gt;=S_AccessHigh),"Priority",IF(AC192&gt;=S_FitHigh,"Build a Path",IF(AD192&gt;=S_AccessHigh,"Quick Win","Low Priority"))))))</f>
        <v/>
      </c>
      <c r="AF192" s="33" t="str">
        <f aca="false">IF($A192="","",IF(_xlfn.MAXIFS(Interactions!$A$3:$A$502,Interactions!$B$3:$B$502,$A192)=0,"",_xlfn.MAXIFS(Interactions!$A$3:$A$502,Interactions!$B$3:$B$502,$A192)))</f>
        <v/>
      </c>
      <c r="AG192" s="32" t="str">
        <f aca="false">IF($A192="","",COUNTIFS(Opportunities!$A$3:$A$502,$A192,Opportunities!$X$3:$X$502,"Yes"))</f>
        <v/>
      </c>
      <c r="AH192" s="32" t="str">
        <f aca="false">IF($A192="","",_xlfn.TEXTJOIN(", ",TRUE(),IF(COUNTIF($A$3:$A$502,$A192)&gt;1,"Duplicate name",""),IF(OR(AND(G192=2,I192=""),AND(J192=2,L192=""),AND(M192=2,O192=""),AND(P192=2,R192="")),"Source missing for a 2",""),IF(F192="","No owner",IF(COUNTIFS(R_TeamName,F192,R_TeamActive,"No")&gt;0,"Needs new owner","")),IF(AND(V192="Yes",X192&lt;&gt;"",X192&lt;S_SemStart),"Path overdue",""),IF(AND(S192&lt;&gt;"",S192&lt;S_Today-365),"Stale research",""),IF(AND(AE192="Research",COUNTIF('Commercial Evidence'!$A$3:$A$502,$A192)=0),"Add commercial evidence","")))</f>
        <v/>
      </c>
      <c r="AI192" s="34" t="str">
        <f aca="false">IF(OR($A192="",Z192="Yes"),"",IF(AND(AE192="Priority",AG192=0,COUNTIFS(Opportunities!$A$3:$A$502,$A192,Opportunities!$Y$3:$Y$502,"Renewal due")=0),600000+(10-AC192)*1000+(4-AD192)*100+ROW()/100000,IF(V192="Yes",700000+IF(X192="",0,X192-40000)/10+ROW()/100000,IF(AND(AE192="Quick Win",U192&lt;&gt;"",AG192=0),800000+(10-AC192)*1000+ROW()/100000,IF(AND(AE192="Build a Path",COUNTIF($V$3:$V$502,"Yes")&lt;S_PathCap),900000+(10-AC192)*1000+(4-AD192)*100+ROW()/100000,"")))))</f>
        <v/>
      </c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8"/>
      <c r="T193" s="27"/>
      <c r="U193" s="27"/>
      <c r="V193" s="27"/>
      <c r="W193" s="27"/>
      <c r="X193" s="28"/>
      <c r="Y193" s="27"/>
      <c r="Z193" s="27"/>
      <c r="AA193" s="27"/>
      <c r="AB193" s="32" t="str">
        <f aca="false">IF($A193="","",IF(COUNTIF('Commercial Evidence'!$A$3:$A$502,$A193)=0,"",IF(COUNTIFS('Commercial Evidence'!$A$3:$A$502,$A193,'Commercial Evidence'!$B$3:$B$502,"Previous CBS Talks spend")+COUNTIFS('Commercial Evidence'!$A$3:$A$502,$A193,'Commercial Evidence'!$B$3:$B$502,"Sponsors student organisations")&gt;0,2,IF(COUNTIFS('Commercial Evidence'!$A$3:$A$502,$A193,'Commercial Evidence'!$B$3:$B$502,"Sponsors university activities")+COUNTIFS('Commercial Evidence'!$A$3:$A$502,$A193,'Commercial Evidence'!$B$3:$B$502,"Sponsors similar events")+COUNTIFS('Commercial Evidence'!$A$3:$A$502,$A193,'Commercial Evidence'!$B$3:$B$502,"Previous CBS Talks partner")&gt;0,1,0))))</f>
        <v/>
      </c>
      <c r="AC193" s="32" t="str">
        <f aca="false">IF($A193="","",IF(COUNT(G193,J193,M193,P193,AB193)&lt;5,"",G193+J193+M193+P193+AB193))</f>
        <v/>
      </c>
      <c r="AD193" s="32" t="str">
        <f aca="false">IF($A193="","",IF(COUNTIFS(Contacts!$A$3:$A$502,$A193,Contacts!$E$3:$E$502,"Champion",Contacts!$K$3:$K$502,"&lt;&gt;Yes",Contacts!$L$3:$L$502,"&lt;&gt;Yes")+COUNTIFS(Opportunities!$A$3:$A$502,$A193,Opportunities!$C$3:$C$502,"Won",Opportunities!$Q$3:$Q$502,"Satisfied")&gt;0,4,IF(COUNTIFS(Interactions!$B$3:$B$502,$A193,Interactions!$I$3:$I$502,"Yes",Interactions!$A$3:$A$502,"&gt;="&amp;(S_Today-S_WarmDays))&gt;0,3,IF(T193&lt;&gt;"",2,IF(COUNTIFS(Contacts!$A$3:$A$502,$A193,Contacts!$M$3:$M$502,"Yes",Contacts!$K$3:$K$502,"&lt;&gt;Yes",Contacts!$L$3:$L$502,"&lt;&gt;Yes")&gt;0,1,0)))))</f>
        <v/>
      </c>
      <c r="AE193" s="32" t="str">
        <f aca="false">IF($A193="","",IF(Z193="Yes","Do not contact",IF(AC193="","Research",IF(AND(AC193&gt;=S_FitHigh,AD193&gt;=S_AccessHigh),"Priority",IF(AC193&gt;=S_FitHigh,"Build a Path",IF(AD193&gt;=S_AccessHigh,"Quick Win","Low Priority"))))))</f>
        <v/>
      </c>
      <c r="AF193" s="33" t="str">
        <f aca="false">IF($A193="","",IF(_xlfn.MAXIFS(Interactions!$A$3:$A$502,Interactions!$B$3:$B$502,$A193)=0,"",_xlfn.MAXIFS(Interactions!$A$3:$A$502,Interactions!$B$3:$B$502,$A193)))</f>
        <v/>
      </c>
      <c r="AG193" s="32" t="str">
        <f aca="false">IF($A193="","",COUNTIFS(Opportunities!$A$3:$A$502,$A193,Opportunities!$X$3:$X$502,"Yes"))</f>
        <v/>
      </c>
      <c r="AH193" s="32" t="str">
        <f aca="false">IF($A193="","",_xlfn.TEXTJOIN(", ",TRUE(),IF(COUNTIF($A$3:$A$502,$A193)&gt;1,"Duplicate name",""),IF(OR(AND(G193=2,I193=""),AND(J193=2,L193=""),AND(M193=2,O193=""),AND(P193=2,R193="")),"Source missing for a 2",""),IF(F193="","No owner",IF(COUNTIFS(R_TeamName,F193,R_TeamActive,"No")&gt;0,"Needs new owner","")),IF(AND(V193="Yes",X193&lt;&gt;"",X193&lt;S_SemStart),"Path overdue",""),IF(AND(S193&lt;&gt;"",S193&lt;S_Today-365),"Stale research",""),IF(AND(AE193="Research",COUNTIF('Commercial Evidence'!$A$3:$A$502,$A193)=0),"Add commercial evidence","")))</f>
        <v/>
      </c>
      <c r="AI193" s="34" t="str">
        <f aca="false">IF(OR($A193="",Z193="Yes"),"",IF(AND(AE193="Priority",AG193=0,COUNTIFS(Opportunities!$A$3:$A$502,$A193,Opportunities!$Y$3:$Y$502,"Renewal due")=0),600000+(10-AC193)*1000+(4-AD193)*100+ROW()/100000,IF(V193="Yes",700000+IF(X193="",0,X193-40000)/10+ROW()/100000,IF(AND(AE193="Quick Win",U193&lt;&gt;"",AG193=0),800000+(10-AC193)*1000+ROW()/100000,IF(AND(AE193="Build a Path",COUNTIF($V$3:$V$502,"Yes")&lt;S_PathCap),900000+(10-AC193)*1000+(4-AD193)*100+ROW()/100000,"")))))</f>
        <v/>
      </c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8"/>
      <c r="T194" s="27"/>
      <c r="U194" s="27"/>
      <c r="V194" s="27"/>
      <c r="W194" s="27"/>
      <c r="X194" s="28"/>
      <c r="Y194" s="27"/>
      <c r="Z194" s="27"/>
      <c r="AA194" s="27"/>
      <c r="AB194" s="32" t="str">
        <f aca="false">IF($A194="","",IF(COUNTIF('Commercial Evidence'!$A$3:$A$502,$A194)=0,"",IF(COUNTIFS('Commercial Evidence'!$A$3:$A$502,$A194,'Commercial Evidence'!$B$3:$B$502,"Previous CBS Talks spend")+COUNTIFS('Commercial Evidence'!$A$3:$A$502,$A194,'Commercial Evidence'!$B$3:$B$502,"Sponsors student organisations")&gt;0,2,IF(COUNTIFS('Commercial Evidence'!$A$3:$A$502,$A194,'Commercial Evidence'!$B$3:$B$502,"Sponsors university activities")+COUNTIFS('Commercial Evidence'!$A$3:$A$502,$A194,'Commercial Evidence'!$B$3:$B$502,"Sponsors similar events")+COUNTIFS('Commercial Evidence'!$A$3:$A$502,$A194,'Commercial Evidence'!$B$3:$B$502,"Previous CBS Talks partner")&gt;0,1,0))))</f>
        <v/>
      </c>
      <c r="AC194" s="32" t="str">
        <f aca="false">IF($A194="","",IF(COUNT(G194,J194,M194,P194,AB194)&lt;5,"",G194+J194+M194+P194+AB194))</f>
        <v/>
      </c>
      <c r="AD194" s="32" t="str">
        <f aca="false">IF($A194="","",IF(COUNTIFS(Contacts!$A$3:$A$502,$A194,Contacts!$E$3:$E$502,"Champion",Contacts!$K$3:$K$502,"&lt;&gt;Yes",Contacts!$L$3:$L$502,"&lt;&gt;Yes")+COUNTIFS(Opportunities!$A$3:$A$502,$A194,Opportunities!$C$3:$C$502,"Won",Opportunities!$Q$3:$Q$502,"Satisfied")&gt;0,4,IF(COUNTIFS(Interactions!$B$3:$B$502,$A194,Interactions!$I$3:$I$502,"Yes",Interactions!$A$3:$A$502,"&gt;="&amp;(S_Today-S_WarmDays))&gt;0,3,IF(T194&lt;&gt;"",2,IF(COUNTIFS(Contacts!$A$3:$A$502,$A194,Contacts!$M$3:$M$502,"Yes",Contacts!$K$3:$K$502,"&lt;&gt;Yes",Contacts!$L$3:$L$502,"&lt;&gt;Yes")&gt;0,1,0)))))</f>
        <v/>
      </c>
      <c r="AE194" s="32" t="str">
        <f aca="false">IF($A194="","",IF(Z194="Yes","Do not contact",IF(AC194="","Research",IF(AND(AC194&gt;=S_FitHigh,AD194&gt;=S_AccessHigh),"Priority",IF(AC194&gt;=S_FitHigh,"Build a Path",IF(AD194&gt;=S_AccessHigh,"Quick Win","Low Priority"))))))</f>
        <v/>
      </c>
      <c r="AF194" s="33" t="str">
        <f aca="false">IF($A194="","",IF(_xlfn.MAXIFS(Interactions!$A$3:$A$502,Interactions!$B$3:$B$502,$A194)=0,"",_xlfn.MAXIFS(Interactions!$A$3:$A$502,Interactions!$B$3:$B$502,$A194)))</f>
        <v/>
      </c>
      <c r="AG194" s="32" t="str">
        <f aca="false">IF($A194="","",COUNTIFS(Opportunities!$A$3:$A$502,$A194,Opportunities!$X$3:$X$502,"Yes"))</f>
        <v/>
      </c>
      <c r="AH194" s="32" t="str">
        <f aca="false">IF($A194="","",_xlfn.TEXTJOIN(", ",TRUE(),IF(COUNTIF($A$3:$A$502,$A194)&gt;1,"Duplicate name",""),IF(OR(AND(G194=2,I194=""),AND(J194=2,L194=""),AND(M194=2,O194=""),AND(P194=2,R194="")),"Source missing for a 2",""),IF(F194="","No owner",IF(COUNTIFS(R_TeamName,F194,R_TeamActive,"No")&gt;0,"Needs new owner","")),IF(AND(V194="Yes",X194&lt;&gt;"",X194&lt;S_SemStart),"Path overdue",""),IF(AND(S194&lt;&gt;"",S194&lt;S_Today-365),"Stale research",""),IF(AND(AE194="Research",COUNTIF('Commercial Evidence'!$A$3:$A$502,$A194)=0),"Add commercial evidence","")))</f>
        <v/>
      </c>
      <c r="AI194" s="34" t="str">
        <f aca="false">IF(OR($A194="",Z194="Yes"),"",IF(AND(AE194="Priority",AG194=0,COUNTIFS(Opportunities!$A$3:$A$502,$A194,Opportunities!$Y$3:$Y$502,"Renewal due")=0),600000+(10-AC194)*1000+(4-AD194)*100+ROW()/100000,IF(V194="Yes",700000+IF(X194="",0,X194-40000)/10+ROW()/100000,IF(AND(AE194="Quick Win",U194&lt;&gt;"",AG194=0),800000+(10-AC194)*1000+ROW()/100000,IF(AND(AE194="Build a Path",COUNTIF($V$3:$V$502,"Yes")&lt;S_PathCap),900000+(10-AC194)*1000+(4-AD194)*100+ROW()/100000,"")))))</f>
        <v/>
      </c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8"/>
      <c r="T195" s="27"/>
      <c r="U195" s="27"/>
      <c r="V195" s="27"/>
      <c r="W195" s="27"/>
      <c r="X195" s="28"/>
      <c r="Y195" s="27"/>
      <c r="Z195" s="27"/>
      <c r="AA195" s="27"/>
      <c r="AB195" s="32" t="str">
        <f aca="false">IF($A195="","",IF(COUNTIF('Commercial Evidence'!$A$3:$A$502,$A195)=0,"",IF(COUNTIFS('Commercial Evidence'!$A$3:$A$502,$A195,'Commercial Evidence'!$B$3:$B$502,"Previous CBS Talks spend")+COUNTIFS('Commercial Evidence'!$A$3:$A$502,$A195,'Commercial Evidence'!$B$3:$B$502,"Sponsors student organisations")&gt;0,2,IF(COUNTIFS('Commercial Evidence'!$A$3:$A$502,$A195,'Commercial Evidence'!$B$3:$B$502,"Sponsors university activities")+COUNTIFS('Commercial Evidence'!$A$3:$A$502,$A195,'Commercial Evidence'!$B$3:$B$502,"Sponsors similar events")+COUNTIFS('Commercial Evidence'!$A$3:$A$502,$A195,'Commercial Evidence'!$B$3:$B$502,"Previous CBS Talks partner")&gt;0,1,0))))</f>
        <v/>
      </c>
      <c r="AC195" s="32" t="str">
        <f aca="false">IF($A195="","",IF(COUNT(G195,J195,M195,P195,AB195)&lt;5,"",G195+J195+M195+P195+AB195))</f>
        <v/>
      </c>
      <c r="AD195" s="32" t="str">
        <f aca="false">IF($A195="","",IF(COUNTIFS(Contacts!$A$3:$A$502,$A195,Contacts!$E$3:$E$502,"Champion",Contacts!$K$3:$K$502,"&lt;&gt;Yes",Contacts!$L$3:$L$502,"&lt;&gt;Yes")+COUNTIFS(Opportunities!$A$3:$A$502,$A195,Opportunities!$C$3:$C$502,"Won",Opportunities!$Q$3:$Q$502,"Satisfied")&gt;0,4,IF(COUNTIFS(Interactions!$B$3:$B$502,$A195,Interactions!$I$3:$I$502,"Yes",Interactions!$A$3:$A$502,"&gt;="&amp;(S_Today-S_WarmDays))&gt;0,3,IF(T195&lt;&gt;"",2,IF(COUNTIFS(Contacts!$A$3:$A$502,$A195,Contacts!$M$3:$M$502,"Yes",Contacts!$K$3:$K$502,"&lt;&gt;Yes",Contacts!$L$3:$L$502,"&lt;&gt;Yes")&gt;0,1,0)))))</f>
        <v/>
      </c>
      <c r="AE195" s="32" t="str">
        <f aca="false">IF($A195="","",IF(Z195="Yes","Do not contact",IF(AC195="","Research",IF(AND(AC195&gt;=S_FitHigh,AD195&gt;=S_AccessHigh),"Priority",IF(AC195&gt;=S_FitHigh,"Build a Path",IF(AD195&gt;=S_AccessHigh,"Quick Win","Low Priority"))))))</f>
        <v/>
      </c>
      <c r="AF195" s="33" t="str">
        <f aca="false">IF($A195="","",IF(_xlfn.MAXIFS(Interactions!$A$3:$A$502,Interactions!$B$3:$B$502,$A195)=0,"",_xlfn.MAXIFS(Interactions!$A$3:$A$502,Interactions!$B$3:$B$502,$A195)))</f>
        <v/>
      </c>
      <c r="AG195" s="32" t="str">
        <f aca="false">IF($A195="","",COUNTIFS(Opportunities!$A$3:$A$502,$A195,Opportunities!$X$3:$X$502,"Yes"))</f>
        <v/>
      </c>
      <c r="AH195" s="32" t="str">
        <f aca="false">IF($A195="","",_xlfn.TEXTJOIN(", ",TRUE(),IF(COUNTIF($A$3:$A$502,$A195)&gt;1,"Duplicate name",""),IF(OR(AND(G195=2,I195=""),AND(J195=2,L195=""),AND(M195=2,O195=""),AND(P195=2,R195="")),"Source missing for a 2",""),IF(F195="","No owner",IF(COUNTIFS(R_TeamName,F195,R_TeamActive,"No")&gt;0,"Needs new owner","")),IF(AND(V195="Yes",X195&lt;&gt;"",X195&lt;S_SemStart),"Path overdue",""),IF(AND(S195&lt;&gt;"",S195&lt;S_Today-365),"Stale research",""),IF(AND(AE195="Research",COUNTIF('Commercial Evidence'!$A$3:$A$502,$A195)=0),"Add commercial evidence","")))</f>
        <v/>
      </c>
      <c r="AI195" s="34" t="str">
        <f aca="false">IF(OR($A195="",Z195="Yes"),"",IF(AND(AE195="Priority",AG195=0,COUNTIFS(Opportunities!$A$3:$A$502,$A195,Opportunities!$Y$3:$Y$502,"Renewal due")=0),600000+(10-AC195)*1000+(4-AD195)*100+ROW()/100000,IF(V195="Yes",700000+IF(X195="",0,X195-40000)/10+ROW()/100000,IF(AND(AE195="Quick Win",U195&lt;&gt;"",AG195=0),800000+(10-AC195)*1000+ROW()/100000,IF(AND(AE195="Build a Path",COUNTIF($V$3:$V$502,"Yes")&lt;S_PathCap),900000+(10-AC195)*1000+(4-AD195)*100+ROW()/100000,"")))))</f>
        <v/>
      </c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8"/>
      <c r="T196" s="27"/>
      <c r="U196" s="27"/>
      <c r="V196" s="27"/>
      <c r="W196" s="27"/>
      <c r="X196" s="28"/>
      <c r="Y196" s="27"/>
      <c r="Z196" s="27"/>
      <c r="AA196" s="27"/>
      <c r="AB196" s="32" t="str">
        <f aca="false">IF($A196="","",IF(COUNTIF('Commercial Evidence'!$A$3:$A$502,$A196)=0,"",IF(COUNTIFS('Commercial Evidence'!$A$3:$A$502,$A196,'Commercial Evidence'!$B$3:$B$502,"Previous CBS Talks spend")+COUNTIFS('Commercial Evidence'!$A$3:$A$502,$A196,'Commercial Evidence'!$B$3:$B$502,"Sponsors student organisations")&gt;0,2,IF(COUNTIFS('Commercial Evidence'!$A$3:$A$502,$A196,'Commercial Evidence'!$B$3:$B$502,"Sponsors university activities")+COUNTIFS('Commercial Evidence'!$A$3:$A$502,$A196,'Commercial Evidence'!$B$3:$B$502,"Sponsors similar events")+COUNTIFS('Commercial Evidence'!$A$3:$A$502,$A196,'Commercial Evidence'!$B$3:$B$502,"Previous CBS Talks partner")&gt;0,1,0))))</f>
        <v/>
      </c>
      <c r="AC196" s="32" t="str">
        <f aca="false">IF($A196="","",IF(COUNT(G196,J196,M196,P196,AB196)&lt;5,"",G196+J196+M196+P196+AB196))</f>
        <v/>
      </c>
      <c r="AD196" s="32" t="str">
        <f aca="false">IF($A196="","",IF(COUNTIFS(Contacts!$A$3:$A$502,$A196,Contacts!$E$3:$E$502,"Champion",Contacts!$K$3:$K$502,"&lt;&gt;Yes",Contacts!$L$3:$L$502,"&lt;&gt;Yes")+COUNTIFS(Opportunities!$A$3:$A$502,$A196,Opportunities!$C$3:$C$502,"Won",Opportunities!$Q$3:$Q$502,"Satisfied")&gt;0,4,IF(COUNTIFS(Interactions!$B$3:$B$502,$A196,Interactions!$I$3:$I$502,"Yes",Interactions!$A$3:$A$502,"&gt;="&amp;(S_Today-S_WarmDays))&gt;0,3,IF(T196&lt;&gt;"",2,IF(COUNTIFS(Contacts!$A$3:$A$502,$A196,Contacts!$M$3:$M$502,"Yes",Contacts!$K$3:$K$502,"&lt;&gt;Yes",Contacts!$L$3:$L$502,"&lt;&gt;Yes")&gt;0,1,0)))))</f>
        <v/>
      </c>
      <c r="AE196" s="32" t="str">
        <f aca="false">IF($A196="","",IF(Z196="Yes","Do not contact",IF(AC196="","Research",IF(AND(AC196&gt;=S_FitHigh,AD196&gt;=S_AccessHigh),"Priority",IF(AC196&gt;=S_FitHigh,"Build a Path",IF(AD196&gt;=S_AccessHigh,"Quick Win","Low Priority"))))))</f>
        <v/>
      </c>
      <c r="AF196" s="33" t="str">
        <f aca="false">IF($A196="","",IF(_xlfn.MAXIFS(Interactions!$A$3:$A$502,Interactions!$B$3:$B$502,$A196)=0,"",_xlfn.MAXIFS(Interactions!$A$3:$A$502,Interactions!$B$3:$B$502,$A196)))</f>
        <v/>
      </c>
      <c r="AG196" s="32" t="str">
        <f aca="false">IF($A196="","",COUNTIFS(Opportunities!$A$3:$A$502,$A196,Opportunities!$X$3:$X$502,"Yes"))</f>
        <v/>
      </c>
      <c r="AH196" s="32" t="str">
        <f aca="false">IF($A196="","",_xlfn.TEXTJOIN(", ",TRUE(),IF(COUNTIF($A$3:$A$502,$A196)&gt;1,"Duplicate name",""),IF(OR(AND(G196=2,I196=""),AND(J196=2,L196=""),AND(M196=2,O196=""),AND(P196=2,R196="")),"Source missing for a 2",""),IF(F196="","No owner",IF(COUNTIFS(R_TeamName,F196,R_TeamActive,"No")&gt;0,"Needs new owner","")),IF(AND(V196="Yes",X196&lt;&gt;"",X196&lt;S_SemStart),"Path overdue",""),IF(AND(S196&lt;&gt;"",S196&lt;S_Today-365),"Stale research",""),IF(AND(AE196="Research",COUNTIF('Commercial Evidence'!$A$3:$A$502,$A196)=0),"Add commercial evidence","")))</f>
        <v/>
      </c>
      <c r="AI196" s="34" t="str">
        <f aca="false">IF(OR($A196="",Z196="Yes"),"",IF(AND(AE196="Priority",AG196=0,COUNTIFS(Opportunities!$A$3:$A$502,$A196,Opportunities!$Y$3:$Y$502,"Renewal due")=0),600000+(10-AC196)*1000+(4-AD196)*100+ROW()/100000,IF(V196="Yes",700000+IF(X196="",0,X196-40000)/10+ROW()/100000,IF(AND(AE196="Quick Win",U196&lt;&gt;"",AG196=0),800000+(10-AC196)*1000+ROW()/100000,IF(AND(AE196="Build a Path",COUNTIF($V$3:$V$502,"Yes")&lt;S_PathCap),900000+(10-AC196)*1000+(4-AD196)*100+ROW()/100000,"")))))</f>
        <v/>
      </c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8"/>
      <c r="T197" s="27"/>
      <c r="U197" s="27"/>
      <c r="V197" s="27"/>
      <c r="W197" s="27"/>
      <c r="X197" s="28"/>
      <c r="Y197" s="27"/>
      <c r="Z197" s="27"/>
      <c r="AA197" s="27"/>
      <c r="AB197" s="32" t="str">
        <f aca="false">IF($A197="","",IF(COUNTIF('Commercial Evidence'!$A$3:$A$502,$A197)=0,"",IF(COUNTIFS('Commercial Evidence'!$A$3:$A$502,$A197,'Commercial Evidence'!$B$3:$B$502,"Previous CBS Talks spend")+COUNTIFS('Commercial Evidence'!$A$3:$A$502,$A197,'Commercial Evidence'!$B$3:$B$502,"Sponsors student organisations")&gt;0,2,IF(COUNTIFS('Commercial Evidence'!$A$3:$A$502,$A197,'Commercial Evidence'!$B$3:$B$502,"Sponsors university activities")+COUNTIFS('Commercial Evidence'!$A$3:$A$502,$A197,'Commercial Evidence'!$B$3:$B$502,"Sponsors similar events")+COUNTIFS('Commercial Evidence'!$A$3:$A$502,$A197,'Commercial Evidence'!$B$3:$B$502,"Previous CBS Talks partner")&gt;0,1,0))))</f>
        <v/>
      </c>
      <c r="AC197" s="32" t="str">
        <f aca="false">IF($A197="","",IF(COUNT(G197,J197,M197,P197,AB197)&lt;5,"",G197+J197+M197+P197+AB197))</f>
        <v/>
      </c>
      <c r="AD197" s="32" t="str">
        <f aca="false">IF($A197="","",IF(COUNTIFS(Contacts!$A$3:$A$502,$A197,Contacts!$E$3:$E$502,"Champion",Contacts!$K$3:$K$502,"&lt;&gt;Yes",Contacts!$L$3:$L$502,"&lt;&gt;Yes")+COUNTIFS(Opportunities!$A$3:$A$502,$A197,Opportunities!$C$3:$C$502,"Won",Opportunities!$Q$3:$Q$502,"Satisfied")&gt;0,4,IF(COUNTIFS(Interactions!$B$3:$B$502,$A197,Interactions!$I$3:$I$502,"Yes",Interactions!$A$3:$A$502,"&gt;="&amp;(S_Today-S_WarmDays))&gt;0,3,IF(T197&lt;&gt;"",2,IF(COUNTIFS(Contacts!$A$3:$A$502,$A197,Contacts!$M$3:$M$502,"Yes",Contacts!$K$3:$K$502,"&lt;&gt;Yes",Contacts!$L$3:$L$502,"&lt;&gt;Yes")&gt;0,1,0)))))</f>
        <v/>
      </c>
      <c r="AE197" s="32" t="str">
        <f aca="false">IF($A197="","",IF(Z197="Yes","Do not contact",IF(AC197="","Research",IF(AND(AC197&gt;=S_FitHigh,AD197&gt;=S_AccessHigh),"Priority",IF(AC197&gt;=S_FitHigh,"Build a Path",IF(AD197&gt;=S_AccessHigh,"Quick Win","Low Priority"))))))</f>
        <v/>
      </c>
      <c r="AF197" s="33" t="str">
        <f aca="false">IF($A197="","",IF(_xlfn.MAXIFS(Interactions!$A$3:$A$502,Interactions!$B$3:$B$502,$A197)=0,"",_xlfn.MAXIFS(Interactions!$A$3:$A$502,Interactions!$B$3:$B$502,$A197)))</f>
        <v/>
      </c>
      <c r="AG197" s="32" t="str">
        <f aca="false">IF($A197="","",COUNTIFS(Opportunities!$A$3:$A$502,$A197,Opportunities!$X$3:$X$502,"Yes"))</f>
        <v/>
      </c>
      <c r="AH197" s="32" t="str">
        <f aca="false">IF($A197="","",_xlfn.TEXTJOIN(", ",TRUE(),IF(COUNTIF($A$3:$A$502,$A197)&gt;1,"Duplicate name",""),IF(OR(AND(G197=2,I197=""),AND(J197=2,L197=""),AND(M197=2,O197=""),AND(P197=2,R197="")),"Source missing for a 2",""),IF(F197="","No owner",IF(COUNTIFS(R_TeamName,F197,R_TeamActive,"No")&gt;0,"Needs new owner","")),IF(AND(V197="Yes",X197&lt;&gt;"",X197&lt;S_SemStart),"Path overdue",""),IF(AND(S197&lt;&gt;"",S197&lt;S_Today-365),"Stale research",""),IF(AND(AE197="Research",COUNTIF('Commercial Evidence'!$A$3:$A$502,$A197)=0),"Add commercial evidence","")))</f>
        <v/>
      </c>
      <c r="AI197" s="34" t="str">
        <f aca="false">IF(OR($A197="",Z197="Yes"),"",IF(AND(AE197="Priority",AG197=0,COUNTIFS(Opportunities!$A$3:$A$502,$A197,Opportunities!$Y$3:$Y$502,"Renewal due")=0),600000+(10-AC197)*1000+(4-AD197)*100+ROW()/100000,IF(V197="Yes",700000+IF(X197="",0,X197-40000)/10+ROW()/100000,IF(AND(AE197="Quick Win",U197&lt;&gt;"",AG197=0),800000+(10-AC197)*1000+ROW()/100000,IF(AND(AE197="Build a Path",COUNTIF($V$3:$V$502,"Yes")&lt;S_PathCap),900000+(10-AC197)*1000+(4-AD197)*100+ROW()/100000,"")))))</f>
        <v/>
      </c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8"/>
      <c r="T198" s="27"/>
      <c r="U198" s="27"/>
      <c r="V198" s="27"/>
      <c r="W198" s="27"/>
      <c r="X198" s="28"/>
      <c r="Y198" s="27"/>
      <c r="Z198" s="27"/>
      <c r="AA198" s="27"/>
      <c r="AB198" s="32" t="str">
        <f aca="false">IF($A198="","",IF(COUNTIF('Commercial Evidence'!$A$3:$A$502,$A198)=0,"",IF(COUNTIFS('Commercial Evidence'!$A$3:$A$502,$A198,'Commercial Evidence'!$B$3:$B$502,"Previous CBS Talks spend")+COUNTIFS('Commercial Evidence'!$A$3:$A$502,$A198,'Commercial Evidence'!$B$3:$B$502,"Sponsors student organisations")&gt;0,2,IF(COUNTIFS('Commercial Evidence'!$A$3:$A$502,$A198,'Commercial Evidence'!$B$3:$B$502,"Sponsors university activities")+COUNTIFS('Commercial Evidence'!$A$3:$A$502,$A198,'Commercial Evidence'!$B$3:$B$502,"Sponsors similar events")+COUNTIFS('Commercial Evidence'!$A$3:$A$502,$A198,'Commercial Evidence'!$B$3:$B$502,"Previous CBS Talks partner")&gt;0,1,0))))</f>
        <v/>
      </c>
      <c r="AC198" s="32" t="str">
        <f aca="false">IF($A198="","",IF(COUNT(G198,J198,M198,P198,AB198)&lt;5,"",G198+J198+M198+P198+AB198))</f>
        <v/>
      </c>
      <c r="AD198" s="32" t="str">
        <f aca="false">IF($A198="","",IF(COUNTIFS(Contacts!$A$3:$A$502,$A198,Contacts!$E$3:$E$502,"Champion",Contacts!$K$3:$K$502,"&lt;&gt;Yes",Contacts!$L$3:$L$502,"&lt;&gt;Yes")+COUNTIFS(Opportunities!$A$3:$A$502,$A198,Opportunities!$C$3:$C$502,"Won",Opportunities!$Q$3:$Q$502,"Satisfied")&gt;0,4,IF(COUNTIFS(Interactions!$B$3:$B$502,$A198,Interactions!$I$3:$I$502,"Yes",Interactions!$A$3:$A$502,"&gt;="&amp;(S_Today-S_WarmDays))&gt;0,3,IF(T198&lt;&gt;"",2,IF(COUNTIFS(Contacts!$A$3:$A$502,$A198,Contacts!$M$3:$M$502,"Yes",Contacts!$K$3:$K$502,"&lt;&gt;Yes",Contacts!$L$3:$L$502,"&lt;&gt;Yes")&gt;0,1,0)))))</f>
        <v/>
      </c>
      <c r="AE198" s="32" t="str">
        <f aca="false">IF($A198="","",IF(Z198="Yes","Do not contact",IF(AC198="","Research",IF(AND(AC198&gt;=S_FitHigh,AD198&gt;=S_AccessHigh),"Priority",IF(AC198&gt;=S_FitHigh,"Build a Path",IF(AD198&gt;=S_AccessHigh,"Quick Win","Low Priority"))))))</f>
        <v/>
      </c>
      <c r="AF198" s="33" t="str">
        <f aca="false">IF($A198="","",IF(_xlfn.MAXIFS(Interactions!$A$3:$A$502,Interactions!$B$3:$B$502,$A198)=0,"",_xlfn.MAXIFS(Interactions!$A$3:$A$502,Interactions!$B$3:$B$502,$A198)))</f>
        <v/>
      </c>
      <c r="AG198" s="32" t="str">
        <f aca="false">IF($A198="","",COUNTIFS(Opportunities!$A$3:$A$502,$A198,Opportunities!$X$3:$X$502,"Yes"))</f>
        <v/>
      </c>
      <c r="AH198" s="32" t="str">
        <f aca="false">IF($A198="","",_xlfn.TEXTJOIN(", ",TRUE(),IF(COUNTIF($A$3:$A$502,$A198)&gt;1,"Duplicate name",""),IF(OR(AND(G198=2,I198=""),AND(J198=2,L198=""),AND(M198=2,O198=""),AND(P198=2,R198="")),"Source missing for a 2",""),IF(F198="","No owner",IF(COUNTIFS(R_TeamName,F198,R_TeamActive,"No")&gt;0,"Needs new owner","")),IF(AND(V198="Yes",X198&lt;&gt;"",X198&lt;S_SemStart),"Path overdue",""),IF(AND(S198&lt;&gt;"",S198&lt;S_Today-365),"Stale research",""),IF(AND(AE198="Research",COUNTIF('Commercial Evidence'!$A$3:$A$502,$A198)=0),"Add commercial evidence","")))</f>
        <v/>
      </c>
      <c r="AI198" s="34" t="str">
        <f aca="false">IF(OR($A198="",Z198="Yes"),"",IF(AND(AE198="Priority",AG198=0,COUNTIFS(Opportunities!$A$3:$A$502,$A198,Opportunities!$Y$3:$Y$502,"Renewal due")=0),600000+(10-AC198)*1000+(4-AD198)*100+ROW()/100000,IF(V198="Yes",700000+IF(X198="",0,X198-40000)/10+ROW()/100000,IF(AND(AE198="Quick Win",U198&lt;&gt;"",AG198=0),800000+(10-AC198)*1000+ROW()/100000,IF(AND(AE198="Build a Path",COUNTIF($V$3:$V$502,"Yes")&lt;S_PathCap),900000+(10-AC198)*1000+(4-AD198)*100+ROW()/100000,"")))))</f>
        <v/>
      </c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8"/>
      <c r="T199" s="27"/>
      <c r="U199" s="27"/>
      <c r="V199" s="27"/>
      <c r="W199" s="27"/>
      <c r="X199" s="28"/>
      <c r="Y199" s="27"/>
      <c r="Z199" s="27"/>
      <c r="AA199" s="27"/>
      <c r="AB199" s="32" t="str">
        <f aca="false">IF($A199="","",IF(COUNTIF('Commercial Evidence'!$A$3:$A$502,$A199)=0,"",IF(COUNTIFS('Commercial Evidence'!$A$3:$A$502,$A199,'Commercial Evidence'!$B$3:$B$502,"Previous CBS Talks spend")+COUNTIFS('Commercial Evidence'!$A$3:$A$502,$A199,'Commercial Evidence'!$B$3:$B$502,"Sponsors student organisations")&gt;0,2,IF(COUNTIFS('Commercial Evidence'!$A$3:$A$502,$A199,'Commercial Evidence'!$B$3:$B$502,"Sponsors university activities")+COUNTIFS('Commercial Evidence'!$A$3:$A$502,$A199,'Commercial Evidence'!$B$3:$B$502,"Sponsors similar events")+COUNTIFS('Commercial Evidence'!$A$3:$A$502,$A199,'Commercial Evidence'!$B$3:$B$502,"Previous CBS Talks partner")&gt;0,1,0))))</f>
        <v/>
      </c>
      <c r="AC199" s="32" t="str">
        <f aca="false">IF($A199="","",IF(COUNT(G199,J199,M199,P199,AB199)&lt;5,"",G199+J199+M199+P199+AB199))</f>
        <v/>
      </c>
      <c r="AD199" s="32" t="str">
        <f aca="false">IF($A199="","",IF(COUNTIFS(Contacts!$A$3:$A$502,$A199,Contacts!$E$3:$E$502,"Champion",Contacts!$K$3:$K$502,"&lt;&gt;Yes",Contacts!$L$3:$L$502,"&lt;&gt;Yes")+COUNTIFS(Opportunities!$A$3:$A$502,$A199,Opportunities!$C$3:$C$502,"Won",Opportunities!$Q$3:$Q$502,"Satisfied")&gt;0,4,IF(COUNTIFS(Interactions!$B$3:$B$502,$A199,Interactions!$I$3:$I$502,"Yes",Interactions!$A$3:$A$502,"&gt;="&amp;(S_Today-S_WarmDays))&gt;0,3,IF(T199&lt;&gt;"",2,IF(COUNTIFS(Contacts!$A$3:$A$502,$A199,Contacts!$M$3:$M$502,"Yes",Contacts!$K$3:$K$502,"&lt;&gt;Yes",Contacts!$L$3:$L$502,"&lt;&gt;Yes")&gt;0,1,0)))))</f>
        <v/>
      </c>
      <c r="AE199" s="32" t="str">
        <f aca="false">IF($A199="","",IF(Z199="Yes","Do not contact",IF(AC199="","Research",IF(AND(AC199&gt;=S_FitHigh,AD199&gt;=S_AccessHigh),"Priority",IF(AC199&gt;=S_FitHigh,"Build a Path",IF(AD199&gt;=S_AccessHigh,"Quick Win","Low Priority"))))))</f>
        <v/>
      </c>
      <c r="AF199" s="33" t="str">
        <f aca="false">IF($A199="","",IF(_xlfn.MAXIFS(Interactions!$A$3:$A$502,Interactions!$B$3:$B$502,$A199)=0,"",_xlfn.MAXIFS(Interactions!$A$3:$A$502,Interactions!$B$3:$B$502,$A199)))</f>
        <v/>
      </c>
      <c r="AG199" s="32" t="str">
        <f aca="false">IF($A199="","",COUNTIFS(Opportunities!$A$3:$A$502,$A199,Opportunities!$X$3:$X$502,"Yes"))</f>
        <v/>
      </c>
      <c r="AH199" s="32" t="str">
        <f aca="false">IF($A199="","",_xlfn.TEXTJOIN(", ",TRUE(),IF(COUNTIF($A$3:$A$502,$A199)&gt;1,"Duplicate name",""),IF(OR(AND(G199=2,I199=""),AND(J199=2,L199=""),AND(M199=2,O199=""),AND(P199=2,R199="")),"Source missing for a 2",""),IF(F199="","No owner",IF(COUNTIFS(R_TeamName,F199,R_TeamActive,"No")&gt;0,"Needs new owner","")),IF(AND(V199="Yes",X199&lt;&gt;"",X199&lt;S_SemStart),"Path overdue",""),IF(AND(S199&lt;&gt;"",S199&lt;S_Today-365),"Stale research",""),IF(AND(AE199="Research",COUNTIF('Commercial Evidence'!$A$3:$A$502,$A199)=0),"Add commercial evidence","")))</f>
        <v/>
      </c>
      <c r="AI199" s="34" t="str">
        <f aca="false">IF(OR($A199="",Z199="Yes"),"",IF(AND(AE199="Priority",AG199=0,COUNTIFS(Opportunities!$A$3:$A$502,$A199,Opportunities!$Y$3:$Y$502,"Renewal due")=0),600000+(10-AC199)*1000+(4-AD199)*100+ROW()/100000,IF(V199="Yes",700000+IF(X199="",0,X199-40000)/10+ROW()/100000,IF(AND(AE199="Quick Win",U199&lt;&gt;"",AG199=0),800000+(10-AC199)*1000+ROW()/100000,IF(AND(AE199="Build a Path",COUNTIF($V$3:$V$502,"Yes")&lt;S_PathCap),900000+(10-AC199)*1000+(4-AD199)*100+ROW()/100000,"")))))</f>
        <v/>
      </c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8"/>
      <c r="T200" s="27"/>
      <c r="U200" s="27"/>
      <c r="V200" s="27"/>
      <c r="W200" s="27"/>
      <c r="X200" s="28"/>
      <c r="Y200" s="27"/>
      <c r="Z200" s="27"/>
      <c r="AA200" s="27"/>
      <c r="AB200" s="32" t="str">
        <f aca="false">IF($A200="","",IF(COUNTIF('Commercial Evidence'!$A$3:$A$502,$A200)=0,"",IF(COUNTIFS('Commercial Evidence'!$A$3:$A$502,$A200,'Commercial Evidence'!$B$3:$B$502,"Previous CBS Talks spend")+COUNTIFS('Commercial Evidence'!$A$3:$A$502,$A200,'Commercial Evidence'!$B$3:$B$502,"Sponsors student organisations")&gt;0,2,IF(COUNTIFS('Commercial Evidence'!$A$3:$A$502,$A200,'Commercial Evidence'!$B$3:$B$502,"Sponsors university activities")+COUNTIFS('Commercial Evidence'!$A$3:$A$502,$A200,'Commercial Evidence'!$B$3:$B$502,"Sponsors similar events")+COUNTIFS('Commercial Evidence'!$A$3:$A$502,$A200,'Commercial Evidence'!$B$3:$B$502,"Previous CBS Talks partner")&gt;0,1,0))))</f>
        <v/>
      </c>
      <c r="AC200" s="32" t="str">
        <f aca="false">IF($A200="","",IF(COUNT(G200,J200,M200,P200,AB200)&lt;5,"",G200+J200+M200+P200+AB200))</f>
        <v/>
      </c>
      <c r="AD200" s="32" t="str">
        <f aca="false">IF($A200="","",IF(COUNTIFS(Contacts!$A$3:$A$502,$A200,Contacts!$E$3:$E$502,"Champion",Contacts!$K$3:$K$502,"&lt;&gt;Yes",Contacts!$L$3:$L$502,"&lt;&gt;Yes")+COUNTIFS(Opportunities!$A$3:$A$502,$A200,Opportunities!$C$3:$C$502,"Won",Opportunities!$Q$3:$Q$502,"Satisfied")&gt;0,4,IF(COUNTIFS(Interactions!$B$3:$B$502,$A200,Interactions!$I$3:$I$502,"Yes",Interactions!$A$3:$A$502,"&gt;="&amp;(S_Today-S_WarmDays))&gt;0,3,IF(T200&lt;&gt;"",2,IF(COUNTIFS(Contacts!$A$3:$A$502,$A200,Contacts!$M$3:$M$502,"Yes",Contacts!$K$3:$K$502,"&lt;&gt;Yes",Contacts!$L$3:$L$502,"&lt;&gt;Yes")&gt;0,1,0)))))</f>
        <v/>
      </c>
      <c r="AE200" s="32" t="str">
        <f aca="false">IF($A200="","",IF(Z200="Yes","Do not contact",IF(AC200="","Research",IF(AND(AC200&gt;=S_FitHigh,AD200&gt;=S_AccessHigh),"Priority",IF(AC200&gt;=S_FitHigh,"Build a Path",IF(AD200&gt;=S_AccessHigh,"Quick Win","Low Priority"))))))</f>
        <v/>
      </c>
      <c r="AF200" s="33" t="str">
        <f aca="false">IF($A200="","",IF(_xlfn.MAXIFS(Interactions!$A$3:$A$502,Interactions!$B$3:$B$502,$A200)=0,"",_xlfn.MAXIFS(Interactions!$A$3:$A$502,Interactions!$B$3:$B$502,$A200)))</f>
        <v/>
      </c>
      <c r="AG200" s="32" t="str">
        <f aca="false">IF($A200="","",COUNTIFS(Opportunities!$A$3:$A$502,$A200,Opportunities!$X$3:$X$502,"Yes"))</f>
        <v/>
      </c>
      <c r="AH200" s="32" t="str">
        <f aca="false">IF($A200="","",_xlfn.TEXTJOIN(", ",TRUE(),IF(COUNTIF($A$3:$A$502,$A200)&gt;1,"Duplicate name",""),IF(OR(AND(G200=2,I200=""),AND(J200=2,L200=""),AND(M200=2,O200=""),AND(P200=2,R200="")),"Source missing for a 2",""),IF(F200="","No owner",IF(COUNTIFS(R_TeamName,F200,R_TeamActive,"No")&gt;0,"Needs new owner","")),IF(AND(V200="Yes",X200&lt;&gt;"",X200&lt;S_SemStart),"Path overdue",""),IF(AND(S200&lt;&gt;"",S200&lt;S_Today-365),"Stale research",""),IF(AND(AE200="Research",COUNTIF('Commercial Evidence'!$A$3:$A$502,$A200)=0),"Add commercial evidence","")))</f>
        <v/>
      </c>
      <c r="AI200" s="34" t="str">
        <f aca="false">IF(OR($A200="",Z200="Yes"),"",IF(AND(AE200="Priority",AG200=0,COUNTIFS(Opportunities!$A$3:$A$502,$A200,Opportunities!$Y$3:$Y$502,"Renewal due")=0),600000+(10-AC200)*1000+(4-AD200)*100+ROW()/100000,IF(V200="Yes",700000+IF(X200="",0,X200-40000)/10+ROW()/100000,IF(AND(AE200="Quick Win",U200&lt;&gt;"",AG200=0),800000+(10-AC200)*1000+ROW()/100000,IF(AND(AE200="Build a Path",COUNTIF($V$3:$V$502,"Yes")&lt;S_PathCap),900000+(10-AC200)*1000+(4-AD200)*100+ROW()/100000,"")))))</f>
        <v/>
      </c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8"/>
      <c r="T201" s="27"/>
      <c r="U201" s="27"/>
      <c r="V201" s="27"/>
      <c r="W201" s="27"/>
      <c r="X201" s="28"/>
      <c r="Y201" s="27"/>
      <c r="Z201" s="27"/>
      <c r="AA201" s="27"/>
      <c r="AB201" s="32" t="str">
        <f aca="false">IF($A201="","",IF(COUNTIF('Commercial Evidence'!$A$3:$A$502,$A201)=0,"",IF(COUNTIFS('Commercial Evidence'!$A$3:$A$502,$A201,'Commercial Evidence'!$B$3:$B$502,"Previous CBS Talks spend")+COUNTIFS('Commercial Evidence'!$A$3:$A$502,$A201,'Commercial Evidence'!$B$3:$B$502,"Sponsors student organisations")&gt;0,2,IF(COUNTIFS('Commercial Evidence'!$A$3:$A$502,$A201,'Commercial Evidence'!$B$3:$B$502,"Sponsors university activities")+COUNTIFS('Commercial Evidence'!$A$3:$A$502,$A201,'Commercial Evidence'!$B$3:$B$502,"Sponsors similar events")+COUNTIFS('Commercial Evidence'!$A$3:$A$502,$A201,'Commercial Evidence'!$B$3:$B$502,"Previous CBS Talks partner")&gt;0,1,0))))</f>
        <v/>
      </c>
      <c r="AC201" s="32" t="str">
        <f aca="false">IF($A201="","",IF(COUNT(G201,J201,M201,P201,AB201)&lt;5,"",G201+J201+M201+P201+AB201))</f>
        <v/>
      </c>
      <c r="AD201" s="32" t="str">
        <f aca="false">IF($A201="","",IF(COUNTIFS(Contacts!$A$3:$A$502,$A201,Contacts!$E$3:$E$502,"Champion",Contacts!$K$3:$K$502,"&lt;&gt;Yes",Contacts!$L$3:$L$502,"&lt;&gt;Yes")+COUNTIFS(Opportunities!$A$3:$A$502,$A201,Opportunities!$C$3:$C$502,"Won",Opportunities!$Q$3:$Q$502,"Satisfied")&gt;0,4,IF(COUNTIFS(Interactions!$B$3:$B$502,$A201,Interactions!$I$3:$I$502,"Yes",Interactions!$A$3:$A$502,"&gt;="&amp;(S_Today-S_WarmDays))&gt;0,3,IF(T201&lt;&gt;"",2,IF(COUNTIFS(Contacts!$A$3:$A$502,$A201,Contacts!$M$3:$M$502,"Yes",Contacts!$K$3:$K$502,"&lt;&gt;Yes",Contacts!$L$3:$L$502,"&lt;&gt;Yes")&gt;0,1,0)))))</f>
        <v/>
      </c>
      <c r="AE201" s="32" t="str">
        <f aca="false">IF($A201="","",IF(Z201="Yes","Do not contact",IF(AC201="","Research",IF(AND(AC201&gt;=S_FitHigh,AD201&gt;=S_AccessHigh),"Priority",IF(AC201&gt;=S_FitHigh,"Build a Path",IF(AD201&gt;=S_AccessHigh,"Quick Win","Low Priority"))))))</f>
        <v/>
      </c>
      <c r="AF201" s="33" t="str">
        <f aca="false">IF($A201="","",IF(_xlfn.MAXIFS(Interactions!$A$3:$A$502,Interactions!$B$3:$B$502,$A201)=0,"",_xlfn.MAXIFS(Interactions!$A$3:$A$502,Interactions!$B$3:$B$502,$A201)))</f>
        <v/>
      </c>
      <c r="AG201" s="32" t="str">
        <f aca="false">IF($A201="","",COUNTIFS(Opportunities!$A$3:$A$502,$A201,Opportunities!$X$3:$X$502,"Yes"))</f>
        <v/>
      </c>
      <c r="AH201" s="32" t="str">
        <f aca="false">IF($A201="","",_xlfn.TEXTJOIN(", ",TRUE(),IF(COUNTIF($A$3:$A$502,$A201)&gt;1,"Duplicate name",""),IF(OR(AND(G201=2,I201=""),AND(J201=2,L201=""),AND(M201=2,O201=""),AND(P201=2,R201="")),"Source missing for a 2",""),IF(F201="","No owner",IF(COUNTIFS(R_TeamName,F201,R_TeamActive,"No")&gt;0,"Needs new owner","")),IF(AND(V201="Yes",X201&lt;&gt;"",X201&lt;S_SemStart),"Path overdue",""),IF(AND(S201&lt;&gt;"",S201&lt;S_Today-365),"Stale research",""),IF(AND(AE201="Research",COUNTIF('Commercial Evidence'!$A$3:$A$502,$A201)=0),"Add commercial evidence","")))</f>
        <v/>
      </c>
      <c r="AI201" s="34" t="str">
        <f aca="false">IF(OR($A201="",Z201="Yes"),"",IF(AND(AE201="Priority",AG201=0,COUNTIFS(Opportunities!$A$3:$A$502,$A201,Opportunities!$Y$3:$Y$502,"Renewal due")=0),600000+(10-AC201)*1000+(4-AD201)*100+ROW()/100000,IF(V201="Yes",700000+IF(X201="",0,X201-40000)/10+ROW()/100000,IF(AND(AE201="Quick Win",U201&lt;&gt;"",AG201=0),800000+(10-AC201)*1000+ROW()/100000,IF(AND(AE201="Build a Path",COUNTIF($V$3:$V$502,"Yes")&lt;S_PathCap),900000+(10-AC201)*1000+(4-AD201)*100+ROW()/100000,"")))))</f>
        <v/>
      </c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8"/>
      <c r="T202" s="27"/>
      <c r="U202" s="27"/>
      <c r="V202" s="27"/>
      <c r="W202" s="27"/>
      <c r="X202" s="28"/>
      <c r="Y202" s="27"/>
      <c r="Z202" s="27"/>
      <c r="AA202" s="27"/>
      <c r="AB202" s="32" t="str">
        <f aca="false">IF($A202="","",IF(COUNTIF('Commercial Evidence'!$A$3:$A$502,$A202)=0,"",IF(COUNTIFS('Commercial Evidence'!$A$3:$A$502,$A202,'Commercial Evidence'!$B$3:$B$502,"Previous CBS Talks spend")+COUNTIFS('Commercial Evidence'!$A$3:$A$502,$A202,'Commercial Evidence'!$B$3:$B$502,"Sponsors student organisations")&gt;0,2,IF(COUNTIFS('Commercial Evidence'!$A$3:$A$502,$A202,'Commercial Evidence'!$B$3:$B$502,"Sponsors university activities")+COUNTIFS('Commercial Evidence'!$A$3:$A$502,$A202,'Commercial Evidence'!$B$3:$B$502,"Sponsors similar events")+COUNTIFS('Commercial Evidence'!$A$3:$A$502,$A202,'Commercial Evidence'!$B$3:$B$502,"Previous CBS Talks partner")&gt;0,1,0))))</f>
        <v/>
      </c>
      <c r="AC202" s="32" t="str">
        <f aca="false">IF($A202="","",IF(COUNT(G202,J202,M202,P202,AB202)&lt;5,"",G202+J202+M202+P202+AB202))</f>
        <v/>
      </c>
      <c r="AD202" s="32" t="str">
        <f aca="false">IF($A202="","",IF(COUNTIFS(Contacts!$A$3:$A$502,$A202,Contacts!$E$3:$E$502,"Champion",Contacts!$K$3:$K$502,"&lt;&gt;Yes",Contacts!$L$3:$L$502,"&lt;&gt;Yes")+COUNTIFS(Opportunities!$A$3:$A$502,$A202,Opportunities!$C$3:$C$502,"Won",Opportunities!$Q$3:$Q$502,"Satisfied")&gt;0,4,IF(COUNTIFS(Interactions!$B$3:$B$502,$A202,Interactions!$I$3:$I$502,"Yes",Interactions!$A$3:$A$502,"&gt;="&amp;(S_Today-S_WarmDays))&gt;0,3,IF(T202&lt;&gt;"",2,IF(COUNTIFS(Contacts!$A$3:$A$502,$A202,Contacts!$M$3:$M$502,"Yes",Contacts!$K$3:$K$502,"&lt;&gt;Yes",Contacts!$L$3:$L$502,"&lt;&gt;Yes")&gt;0,1,0)))))</f>
        <v/>
      </c>
      <c r="AE202" s="32" t="str">
        <f aca="false">IF($A202="","",IF(Z202="Yes","Do not contact",IF(AC202="","Research",IF(AND(AC202&gt;=S_FitHigh,AD202&gt;=S_AccessHigh),"Priority",IF(AC202&gt;=S_FitHigh,"Build a Path",IF(AD202&gt;=S_AccessHigh,"Quick Win","Low Priority"))))))</f>
        <v/>
      </c>
      <c r="AF202" s="33" t="str">
        <f aca="false">IF($A202="","",IF(_xlfn.MAXIFS(Interactions!$A$3:$A$502,Interactions!$B$3:$B$502,$A202)=0,"",_xlfn.MAXIFS(Interactions!$A$3:$A$502,Interactions!$B$3:$B$502,$A202)))</f>
        <v/>
      </c>
      <c r="AG202" s="32" t="str">
        <f aca="false">IF($A202="","",COUNTIFS(Opportunities!$A$3:$A$502,$A202,Opportunities!$X$3:$X$502,"Yes"))</f>
        <v/>
      </c>
      <c r="AH202" s="32" t="str">
        <f aca="false">IF($A202="","",_xlfn.TEXTJOIN(", ",TRUE(),IF(COUNTIF($A$3:$A$502,$A202)&gt;1,"Duplicate name",""),IF(OR(AND(G202=2,I202=""),AND(J202=2,L202=""),AND(M202=2,O202=""),AND(P202=2,R202="")),"Source missing for a 2",""),IF(F202="","No owner",IF(COUNTIFS(R_TeamName,F202,R_TeamActive,"No")&gt;0,"Needs new owner","")),IF(AND(V202="Yes",X202&lt;&gt;"",X202&lt;S_SemStart),"Path overdue",""),IF(AND(S202&lt;&gt;"",S202&lt;S_Today-365),"Stale research",""),IF(AND(AE202="Research",COUNTIF('Commercial Evidence'!$A$3:$A$502,$A202)=0),"Add commercial evidence","")))</f>
        <v/>
      </c>
      <c r="AI202" s="34" t="str">
        <f aca="false">IF(OR($A202="",Z202="Yes"),"",IF(AND(AE202="Priority",AG202=0,COUNTIFS(Opportunities!$A$3:$A$502,$A202,Opportunities!$Y$3:$Y$502,"Renewal due")=0),600000+(10-AC202)*1000+(4-AD202)*100+ROW()/100000,IF(V202="Yes",700000+IF(X202="",0,X202-40000)/10+ROW()/100000,IF(AND(AE202="Quick Win",U202&lt;&gt;"",AG202=0),800000+(10-AC202)*1000+ROW()/100000,IF(AND(AE202="Build a Path",COUNTIF($V$3:$V$502,"Yes")&lt;S_PathCap),900000+(10-AC202)*1000+(4-AD202)*100+ROW()/100000,"")))))</f>
        <v/>
      </c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8"/>
      <c r="T203" s="27"/>
      <c r="U203" s="27"/>
      <c r="V203" s="27"/>
      <c r="W203" s="27"/>
      <c r="X203" s="28"/>
      <c r="Y203" s="27"/>
      <c r="Z203" s="27"/>
      <c r="AA203" s="27"/>
      <c r="AB203" s="32" t="str">
        <f aca="false">IF($A203="","",IF(COUNTIF('Commercial Evidence'!$A$3:$A$502,$A203)=0,"",IF(COUNTIFS('Commercial Evidence'!$A$3:$A$502,$A203,'Commercial Evidence'!$B$3:$B$502,"Previous CBS Talks spend")+COUNTIFS('Commercial Evidence'!$A$3:$A$502,$A203,'Commercial Evidence'!$B$3:$B$502,"Sponsors student organisations")&gt;0,2,IF(COUNTIFS('Commercial Evidence'!$A$3:$A$502,$A203,'Commercial Evidence'!$B$3:$B$502,"Sponsors university activities")+COUNTIFS('Commercial Evidence'!$A$3:$A$502,$A203,'Commercial Evidence'!$B$3:$B$502,"Sponsors similar events")+COUNTIFS('Commercial Evidence'!$A$3:$A$502,$A203,'Commercial Evidence'!$B$3:$B$502,"Previous CBS Talks partner")&gt;0,1,0))))</f>
        <v/>
      </c>
      <c r="AC203" s="32" t="str">
        <f aca="false">IF($A203="","",IF(COUNT(G203,J203,M203,P203,AB203)&lt;5,"",G203+J203+M203+P203+AB203))</f>
        <v/>
      </c>
      <c r="AD203" s="32" t="str">
        <f aca="false">IF($A203="","",IF(COUNTIFS(Contacts!$A$3:$A$502,$A203,Contacts!$E$3:$E$502,"Champion",Contacts!$K$3:$K$502,"&lt;&gt;Yes",Contacts!$L$3:$L$502,"&lt;&gt;Yes")+COUNTIFS(Opportunities!$A$3:$A$502,$A203,Opportunities!$C$3:$C$502,"Won",Opportunities!$Q$3:$Q$502,"Satisfied")&gt;0,4,IF(COUNTIFS(Interactions!$B$3:$B$502,$A203,Interactions!$I$3:$I$502,"Yes",Interactions!$A$3:$A$502,"&gt;="&amp;(S_Today-S_WarmDays))&gt;0,3,IF(T203&lt;&gt;"",2,IF(COUNTIFS(Contacts!$A$3:$A$502,$A203,Contacts!$M$3:$M$502,"Yes",Contacts!$K$3:$K$502,"&lt;&gt;Yes",Contacts!$L$3:$L$502,"&lt;&gt;Yes")&gt;0,1,0)))))</f>
        <v/>
      </c>
      <c r="AE203" s="32" t="str">
        <f aca="false">IF($A203="","",IF(Z203="Yes","Do not contact",IF(AC203="","Research",IF(AND(AC203&gt;=S_FitHigh,AD203&gt;=S_AccessHigh),"Priority",IF(AC203&gt;=S_FitHigh,"Build a Path",IF(AD203&gt;=S_AccessHigh,"Quick Win","Low Priority"))))))</f>
        <v/>
      </c>
      <c r="AF203" s="33" t="str">
        <f aca="false">IF($A203="","",IF(_xlfn.MAXIFS(Interactions!$A$3:$A$502,Interactions!$B$3:$B$502,$A203)=0,"",_xlfn.MAXIFS(Interactions!$A$3:$A$502,Interactions!$B$3:$B$502,$A203)))</f>
        <v/>
      </c>
      <c r="AG203" s="32" t="str">
        <f aca="false">IF($A203="","",COUNTIFS(Opportunities!$A$3:$A$502,$A203,Opportunities!$X$3:$X$502,"Yes"))</f>
        <v/>
      </c>
      <c r="AH203" s="32" t="str">
        <f aca="false">IF($A203="","",_xlfn.TEXTJOIN(", ",TRUE(),IF(COUNTIF($A$3:$A$502,$A203)&gt;1,"Duplicate name",""),IF(OR(AND(G203=2,I203=""),AND(J203=2,L203=""),AND(M203=2,O203=""),AND(P203=2,R203="")),"Source missing for a 2",""),IF(F203="","No owner",IF(COUNTIFS(R_TeamName,F203,R_TeamActive,"No")&gt;0,"Needs new owner","")),IF(AND(V203="Yes",X203&lt;&gt;"",X203&lt;S_SemStart),"Path overdue",""),IF(AND(S203&lt;&gt;"",S203&lt;S_Today-365),"Stale research",""),IF(AND(AE203="Research",COUNTIF('Commercial Evidence'!$A$3:$A$502,$A203)=0),"Add commercial evidence","")))</f>
        <v/>
      </c>
      <c r="AI203" s="34" t="str">
        <f aca="false">IF(OR($A203="",Z203="Yes"),"",IF(AND(AE203="Priority",AG203=0,COUNTIFS(Opportunities!$A$3:$A$502,$A203,Opportunities!$Y$3:$Y$502,"Renewal due")=0),600000+(10-AC203)*1000+(4-AD203)*100+ROW()/100000,IF(V203="Yes",700000+IF(X203="",0,X203-40000)/10+ROW()/100000,IF(AND(AE203="Quick Win",U203&lt;&gt;"",AG203=0),800000+(10-AC203)*1000+ROW()/100000,IF(AND(AE203="Build a Path",COUNTIF($V$3:$V$502,"Yes")&lt;S_PathCap),900000+(10-AC203)*1000+(4-AD203)*100+ROW()/100000,"")))))</f>
        <v/>
      </c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8"/>
      <c r="T204" s="27"/>
      <c r="U204" s="27"/>
      <c r="V204" s="27"/>
      <c r="W204" s="27"/>
      <c r="X204" s="28"/>
      <c r="Y204" s="27"/>
      <c r="Z204" s="27"/>
      <c r="AA204" s="27"/>
      <c r="AB204" s="32" t="str">
        <f aca="false">IF($A204="","",IF(COUNTIF('Commercial Evidence'!$A$3:$A$502,$A204)=0,"",IF(COUNTIFS('Commercial Evidence'!$A$3:$A$502,$A204,'Commercial Evidence'!$B$3:$B$502,"Previous CBS Talks spend")+COUNTIFS('Commercial Evidence'!$A$3:$A$502,$A204,'Commercial Evidence'!$B$3:$B$502,"Sponsors student organisations")&gt;0,2,IF(COUNTIFS('Commercial Evidence'!$A$3:$A$502,$A204,'Commercial Evidence'!$B$3:$B$502,"Sponsors university activities")+COUNTIFS('Commercial Evidence'!$A$3:$A$502,$A204,'Commercial Evidence'!$B$3:$B$502,"Sponsors similar events")+COUNTIFS('Commercial Evidence'!$A$3:$A$502,$A204,'Commercial Evidence'!$B$3:$B$502,"Previous CBS Talks partner")&gt;0,1,0))))</f>
        <v/>
      </c>
      <c r="AC204" s="32" t="str">
        <f aca="false">IF($A204="","",IF(COUNT(G204,J204,M204,P204,AB204)&lt;5,"",G204+J204+M204+P204+AB204))</f>
        <v/>
      </c>
      <c r="AD204" s="32" t="str">
        <f aca="false">IF($A204="","",IF(COUNTIFS(Contacts!$A$3:$A$502,$A204,Contacts!$E$3:$E$502,"Champion",Contacts!$K$3:$K$502,"&lt;&gt;Yes",Contacts!$L$3:$L$502,"&lt;&gt;Yes")+COUNTIFS(Opportunities!$A$3:$A$502,$A204,Opportunities!$C$3:$C$502,"Won",Opportunities!$Q$3:$Q$502,"Satisfied")&gt;0,4,IF(COUNTIFS(Interactions!$B$3:$B$502,$A204,Interactions!$I$3:$I$502,"Yes",Interactions!$A$3:$A$502,"&gt;="&amp;(S_Today-S_WarmDays))&gt;0,3,IF(T204&lt;&gt;"",2,IF(COUNTIFS(Contacts!$A$3:$A$502,$A204,Contacts!$M$3:$M$502,"Yes",Contacts!$K$3:$K$502,"&lt;&gt;Yes",Contacts!$L$3:$L$502,"&lt;&gt;Yes")&gt;0,1,0)))))</f>
        <v/>
      </c>
      <c r="AE204" s="32" t="str">
        <f aca="false">IF($A204="","",IF(Z204="Yes","Do not contact",IF(AC204="","Research",IF(AND(AC204&gt;=S_FitHigh,AD204&gt;=S_AccessHigh),"Priority",IF(AC204&gt;=S_FitHigh,"Build a Path",IF(AD204&gt;=S_AccessHigh,"Quick Win","Low Priority"))))))</f>
        <v/>
      </c>
      <c r="AF204" s="33" t="str">
        <f aca="false">IF($A204="","",IF(_xlfn.MAXIFS(Interactions!$A$3:$A$502,Interactions!$B$3:$B$502,$A204)=0,"",_xlfn.MAXIFS(Interactions!$A$3:$A$502,Interactions!$B$3:$B$502,$A204)))</f>
        <v/>
      </c>
      <c r="AG204" s="32" t="str">
        <f aca="false">IF($A204="","",COUNTIFS(Opportunities!$A$3:$A$502,$A204,Opportunities!$X$3:$X$502,"Yes"))</f>
        <v/>
      </c>
      <c r="AH204" s="32" t="str">
        <f aca="false">IF($A204="","",_xlfn.TEXTJOIN(", ",TRUE(),IF(COUNTIF($A$3:$A$502,$A204)&gt;1,"Duplicate name",""),IF(OR(AND(G204=2,I204=""),AND(J204=2,L204=""),AND(M204=2,O204=""),AND(P204=2,R204="")),"Source missing for a 2",""),IF(F204="","No owner",IF(COUNTIFS(R_TeamName,F204,R_TeamActive,"No")&gt;0,"Needs new owner","")),IF(AND(V204="Yes",X204&lt;&gt;"",X204&lt;S_SemStart),"Path overdue",""),IF(AND(S204&lt;&gt;"",S204&lt;S_Today-365),"Stale research",""),IF(AND(AE204="Research",COUNTIF('Commercial Evidence'!$A$3:$A$502,$A204)=0),"Add commercial evidence","")))</f>
        <v/>
      </c>
      <c r="AI204" s="34" t="str">
        <f aca="false">IF(OR($A204="",Z204="Yes"),"",IF(AND(AE204="Priority",AG204=0,COUNTIFS(Opportunities!$A$3:$A$502,$A204,Opportunities!$Y$3:$Y$502,"Renewal due")=0),600000+(10-AC204)*1000+(4-AD204)*100+ROW()/100000,IF(V204="Yes",700000+IF(X204="",0,X204-40000)/10+ROW()/100000,IF(AND(AE204="Quick Win",U204&lt;&gt;"",AG204=0),800000+(10-AC204)*1000+ROW()/100000,IF(AND(AE204="Build a Path",COUNTIF($V$3:$V$502,"Yes")&lt;S_PathCap),900000+(10-AC204)*1000+(4-AD204)*100+ROW()/100000,"")))))</f>
        <v/>
      </c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8"/>
      <c r="T205" s="27"/>
      <c r="U205" s="27"/>
      <c r="V205" s="27"/>
      <c r="W205" s="27"/>
      <c r="X205" s="28"/>
      <c r="Y205" s="27"/>
      <c r="Z205" s="27"/>
      <c r="AA205" s="27"/>
      <c r="AB205" s="32" t="str">
        <f aca="false">IF($A205="","",IF(COUNTIF('Commercial Evidence'!$A$3:$A$502,$A205)=0,"",IF(COUNTIFS('Commercial Evidence'!$A$3:$A$502,$A205,'Commercial Evidence'!$B$3:$B$502,"Previous CBS Talks spend")+COUNTIFS('Commercial Evidence'!$A$3:$A$502,$A205,'Commercial Evidence'!$B$3:$B$502,"Sponsors student organisations")&gt;0,2,IF(COUNTIFS('Commercial Evidence'!$A$3:$A$502,$A205,'Commercial Evidence'!$B$3:$B$502,"Sponsors university activities")+COUNTIFS('Commercial Evidence'!$A$3:$A$502,$A205,'Commercial Evidence'!$B$3:$B$502,"Sponsors similar events")+COUNTIFS('Commercial Evidence'!$A$3:$A$502,$A205,'Commercial Evidence'!$B$3:$B$502,"Previous CBS Talks partner")&gt;0,1,0))))</f>
        <v/>
      </c>
      <c r="AC205" s="32" t="str">
        <f aca="false">IF($A205="","",IF(COUNT(G205,J205,M205,P205,AB205)&lt;5,"",G205+J205+M205+P205+AB205))</f>
        <v/>
      </c>
      <c r="AD205" s="32" t="str">
        <f aca="false">IF($A205="","",IF(COUNTIFS(Contacts!$A$3:$A$502,$A205,Contacts!$E$3:$E$502,"Champion",Contacts!$K$3:$K$502,"&lt;&gt;Yes",Contacts!$L$3:$L$502,"&lt;&gt;Yes")+COUNTIFS(Opportunities!$A$3:$A$502,$A205,Opportunities!$C$3:$C$502,"Won",Opportunities!$Q$3:$Q$502,"Satisfied")&gt;0,4,IF(COUNTIFS(Interactions!$B$3:$B$502,$A205,Interactions!$I$3:$I$502,"Yes",Interactions!$A$3:$A$502,"&gt;="&amp;(S_Today-S_WarmDays))&gt;0,3,IF(T205&lt;&gt;"",2,IF(COUNTIFS(Contacts!$A$3:$A$502,$A205,Contacts!$M$3:$M$502,"Yes",Contacts!$K$3:$K$502,"&lt;&gt;Yes",Contacts!$L$3:$L$502,"&lt;&gt;Yes")&gt;0,1,0)))))</f>
        <v/>
      </c>
      <c r="AE205" s="32" t="str">
        <f aca="false">IF($A205="","",IF(Z205="Yes","Do not contact",IF(AC205="","Research",IF(AND(AC205&gt;=S_FitHigh,AD205&gt;=S_AccessHigh),"Priority",IF(AC205&gt;=S_FitHigh,"Build a Path",IF(AD205&gt;=S_AccessHigh,"Quick Win","Low Priority"))))))</f>
        <v/>
      </c>
      <c r="AF205" s="33" t="str">
        <f aca="false">IF($A205="","",IF(_xlfn.MAXIFS(Interactions!$A$3:$A$502,Interactions!$B$3:$B$502,$A205)=0,"",_xlfn.MAXIFS(Interactions!$A$3:$A$502,Interactions!$B$3:$B$502,$A205)))</f>
        <v/>
      </c>
      <c r="AG205" s="32" t="str">
        <f aca="false">IF($A205="","",COUNTIFS(Opportunities!$A$3:$A$502,$A205,Opportunities!$X$3:$X$502,"Yes"))</f>
        <v/>
      </c>
      <c r="AH205" s="32" t="str">
        <f aca="false">IF($A205="","",_xlfn.TEXTJOIN(", ",TRUE(),IF(COUNTIF($A$3:$A$502,$A205)&gt;1,"Duplicate name",""),IF(OR(AND(G205=2,I205=""),AND(J205=2,L205=""),AND(M205=2,O205=""),AND(P205=2,R205="")),"Source missing for a 2",""),IF(F205="","No owner",IF(COUNTIFS(R_TeamName,F205,R_TeamActive,"No")&gt;0,"Needs new owner","")),IF(AND(V205="Yes",X205&lt;&gt;"",X205&lt;S_SemStart),"Path overdue",""),IF(AND(S205&lt;&gt;"",S205&lt;S_Today-365),"Stale research",""),IF(AND(AE205="Research",COUNTIF('Commercial Evidence'!$A$3:$A$502,$A205)=0),"Add commercial evidence","")))</f>
        <v/>
      </c>
      <c r="AI205" s="34" t="str">
        <f aca="false">IF(OR($A205="",Z205="Yes"),"",IF(AND(AE205="Priority",AG205=0,COUNTIFS(Opportunities!$A$3:$A$502,$A205,Opportunities!$Y$3:$Y$502,"Renewal due")=0),600000+(10-AC205)*1000+(4-AD205)*100+ROW()/100000,IF(V205="Yes",700000+IF(X205="",0,X205-40000)/10+ROW()/100000,IF(AND(AE205="Quick Win",U205&lt;&gt;"",AG205=0),800000+(10-AC205)*1000+ROW()/100000,IF(AND(AE205="Build a Path",COUNTIF($V$3:$V$502,"Yes")&lt;S_PathCap),900000+(10-AC205)*1000+(4-AD205)*100+ROW()/100000,"")))))</f>
        <v/>
      </c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8"/>
      <c r="T206" s="27"/>
      <c r="U206" s="27"/>
      <c r="V206" s="27"/>
      <c r="W206" s="27"/>
      <c r="X206" s="28"/>
      <c r="Y206" s="27"/>
      <c r="Z206" s="27"/>
      <c r="AA206" s="27"/>
      <c r="AB206" s="32" t="str">
        <f aca="false">IF($A206="","",IF(COUNTIF('Commercial Evidence'!$A$3:$A$502,$A206)=0,"",IF(COUNTIFS('Commercial Evidence'!$A$3:$A$502,$A206,'Commercial Evidence'!$B$3:$B$502,"Previous CBS Talks spend")+COUNTIFS('Commercial Evidence'!$A$3:$A$502,$A206,'Commercial Evidence'!$B$3:$B$502,"Sponsors student organisations")&gt;0,2,IF(COUNTIFS('Commercial Evidence'!$A$3:$A$502,$A206,'Commercial Evidence'!$B$3:$B$502,"Sponsors university activities")+COUNTIFS('Commercial Evidence'!$A$3:$A$502,$A206,'Commercial Evidence'!$B$3:$B$502,"Sponsors similar events")+COUNTIFS('Commercial Evidence'!$A$3:$A$502,$A206,'Commercial Evidence'!$B$3:$B$502,"Previous CBS Talks partner")&gt;0,1,0))))</f>
        <v/>
      </c>
      <c r="AC206" s="32" t="str">
        <f aca="false">IF($A206="","",IF(COUNT(G206,J206,M206,P206,AB206)&lt;5,"",G206+J206+M206+P206+AB206))</f>
        <v/>
      </c>
      <c r="AD206" s="32" t="str">
        <f aca="false">IF($A206="","",IF(COUNTIFS(Contacts!$A$3:$A$502,$A206,Contacts!$E$3:$E$502,"Champion",Contacts!$K$3:$K$502,"&lt;&gt;Yes",Contacts!$L$3:$L$502,"&lt;&gt;Yes")+COUNTIFS(Opportunities!$A$3:$A$502,$A206,Opportunities!$C$3:$C$502,"Won",Opportunities!$Q$3:$Q$502,"Satisfied")&gt;0,4,IF(COUNTIFS(Interactions!$B$3:$B$502,$A206,Interactions!$I$3:$I$502,"Yes",Interactions!$A$3:$A$502,"&gt;="&amp;(S_Today-S_WarmDays))&gt;0,3,IF(T206&lt;&gt;"",2,IF(COUNTIFS(Contacts!$A$3:$A$502,$A206,Contacts!$M$3:$M$502,"Yes",Contacts!$K$3:$K$502,"&lt;&gt;Yes",Contacts!$L$3:$L$502,"&lt;&gt;Yes")&gt;0,1,0)))))</f>
        <v/>
      </c>
      <c r="AE206" s="32" t="str">
        <f aca="false">IF($A206="","",IF(Z206="Yes","Do not contact",IF(AC206="","Research",IF(AND(AC206&gt;=S_FitHigh,AD206&gt;=S_AccessHigh),"Priority",IF(AC206&gt;=S_FitHigh,"Build a Path",IF(AD206&gt;=S_AccessHigh,"Quick Win","Low Priority"))))))</f>
        <v/>
      </c>
      <c r="AF206" s="33" t="str">
        <f aca="false">IF($A206="","",IF(_xlfn.MAXIFS(Interactions!$A$3:$A$502,Interactions!$B$3:$B$502,$A206)=0,"",_xlfn.MAXIFS(Interactions!$A$3:$A$502,Interactions!$B$3:$B$502,$A206)))</f>
        <v/>
      </c>
      <c r="AG206" s="32" t="str">
        <f aca="false">IF($A206="","",COUNTIFS(Opportunities!$A$3:$A$502,$A206,Opportunities!$X$3:$X$502,"Yes"))</f>
        <v/>
      </c>
      <c r="AH206" s="32" t="str">
        <f aca="false">IF($A206="","",_xlfn.TEXTJOIN(", ",TRUE(),IF(COUNTIF($A$3:$A$502,$A206)&gt;1,"Duplicate name",""),IF(OR(AND(G206=2,I206=""),AND(J206=2,L206=""),AND(M206=2,O206=""),AND(P206=2,R206="")),"Source missing for a 2",""),IF(F206="","No owner",IF(COUNTIFS(R_TeamName,F206,R_TeamActive,"No")&gt;0,"Needs new owner","")),IF(AND(V206="Yes",X206&lt;&gt;"",X206&lt;S_SemStart),"Path overdue",""),IF(AND(S206&lt;&gt;"",S206&lt;S_Today-365),"Stale research",""),IF(AND(AE206="Research",COUNTIF('Commercial Evidence'!$A$3:$A$502,$A206)=0),"Add commercial evidence","")))</f>
        <v/>
      </c>
      <c r="AI206" s="34" t="str">
        <f aca="false">IF(OR($A206="",Z206="Yes"),"",IF(AND(AE206="Priority",AG206=0,COUNTIFS(Opportunities!$A$3:$A$502,$A206,Opportunities!$Y$3:$Y$502,"Renewal due")=0),600000+(10-AC206)*1000+(4-AD206)*100+ROW()/100000,IF(V206="Yes",700000+IF(X206="",0,X206-40000)/10+ROW()/100000,IF(AND(AE206="Quick Win",U206&lt;&gt;"",AG206=0),800000+(10-AC206)*1000+ROW()/100000,IF(AND(AE206="Build a Path",COUNTIF($V$3:$V$502,"Yes")&lt;S_PathCap),900000+(10-AC206)*1000+(4-AD206)*100+ROW()/100000,"")))))</f>
        <v/>
      </c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8"/>
      <c r="T207" s="27"/>
      <c r="U207" s="27"/>
      <c r="V207" s="27"/>
      <c r="W207" s="27"/>
      <c r="X207" s="28"/>
      <c r="Y207" s="27"/>
      <c r="Z207" s="27"/>
      <c r="AA207" s="27"/>
      <c r="AB207" s="32" t="str">
        <f aca="false">IF($A207="","",IF(COUNTIF('Commercial Evidence'!$A$3:$A$502,$A207)=0,"",IF(COUNTIFS('Commercial Evidence'!$A$3:$A$502,$A207,'Commercial Evidence'!$B$3:$B$502,"Previous CBS Talks spend")+COUNTIFS('Commercial Evidence'!$A$3:$A$502,$A207,'Commercial Evidence'!$B$3:$B$502,"Sponsors student organisations")&gt;0,2,IF(COUNTIFS('Commercial Evidence'!$A$3:$A$502,$A207,'Commercial Evidence'!$B$3:$B$502,"Sponsors university activities")+COUNTIFS('Commercial Evidence'!$A$3:$A$502,$A207,'Commercial Evidence'!$B$3:$B$502,"Sponsors similar events")+COUNTIFS('Commercial Evidence'!$A$3:$A$502,$A207,'Commercial Evidence'!$B$3:$B$502,"Previous CBS Talks partner")&gt;0,1,0))))</f>
        <v/>
      </c>
      <c r="AC207" s="32" t="str">
        <f aca="false">IF($A207="","",IF(COUNT(G207,J207,M207,P207,AB207)&lt;5,"",G207+J207+M207+P207+AB207))</f>
        <v/>
      </c>
      <c r="AD207" s="32" t="str">
        <f aca="false">IF($A207="","",IF(COUNTIFS(Contacts!$A$3:$A$502,$A207,Contacts!$E$3:$E$502,"Champion",Contacts!$K$3:$K$502,"&lt;&gt;Yes",Contacts!$L$3:$L$502,"&lt;&gt;Yes")+COUNTIFS(Opportunities!$A$3:$A$502,$A207,Opportunities!$C$3:$C$502,"Won",Opportunities!$Q$3:$Q$502,"Satisfied")&gt;0,4,IF(COUNTIFS(Interactions!$B$3:$B$502,$A207,Interactions!$I$3:$I$502,"Yes",Interactions!$A$3:$A$502,"&gt;="&amp;(S_Today-S_WarmDays))&gt;0,3,IF(T207&lt;&gt;"",2,IF(COUNTIFS(Contacts!$A$3:$A$502,$A207,Contacts!$M$3:$M$502,"Yes",Contacts!$K$3:$K$502,"&lt;&gt;Yes",Contacts!$L$3:$L$502,"&lt;&gt;Yes")&gt;0,1,0)))))</f>
        <v/>
      </c>
      <c r="AE207" s="32" t="str">
        <f aca="false">IF($A207="","",IF(Z207="Yes","Do not contact",IF(AC207="","Research",IF(AND(AC207&gt;=S_FitHigh,AD207&gt;=S_AccessHigh),"Priority",IF(AC207&gt;=S_FitHigh,"Build a Path",IF(AD207&gt;=S_AccessHigh,"Quick Win","Low Priority"))))))</f>
        <v/>
      </c>
      <c r="AF207" s="33" t="str">
        <f aca="false">IF($A207="","",IF(_xlfn.MAXIFS(Interactions!$A$3:$A$502,Interactions!$B$3:$B$502,$A207)=0,"",_xlfn.MAXIFS(Interactions!$A$3:$A$502,Interactions!$B$3:$B$502,$A207)))</f>
        <v/>
      </c>
      <c r="AG207" s="32" t="str">
        <f aca="false">IF($A207="","",COUNTIFS(Opportunities!$A$3:$A$502,$A207,Opportunities!$X$3:$X$502,"Yes"))</f>
        <v/>
      </c>
      <c r="AH207" s="32" t="str">
        <f aca="false">IF($A207="","",_xlfn.TEXTJOIN(", ",TRUE(),IF(COUNTIF($A$3:$A$502,$A207)&gt;1,"Duplicate name",""),IF(OR(AND(G207=2,I207=""),AND(J207=2,L207=""),AND(M207=2,O207=""),AND(P207=2,R207="")),"Source missing for a 2",""),IF(F207="","No owner",IF(COUNTIFS(R_TeamName,F207,R_TeamActive,"No")&gt;0,"Needs new owner","")),IF(AND(V207="Yes",X207&lt;&gt;"",X207&lt;S_SemStart),"Path overdue",""),IF(AND(S207&lt;&gt;"",S207&lt;S_Today-365),"Stale research",""),IF(AND(AE207="Research",COUNTIF('Commercial Evidence'!$A$3:$A$502,$A207)=0),"Add commercial evidence","")))</f>
        <v/>
      </c>
      <c r="AI207" s="34" t="str">
        <f aca="false">IF(OR($A207="",Z207="Yes"),"",IF(AND(AE207="Priority",AG207=0,COUNTIFS(Opportunities!$A$3:$A$502,$A207,Opportunities!$Y$3:$Y$502,"Renewal due")=0),600000+(10-AC207)*1000+(4-AD207)*100+ROW()/100000,IF(V207="Yes",700000+IF(X207="",0,X207-40000)/10+ROW()/100000,IF(AND(AE207="Quick Win",U207&lt;&gt;"",AG207=0),800000+(10-AC207)*1000+ROW()/100000,IF(AND(AE207="Build a Path",COUNTIF($V$3:$V$502,"Yes")&lt;S_PathCap),900000+(10-AC207)*1000+(4-AD207)*100+ROW()/100000,"")))))</f>
        <v/>
      </c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8"/>
      <c r="T208" s="27"/>
      <c r="U208" s="27"/>
      <c r="V208" s="27"/>
      <c r="W208" s="27"/>
      <c r="X208" s="28"/>
      <c r="Y208" s="27"/>
      <c r="Z208" s="27"/>
      <c r="AA208" s="27"/>
      <c r="AB208" s="32" t="str">
        <f aca="false">IF($A208="","",IF(COUNTIF('Commercial Evidence'!$A$3:$A$502,$A208)=0,"",IF(COUNTIFS('Commercial Evidence'!$A$3:$A$502,$A208,'Commercial Evidence'!$B$3:$B$502,"Previous CBS Talks spend")+COUNTIFS('Commercial Evidence'!$A$3:$A$502,$A208,'Commercial Evidence'!$B$3:$B$502,"Sponsors student organisations")&gt;0,2,IF(COUNTIFS('Commercial Evidence'!$A$3:$A$502,$A208,'Commercial Evidence'!$B$3:$B$502,"Sponsors university activities")+COUNTIFS('Commercial Evidence'!$A$3:$A$502,$A208,'Commercial Evidence'!$B$3:$B$502,"Sponsors similar events")+COUNTIFS('Commercial Evidence'!$A$3:$A$502,$A208,'Commercial Evidence'!$B$3:$B$502,"Previous CBS Talks partner")&gt;0,1,0))))</f>
        <v/>
      </c>
      <c r="AC208" s="32" t="str">
        <f aca="false">IF($A208="","",IF(COUNT(G208,J208,M208,P208,AB208)&lt;5,"",G208+J208+M208+P208+AB208))</f>
        <v/>
      </c>
      <c r="AD208" s="32" t="str">
        <f aca="false">IF($A208="","",IF(COUNTIFS(Contacts!$A$3:$A$502,$A208,Contacts!$E$3:$E$502,"Champion",Contacts!$K$3:$K$502,"&lt;&gt;Yes",Contacts!$L$3:$L$502,"&lt;&gt;Yes")+COUNTIFS(Opportunities!$A$3:$A$502,$A208,Opportunities!$C$3:$C$502,"Won",Opportunities!$Q$3:$Q$502,"Satisfied")&gt;0,4,IF(COUNTIFS(Interactions!$B$3:$B$502,$A208,Interactions!$I$3:$I$502,"Yes",Interactions!$A$3:$A$502,"&gt;="&amp;(S_Today-S_WarmDays))&gt;0,3,IF(T208&lt;&gt;"",2,IF(COUNTIFS(Contacts!$A$3:$A$502,$A208,Contacts!$M$3:$M$502,"Yes",Contacts!$K$3:$K$502,"&lt;&gt;Yes",Contacts!$L$3:$L$502,"&lt;&gt;Yes")&gt;0,1,0)))))</f>
        <v/>
      </c>
      <c r="AE208" s="32" t="str">
        <f aca="false">IF($A208="","",IF(Z208="Yes","Do not contact",IF(AC208="","Research",IF(AND(AC208&gt;=S_FitHigh,AD208&gt;=S_AccessHigh),"Priority",IF(AC208&gt;=S_FitHigh,"Build a Path",IF(AD208&gt;=S_AccessHigh,"Quick Win","Low Priority"))))))</f>
        <v/>
      </c>
      <c r="AF208" s="33" t="str">
        <f aca="false">IF($A208="","",IF(_xlfn.MAXIFS(Interactions!$A$3:$A$502,Interactions!$B$3:$B$502,$A208)=0,"",_xlfn.MAXIFS(Interactions!$A$3:$A$502,Interactions!$B$3:$B$502,$A208)))</f>
        <v/>
      </c>
      <c r="AG208" s="32" t="str">
        <f aca="false">IF($A208="","",COUNTIFS(Opportunities!$A$3:$A$502,$A208,Opportunities!$X$3:$X$502,"Yes"))</f>
        <v/>
      </c>
      <c r="AH208" s="32" t="str">
        <f aca="false">IF($A208="","",_xlfn.TEXTJOIN(", ",TRUE(),IF(COUNTIF($A$3:$A$502,$A208)&gt;1,"Duplicate name",""),IF(OR(AND(G208=2,I208=""),AND(J208=2,L208=""),AND(M208=2,O208=""),AND(P208=2,R208="")),"Source missing for a 2",""),IF(F208="","No owner",IF(COUNTIFS(R_TeamName,F208,R_TeamActive,"No")&gt;0,"Needs new owner","")),IF(AND(V208="Yes",X208&lt;&gt;"",X208&lt;S_SemStart),"Path overdue",""),IF(AND(S208&lt;&gt;"",S208&lt;S_Today-365),"Stale research",""),IF(AND(AE208="Research",COUNTIF('Commercial Evidence'!$A$3:$A$502,$A208)=0),"Add commercial evidence","")))</f>
        <v/>
      </c>
      <c r="AI208" s="34" t="str">
        <f aca="false">IF(OR($A208="",Z208="Yes"),"",IF(AND(AE208="Priority",AG208=0,COUNTIFS(Opportunities!$A$3:$A$502,$A208,Opportunities!$Y$3:$Y$502,"Renewal due")=0),600000+(10-AC208)*1000+(4-AD208)*100+ROW()/100000,IF(V208="Yes",700000+IF(X208="",0,X208-40000)/10+ROW()/100000,IF(AND(AE208="Quick Win",U208&lt;&gt;"",AG208=0),800000+(10-AC208)*1000+ROW()/100000,IF(AND(AE208="Build a Path",COUNTIF($V$3:$V$502,"Yes")&lt;S_PathCap),900000+(10-AC208)*1000+(4-AD208)*100+ROW()/100000,"")))))</f>
        <v/>
      </c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8"/>
      <c r="T209" s="27"/>
      <c r="U209" s="27"/>
      <c r="V209" s="27"/>
      <c r="W209" s="27"/>
      <c r="X209" s="28"/>
      <c r="Y209" s="27"/>
      <c r="Z209" s="27"/>
      <c r="AA209" s="27"/>
      <c r="AB209" s="32" t="str">
        <f aca="false">IF($A209="","",IF(COUNTIF('Commercial Evidence'!$A$3:$A$502,$A209)=0,"",IF(COUNTIFS('Commercial Evidence'!$A$3:$A$502,$A209,'Commercial Evidence'!$B$3:$B$502,"Previous CBS Talks spend")+COUNTIFS('Commercial Evidence'!$A$3:$A$502,$A209,'Commercial Evidence'!$B$3:$B$502,"Sponsors student organisations")&gt;0,2,IF(COUNTIFS('Commercial Evidence'!$A$3:$A$502,$A209,'Commercial Evidence'!$B$3:$B$502,"Sponsors university activities")+COUNTIFS('Commercial Evidence'!$A$3:$A$502,$A209,'Commercial Evidence'!$B$3:$B$502,"Sponsors similar events")+COUNTIFS('Commercial Evidence'!$A$3:$A$502,$A209,'Commercial Evidence'!$B$3:$B$502,"Previous CBS Talks partner")&gt;0,1,0))))</f>
        <v/>
      </c>
      <c r="AC209" s="32" t="str">
        <f aca="false">IF($A209="","",IF(COUNT(G209,J209,M209,P209,AB209)&lt;5,"",G209+J209+M209+P209+AB209))</f>
        <v/>
      </c>
      <c r="AD209" s="32" t="str">
        <f aca="false">IF($A209="","",IF(COUNTIFS(Contacts!$A$3:$A$502,$A209,Contacts!$E$3:$E$502,"Champion",Contacts!$K$3:$K$502,"&lt;&gt;Yes",Contacts!$L$3:$L$502,"&lt;&gt;Yes")+COUNTIFS(Opportunities!$A$3:$A$502,$A209,Opportunities!$C$3:$C$502,"Won",Opportunities!$Q$3:$Q$502,"Satisfied")&gt;0,4,IF(COUNTIFS(Interactions!$B$3:$B$502,$A209,Interactions!$I$3:$I$502,"Yes",Interactions!$A$3:$A$502,"&gt;="&amp;(S_Today-S_WarmDays))&gt;0,3,IF(T209&lt;&gt;"",2,IF(COUNTIFS(Contacts!$A$3:$A$502,$A209,Contacts!$M$3:$M$502,"Yes",Contacts!$K$3:$K$502,"&lt;&gt;Yes",Contacts!$L$3:$L$502,"&lt;&gt;Yes")&gt;0,1,0)))))</f>
        <v/>
      </c>
      <c r="AE209" s="32" t="str">
        <f aca="false">IF($A209="","",IF(Z209="Yes","Do not contact",IF(AC209="","Research",IF(AND(AC209&gt;=S_FitHigh,AD209&gt;=S_AccessHigh),"Priority",IF(AC209&gt;=S_FitHigh,"Build a Path",IF(AD209&gt;=S_AccessHigh,"Quick Win","Low Priority"))))))</f>
        <v/>
      </c>
      <c r="AF209" s="33" t="str">
        <f aca="false">IF($A209="","",IF(_xlfn.MAXIFS(Interactions!$A$3:$A$502,Interactions!$B$3:$B$502,$A209)=0,"",_xlfn.MAXIFS(Interactions!$A$3:$A$502,Interactions!$B$3:$B$502,$A209)))</f>
        <v/>
      </c>
      <c r="AG209" s="32" t="str">
        <f aca="false">IF($A209="","",COUNTIFS(Opportunities!$A$3:$A$502,$A209,Opportunities!$X$3:$X$502,"Yes"))</f>
        <v/>
      </c>
      <c r="AH209" s="32" t="str">
        <f aca="false">IF($A209="","",_xlfn.TEXTJOIN(", ",TRUE(),IF(COUNTIF($A$3:$A$502,$A209)&gt;1,"Duplicate name",""),IF(OR(AND(G209=2,I209=""),AND(J209=2,L209=""),AND(M209=2,O209=""),AND(P209=2,R209="")),"Source missing for a 2",""),IF(F209="","No owner",IF(COUNTIFS(R_TeamName,F209,R_TeamActive,"No")&gt;0,"Needs new owner","")),IF(AND(V209="Yes",X209&lt;&gt;"",X209&lt;S_SemStart),"Path overdue",""),IF(AND(S209&lt;&gt;"",S209&lt;S_Today-365),"Stale research",""),IF(AND(AE209="Research",COUNTIF('Commercial Evidence'!$A$3:$A$502,$A209)=0),"Add commercial evidence","")))</f>
        <v/>
      </c>
      <c r="AI209" s="34" t="str">
        <f aca="false">IF(OR($A209="",Z209="Yes"),"",IF(AND(AE209="Priority",AG209=0,COUNTIFS(Opportunities!$A$3:$A$502,$A209,Opportunities!$Y$3:$Y$502,"Renewal due")=0),600000+(10-AC209)*1000+(4-AD209)*100+ROW()/100000,IF(V209="Yes",700000+IF(X209="",0,X209-40000)/10+ROW()/100000,IF(AND(AE209="Quick Win",U209&lt;&gt;"",AG209=0),800000+(10-AC209)*1000+ROW()/100000,IF(AND(AE209="Build a Path",COUNTIF($V$3:$V$502,"Yes")&lt;S_PathCap),900000+(10-AC209)*1000+(4-AD209)*100+ROW()/100000,"")))))</f>
        <v/>
      </c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8"/>
      <c r="T210" s="27"/>
      <c r="U210" s="27"/>
      <c r="V210" s="27"/>
      <c r="W210" s="27"/>
      <c r="X210" s="28"/>
      <c r="Y210" s="27"/>
      <c r="Z210" s="27"/>
      <c r="AA210" s="27"/>
      <c r="AB210" s="32" t="str">
        <f aca="false">IF($A210="","",IF(COUNTIF('Commercial Evidence'!$A$3:$A$502,$A210)=0,"",IF(COUNTIFS('Commercial Evidence'!$A$3:$A$502,$A210,'Commercial Evidence'!$B$3:$B$502,"Previous CBS Talks spend")+COUNTIFS('Commercial Evidence'!$A$3:$A$502,$A210,'Commercial Evidence'!$B$3:$B$502,"Sponsors student organisations")&gt;0,2,IF(COUNTIFS('Commercial Evidence'!$A$3:$A$502,$A210,'Commercial Evidence'!$B$3:$B$502,"Sponsors university activities")+COUNTIFS('Commercial Evidence'!$A$3:$A$502,$A210,'Commercial Evidence'!$B$3:$B$502,"Sponsors similar events")+COUNTIFS('Commercial Evidence'!$A$3:$A$502,$A210,'Commercial Evidence'!$B$3:$B$502,"Previous CBS Talks partner")&gt;0,1,0))))</f>
        <v/>
      </c>
      <c r="AC210" s="32" t="str">
        <f aca="false">IF($A210="","",IF(COUNT(G210,J210,M210,P210,AB210)&lt;5,"",G210+J210+M210+P210+AB210))</f>
        <v/>
      </c>
      <c r="AD210" s="32" t="str">
        <f aca="false">IF($A210="","",IF(COUNTIFS(Contacts!$A$3:$A$502,$A210,Contacts!$E$3:$E$502,"Champion",Contacts!$K$3:$K$502,"&lt;&gt;Yes",Contacts!$L$3:$L$502,"&lt;&gt;Yes")+COUNTIFS(Opportunities!$A$3:$A$502,$A210,Opportunities!$C$3:$C$502,"Won",Opportunities!$Q$3:$Q$502,"Satisfied")&gt;0,4,IF(COUNTIFS(Interactions!$B$3:$B$502,$A210,Interactions!$I$3:$I$502,"Yes",Interactions!$A$3:$A$502,"&gt;="&amp;(S_Today-S_WarmDays))&gt;0,3,IF(T210&lt;&gt;"",2,IF(COUNTIFS(Contacts!$A$3:$A$502,$A210,Contacts!$M$3:$M$502,"Yes",Contacts!$K$3:$K$502,"&lt;&gt;Yes",Contacts!$L$3:$L$502,"&lt;&gt;Yes")&gt;0,1,0)))))</f>
        <v/>
      </c>
      <c r="AE210" s="32" t="str">
        <f aca="false">IF($A210="","",IF(Z210="Yes","Do not contact",IF(AC210="","Research",IF(AND(AC210&gt;=S_FitHigh,AD210&gt;=S_AccessHigh),"Priority",IF(AC210&gt;=S_FitHigh,"Build a Path",IF(AD210&gt;=S_AccessHigh,"Quick Win","Low Priority"))))))</f>
        <v/>
      </c>
      <c r="AF210" s="33" t="str">
        <f aca="false">IF($A210="","",IF(_xlfn.MAXIFS(Interactions!$A$3:$A$502,Interactions!$B$3:$B$502,$A210)=0,"",_xlfn.MAXIFS(Interactions!$A$3:$A$502,Interactions!$B$3:$B$502,$A210)))</f>
        <v/>
      </c>
      <c r="AG210" s="32" t="str">
        <f aca="false">IF($A210="","",COUNTIFS(Opportunities!$A$3:$A$502,$A210,Opportunities!$X$3:$X$502,"Yes"))</f>
        <v/>
      </c>
      <c r="AH210" s="32" t="str">
        <f aca="false">IF($A210="","",_xlfn.TEXTJOIN(", ",TRUE(),IF(COUNTIF($A$3:$A$502,$A210)&gt;1,"Duplicate name",""),IF(OR(AND(G210=2,I210=""),AND(J210=2,L210=""),AND(M210=2,O210=""),AND(P210=2,R210="")),"Source missing for a 2",""),IF(F210="","No owner",IF(COUNTIFS(R_TeamName,F210,R_TeamActive,"No")&gt;0,"Needs new owner","")),IF(AND(V210="Yes",X210&lt;&gt;"",X210&lt;S_SemStart),"Path overdue",""),IF(AND(S210&lt;&gt;"",S210&lt;S_Today-365),"Stale research",""),IF(AND(AE210="Research",COUNTIF('Commercial Evidence'!$A$3:$A$502,$A210)=0),"Add commercial evidence","")))</f>
        <v/>
      </c>
      <c r="AI210" s="34" t="str">
        <f aca="false">IF(OR($A210="",Z210="Yes"),"",IF(AND(AE210="Priority",AG210=0,COUNTIFS(Opportunities!$A$3:$A$502,$A210,Opportunities!$Y$3:$Y$502,"Renewal due")=0),600000+(10-AC210)*1000+(4-AD210)*100+ROW()/100000,IF(V210="Yes",700000+IF(X210="",0,X210-40000)/10+ROW()/100000,IF(AND(AE210="Quick Win",U210&lt;&gt;"",AG210=0),800000+(10-AC210)*1000+ROW()/100000,IF(AND(AE210="Build a Path",COUNTIF($V$3:$V$502,"Yes")&lt;S_PathCap),900000+(10-AC210)*1000+(4-AD210)*100+ROW()/100000,"")))))</f>
        <v/>
      </c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8"/>
      <c r="T211" s="27"/>
      <c r="U211" s="27"/>
      <c r="V211" s="27"/>
      <c r="W211" s="27"/>
      <c r="X211" s="28"/>
      <c r="Y211" s="27"/>
      <c r="Z211" s="27"/>
      <c r="AA211" s="27"/>
      <c r="AB211" s="32" t="str">
        <f aca="false">IF($A211="","",IF(COUNTIF('Commercial Evidence'!$A$3:$A$502,$A211)=0,"",IF(COUNTIFS('Commercial Evidence'!$A$3:$A$502,$A211,'Commercial Evidence'!$B$3:$B$502,"Previous CBS Talks spend")+COUNTIFS('Commercial Evidence'!$A$3:$A$502,$A211,'Commercial Evidence'!$B$3:$B$502,"Sponsors student organisations")&gt;0,2,IF(COUNTIFS('Commercial Evidence'!$A$3:$A$502,$A211,'Commercial Evidence'!$B$3:$B$502,"Sponsors university activities")+COUNTIFS('Commercial Evidence'!$A$3:$A$502,$A211,'Commercial Evidence'!$B$3:$B$502,"Sponsors similar events")+COUNTIFS('Commercial Evidence'!$A$3:$A$502,$A211,'Commercial Evidence'!$B$3:$B$502,"Previous CBS Talks partner")&gt;0,1,0))))</f>
        <v/>
      </c>
      <c r="AC211" s="32" t="str">
        <f aca="false">IF($A211="","",IF(COUNT(G211,J211,M211,P211,AB211)&lt;5,"",G211+J211+M211+P211+AB211))</f>
        <v/>
      </c>
      <c r="AD211" s="32" t="str">
        <f aca="false">IF($A211="","",IF(COUNTIFS(Contacts!$A$3:$A$502,$A211,Contacts!$E$3:$E$502,"Champion",Contacts!$K$3:$K$502,"&lt;&gt;Yes",Contacts!$L$3:$L$502,"&lt;&gt;Yes")+COUNTIFS(Opportunities!$A$3:$A$502,$A211,Opportunities!$C$3:$C$502,"Won",Opportunities!$Q$3:$Q$502,"Satisfied")&gt;0,4,IF(COUNTIFS(Interactions!$B$3:$B$502,$A211,Interactions!$I$3:$I$502,"Yes",Interactions!$A$3:$A$502,"&gt;="&amp;(S_Today-S_WarmDays))&gt;0,3,IF(T211&lt;&gt;"",2,IF(COUNTIFS(Contacts!$A$3:$A$502,$A211,Contacts!$M$3:$M$502,"Yes",Contacts!$K$3:$K$502,"&lt;&gt;Yes",Contacts!$L$3:$L$502,"&lt;&gt;Yes")&gt;0,1,0)))))</f>
        <v/>
      </c>
      <c r="AE211" s="32" t="str">
        <f aca="false">IF($A211="","",IF(Z211="Yes","Do not contact",IF(AC211="","Research",IF(AND(AC211&gt;=S_FitHigh,AD211&gt;=S_AccessHigh),"Priority",IF(AC211&gt;=S_FitHigh,"Build a Path",IF(AD211&gt;=S_AccessHigh,"Quick Win","Low Priority"))))))</f>
        <v/>
      </c>
      <c r="AF211" s="33" t="str">
        <f aca="false">IF($A211="","",IF(_xlfn.MAXIFS(Interactions!$A$3:$A$502,Interactions!$B$3:$B$502,$A211)=0,"",_xlfn.MAXIFS(Interactions!$A$3:$A$502,Interactions!$B$3:$B$502,$A211)))</f>
        <v/>
      </c>
      <c r="AG211" s="32" t="str">
        <f aca="false">IF($A211="","",COUNTIFS(Opportunities!$A$3:$A$502,$A211,Opportunities!$X$3:$X$502,"Yes"))</f>
        <v/>
      </c>
      <c r="AH211" s="32" t="str">
        <f aca="false">IF($A211="","",_xlfn.TEXTJOIN(", ",TRUE(),IF(COUNTIF($A$3:$A$502,$A211)&gt;1,"Duplicate name",""),IF(OR(AND(G211=2,I211=""),AND(J211=2,L211=""),AND(M211=2,O211=""),AND(P211=2,R211="")),"Source missing for a 2",""),IF(F211="","No owner",IF(COUNTIFS(R_TeamName,F211,R_TeamActive,"No")&gt;0,"Needs new owner","")),IF(AND(V211="Yes",X211&lt;&gt;"",X211&lt;S_SemStart),"Path overdue",""),IF(AND(S211&lt;&gt;"",S211&lt;S_Today-365),"Stale research",""),IF(AND(AE211="Research",COUNTIF('Commercial Evidence'!$A$3:$A$502,$A211)=0),"Add commercial evidence","")))</f>
        <v/>
      </c>
      <c r="AI211" s="34" t="str">
        <f aca="false">IF(OR($A211="",Z211="Yes"),"",IF(AND(AE211="Priority",AG211=0,COUNTIFS(Opportunities!$A$3:$A$502,$A211,Opportunities!$Y$3:$Y$502,"Renewal due")=0),600000+(10-AC211)*1000+(4-AD211)*100+ROW()/100000,IF(V211="Yes",700000+IF(X211="",0,X211-40000)/10+ROW()/100000,IF(AND(AE211="Quick Win",U211&lt;&gt;"",AG211=0),800000+(10-AC211)*1000+ROW()/100000,IF(AND(AE211="Build a Path",COUNTIF($V$3:$V$502,"Yes")&lt;S_PathCap),900000+(10-AC211)*1000+(4-AD211)*100+ROW()/100000,"")))))</f>
        <v/>
      </c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8"/>
      <c r="T212" s="27"/>
      <c r="U212" s="27"/>
      <c r="V212" s="27"/>
      <c r="W212" s="27"/>
      <c r="X212" s="28"/>
      <c r="Y212" s="27"/>
      <c r="Z212" s="27"/>
      <c r="AA212" s="27"/>
      <c r="AB212" s="32" t="str">
        <f aca="false">IF($A212="","",IF(COUNTIF('Commercial Evidence'!$A$3:$A$502,$A212)=0,"",IF(COUNTIFS('Commercial Evidence'!$A$3:$A$502,$A212,'Commercial Evidence'!$B$3:$B$502,"Previous CBS Talks spend")+COUNTIFS('Commercial Evidence'!$A$3:$A$502,$A212,'Commercial Evidence'!$B$3:$B$502,"Sponsors student organisations")&gt;0,2,IF(COUNTIFS('Commercial Evidence'!$A$3:$A$502,$A212,'Commercial Evidence'!$B$3:$B$502,"Sponsors university activities")+COUNTIFS('Commercial Evidence'!$A$3:$A$502,$A212,'Commercial Evidence'!$B$3:$B$502,"Sponsors similar events")+COUNTIFS('Commercial Evidence'!$A$3:$A$502,$A212,'Commercial Evidence'!$B$3:$B$502,"Previous CBS Talks partner")&gt;0,1,0))))</f>
        <v/>
      </c>
      <c r="AC212" s="32" t="str">
        <f aca="false">IF($A212="","",IF(COUNT(G212,J212,M212,P212,AB212)&lt;5,"",G212+J212+M212+P212+AB212))</f>
        <v/>
      </c>
      <c r="AD212" s="32" t="str">
        <f aca="false">IF($A212="","",IF(COUNTIFS(Contacts!$A$3:$A$502,$A212,Contacts!$E$3:$E$502,"Champion",Contacts!$K$3:$K$502,"&lt;&gt;Yes",Contacts!$L$3:$L$502,"&lt;&gt;Yes")+COUNTIFS(Opportunities!$A$3:$A$502,$A212,Opportunities!$C$3:$C$502,"Won",Opportunities!$Q$3:$Q$502,"Satisfied")&gt;0,4,IF(COUNTIFS(Interactions!$B$3:$B$502,$A212,Interactions!$I$3:$I$502,"Yes",Interactions!$A$3:$A$502,"&gt;="&amp;(S_Today-S_WarmDays))&gt;0,3,IF(T212&lt;&gt;"",2,IF(COUNTIFS(Contacts!$A$3:$A$502,$A212,Contacts!$M$3:$M$502,"Yes",Contacts!$K$3:$K$502,"&lt;&gt;Yes",Contacts!$L$3:$L$502,"&lt;&gt;Yes")&gt;0,1,0)))))</f>
        <v/>
      </c>
      <c r="AE212" s="32" t="str">
        <f aca="false">IF($A212="","",IF(Z212="Yes","Do not contact",IF(AC212="","Research",IF(AND(AC212&gt;=S_FitHigh,AD212&gt;=S_AccessHigh),"Priority",IF(AC212&gt;=S_FitHigh,"Build a Path",IF(AD212&gt;=S_AccessHigh,"Quick Win","Low Priority"))))))</f>
        <v/>
      </c>
      <c r="AF212" s="33" t="str">
        <f aca="false">IF($A212="","",IF(_xlfn.MAXIFS(Interactions!$A$3:$A$502,Interactions!$B$3:$B$502,$A212)=0,"",_xlfn.MAXIFS(Interactions!$A$3:$A$502,Interactions!$B$3:$B$502,$A212)))</f>
        <v/>
      </c>
      <c r="AG212" s="32" t="str">
        <f aca="false">IF($A212="","",COUNTIFS(Opportunities!$A$3:$A$502,$A212,Opportunities!$X$3:$X$502,"Yes"))</f>
        <v/>
      </c>
      <c r="AH212" s="32" t="str">
        <f aca="false">IF($A212="","",_xlfn.TEXTJOIN(", ",TRUE(),IF(COUNTIF($A$3:$A$502,$A212)&gt;1,"Duplicate name",""),IF(OR(AND(G212=2,I212=""),AND(J212=2,L212=""),AND(M212=2,O212=""),AND(P212=2,R212="")),"Source missing for a 2",""),IF(F212="","No owner",IF(COUNTIFS(R_TeamName,F212,R_TeamActive,"No")&gt;0,"Needs new owner","")),IF(AND(V212="Yes",X212&lt;&gt;"",X212&lt;S_SemStart),"Path overdue",""),IF(AND(S212&lt;&gt;"",S212&lt;S_Today-365),"Stale research",""),IF(AND(AE212="Research",COUNTIF('Commercial Evidence'!$A$3:$A$502,$A212)=0),"Add commercial evidence","")))</f>
        <v/>
      </c>
      <c r="AI212" s="34" t="str">
        <f aca="false">IF(OR($A212="",Z212="Yes"),"",IF(AND(AE212="Priority",AG212=0,COUNTIFS(Opportunities!$A$3:$A$502,$A212,Opportunities!$Y$3:$Y$502,"Renewal due")=0),600000+(10-AC212)*1000+(4-AD212)*100+ROW()/100000,IF(V212="Yes",700000+IF(X212="",0,X212-40000)/10+ROW()/100000,IF(AND(AE212="Quick Win",U212&lt;&gt;"",AG212=0),800000+(10-AC212)*1000+ROW()/100000,IF(AND(AE212="Build a Path",COUNTIF($V$3:$V$502,"Yes")&lt;S_PathCap),900000+(10-AC212)*1000+(4-AD212)*100+ROW()/100000,"")))))</f>
        <v/>
      </c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8"/>
      <c r="T213" s="27"/>
      <c r="U213" s="27"/>
      <c r="V213" s="27"/>
      <c r="W213" s="27"/>
      <c r="X213" s="28"/>
      <c r="Y213" s="27"/>
      <c r="Z213" s="27"/>
      <c r="AA213" s="27"/>
      <c r="AB213" s="32" t="str">
        <f aca="false">IF($A213="","",IF(COUNTIF('Commercial Evidence'!$A$3:$A$502,$A213)=0,"",IF(COUNTIFS('Commercial Evidence'!$A$3:$A$502,$A213,'Commercial Evidence'!$B$3:$B$502,"Previous CBS Talks spend")+COUNTIFS('Commercial Evidence'!$A$3:$A$502,$A213,'Commercial Evidence'!$B$3:$B$502,"Sponsors student organisations")&gt;0,2,IF(COUNTIFS('Commercial Evidence'!$A$3:$A$502,$A213,'Commercial Evidence'!$B$3:$B$502,"Sponsors university activities")+COUNTIFS('Commercial Evidence'!$A$3:$A$502,$A213,'Commercial Evidence'!$B$3:$B$502,"Sponsors similar events")+COUNTIFS('Commercial Evidence'!$A$3:$A$502,$A213,'Commercial Evidence'!$B$3:$B$502,"Previous CBS Talks partner")&gt;0,1,0))))</f>
        <v/>
      </c>
      <c r="AC213" s="32" t="str">
        <f aca="false">IF($A213="","",IF(COUNT(G213,J213,M213,P213,AB213)&lt;5,"",G213+J213+M213+P213+AB213))</f>
        <v/>
      </c>
      <c r="AD213" s="32" t="str">
        <f aca="false">IF($A213="","",IF(COUNTIFS(Contacts!$A$3:$A$502,$A213,Contacts!$E$3:$E$502,"Champion",Contacts!$K$3:$K$502,"&lt;&gt;Yes",Contacts!$L$3:$L$502,"&lt;&gt;Yes")+COUNTIFS(Opportunities!$A$3:$A$502,$A213,Opportunities!$C$3:$C$502,"Won",Opportunities!$Q$3:$Q$502,"Satisfied")&gt;0,4,IF(COUNTIFS(Interactions!$B$3:$B$502,$A213,Interactions!$I$3:$I$502,"Yes",Interactions!$A$3:$A$502,"&gt;="&amp;(S_Today-S_WarmDays))&gt;0,3,IF(T213&lt;&gt;"",2,IF(COUNTIFS(Contacts!$A$3:$A$502,$A213,Contacts!$M$3:$M$502,"Yes",Contacts!$K$3:$K$502,"&lt;&gt;Yes",Contacts!$L$3:$L$502,"&lt;&gt;Yes")&gt;0,1,0)))))</f>
        <v/>
      </c>
      <c r="AE213" s="32" t="str">
        <f aca="false">IF($A213="","",IF(Z213="Yes","Do not contact",IF(AC213="","Research",IF(AND(AC213&gt;=S_FitHigh,AD213&gt;=S_AccessHigh),"Priority",IF(AC213&gt;=S_FitHigh,"Build a Path",IF(AD213&gt;=S_AccessHigh,"Quick Win","Low Priority"))))))</f>
        <v/>
      </c>
      <c r="AF213" s="33" t="str">
        <f aca="false">IF($A213="","",IF(_xlfn.MAXIFS(Interactions!$A$3:$A$502,Interactions!$B$3:$B$502,$A213)=0,"",_xlfn.MAXIFS(Interactions!$A$3:$A$502,Interactions!$B$3:$B$502,$A213)))</f>
        <v/>
      </c>
      <c r="AG213" s="32" t="str">
        <f aca="false">IF($A213="","",COUNTIFS(Opportunities!$A$3:$A$502,$A213,Opportunities!$X$3:$X$502,"Yes"))</f>
        <v/>
      </c>
      <c r="AH213" s="32" t="str">
        <f aca="false">IF($A213="","",_xlfn.TEXTJOIN(", ",TRUE(),IF(COUNTIF($A$3:$A$502,$A213)&gt;1,"Duplicate name",""),IF(OR(AND(G213=2,I213=""),AND(J213=2,L213=""),AND(M213=2,O213=""),AND(P213=2,R213="")),"Source missing for a 2",""),IF(F213="","No owner",IF(COUNTIFS(R_TeamName,F213,R_TeamActive,"No")&gt;0,"Needs new owner","")),IF(AND(V213="Yes",X213&lt;&gt;"",X213&lt;S_SemStart),"Path overdue",""),IF(AND(S213&lt;&gt;"",S213&lt;S_Today-365),"Stale research",""),IF(AND(AE213="Research",COUNTIF('Commercial Evidence'!$A$3:$A$502,$A213)=0),"Add commercial evidence","")))</f>
        <v/>
      </c>
      <c r="AI213" s="34" t="str">
        <f aca="false">IF(OR($A213="",Z213="Yes"),"",IF(AND(AE213="Priority",AG213=0,COUNTIFS(Opportunities!$A$3:$A$502,$A213,Opportunities!$Y$3:$Y$502,"Renewal due")=0),600000+(10-AC213)*1000+(4-AD213)*100+ROW()/100000,IF(V213="Yes",700000+IF(X213="",0,X213-40000)/10+ROW()/100000,IF(AND(AE213="Quick Win",U213&lt;&gt;"",AG213=0),800000+(10-AC213)*1000+ROW()/100000,IF(AND(AE213="Build a Path",COUNTIF($V$3:$V$502,"Yes")&lt;S_PathCap),900000+(10-AC213)*1000+(4-AD213)*100+ROW()/100000,"")))))</f>
        <v/>
      </c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8"/>
      <c r="T214" s="27"/>
      <c r="U214" s="27"/>
      <c r="V214" s="27"/>
      <c r="W214" s="27"/>
      <c r="X214" s="28"/>
      <c r="Y214" s="27"/>
      <c r="Z214" s="27"/>
      <c r="AA214" s="27"/>
      <c r="AB214" s="32" t="str">
        <f aca="false">IF($A214="","",IF(COUNTIF('Commercial Evidence'!$A$3:$A$502,$A214)=0,"",IF(COUNTIFS('Commercial Evidence'!$A$3:$A$502,$A214,'Commercial Evidence'!$B$3:$B$502,"Previous CBS Talks spend")+COUNTIFS('Commercial Evidence'!$A$3:$A$502,$A214,'Commercial Evidence'!$B$3:$B$502,"Sponsors student organisations")&gt;0,2,IF(COUNTIFS('Commercial Evidence'!$A$3:$A$502,$A214,'Commercial Evidence'!$B$3:$B$502,"Sponsors university activities")+COUNTIFS('Commercial Evidence'!$A$3:$A$502,$A214,'Commercial Evidence'!$B$3:$B$502,"Sponsors similar events")+COUNTIFS('Commercial Evidence'!$A$3:$A$502,$A214,'Commercial Evidence'!$B$3:$B$502,"Previous CBS Talks partner")&gt;0,1,0))))</f>
        <v/>
      </c>
      <c r="AC214" s="32" t="str">
        <f aca="false">IF($A214="","",IF(COUNT(G214,J214,M214,P214,AB214)&lt;5,"",G214+J214+M214+P214+AB214))</f>
        <v/>
      </c>
      <c r="AD214" s="32" t="str">
        <f aca="false">IF($A214="","",IF(COUNTIFS(Contacts!$A$3:$A$502,$A214,Contacts!$E$3:$E$502,"Champion",Contacts!$K$3:$K$502,"&lt;&gt;Yes",Contacts!$L$3:$L$502,"&lt;&gt;Yes")+COUNTIFS(Opportunities!$A$3:$A$502,$A214,Opportunities!$C$3:$C$502,"Won",Opportunities!$Q$3:$Q$502,"Satisfied")&gt;0,4,IF(COUNTIFS(Interactions!$B$3:$B$502,$A214,Interactions!$I$3:$I$502,"Yes",Interactions!$A$3:$A$502,"&gt;="&amp;(S_Today-S_WarmDays))&gt;0,3,IF(T214&lt;&gt;"",2,IF(COUNTIFS(Contacts!$A$3:$A$502,$A214,Contacts!$M$3:$M$502,"Yes",Contacts!$K$3:$K$502,"&lt;&gt;Yes",Contacts!$L$3:$L$502,"&lt;&gt;Yes")&gt;0,1,0)))))</f>
        <v/>
      </c>
      <c r="AE214" s="32" t="str">
        <f aca="false">IF($A214="","",IF(Z214="Yes","Do not contact",IF(AC214="","Research",IF(AND(AC214&gt;=S_FitHigh,AD214&gt;=S_AccessHigh),"Priority",IF(AC214&gt;=S_FitHigh,"Build a Path",IF(AD214&gt;=S_AccessHigh,"Quick Win","Low Priority"))))))</f>
        <v/>
      </c>
      <c r="AF214" s="33" t="str">
        <f aca="false">IF($A214="","",IF(_xlfn.MAXIFS(Interactions!$A$3:$A$502,Interactions!$B$3:$B$502,$A214)=0,"",_xlfn.MAXIFS(Interactions!$A$3:$A$502,Interactions!$B$3:$B$502,$A214)))</f>
        <v/>
      </c>
      <c r="AG214" s="32" t="str">
        <f aca="false">IF($A214="","",COUNTIFS(Opportunities!$A$3:$A$502,$A214,Opportunities!$X$3:$X$502,"Yes"))</f>
        <v/>
      </c>
      <c r="AH214" s="32" t="str">
        <f aca="false">IF($A214="","",_xlfn.TEXTJOIN(", ",TRUE(),IF(COUNTIF($A$3:$A$502,$A214)&gt;1,"Duplicate name",""),IF(OR(AND(G214=2,I214=""),AND(J214=2,L214=""),AND(M214=2,O214=""),AND(P214=2,R214="")),"Source missing for a 2",""),IF(F214="","No owner",IF(COUNTIFS(R_TeamName,F214,R_TeamActive,"No")&gt;0,"Needs new owner","")),IF(AND(V214="Yes",X214&lt;&gt;"",X214&lt;S_SemStart),"Path overdue",""),IF(AND(S214&lt;&gt;"",S214&lt;S_Today-365),"Stale research",""),IF(AND(AE214="Research",COUNTIF('Commercial Evidence'!$A$3:$A$502,$A214)=0),"Add commercial evidence","")))</f>
        <v/>
      </c>
      <c r="AI214" s="34" t="str">
        <f aca="false">IF(OR($A214="",Z214="Yes"),"",IF(AND(AE214="Priority",AG214=0,COUNTIFS(Opportunities!$A$3:$A$502,$A214,Opportunities!$Y$3:$Y$502,"Renewal due")=0),600000+(10-AC214)*1000+(4-AD214)*100+ROW()/100000,IF(V214="Yes",700000+IF(X214="",0,X214-40000)/10+ROW()/100000,IF(AND(AE214="Quick Win",U214&lt;&gt;"",AG214=0),800000+(10-AC214)*1000+ROW()/100000,IF(AND(AE214="Build a Path",COUNTIF($V$3:$V$502,"Yes")&lt;S_PathCap),900000+(10-AC214)*1000+(4-AD214)*100+ROW()/100000,"")))))</f>
        <v/>
      </c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8"/>
      <c r="T215" s="27"/>
      <c r="U215" s="27"/>
      <c r="V215" s="27"/>
      <c r="W215" s="27"/>
      <c r="X215" s="28"/>
      <c r="Y215" s="27"/>
      <c r="Z215" s="27"/>
      <c r="AA215" s="27"/>
      <c r="AB215" s="32" t="str">
        <f aca="false">IF($A215="","",IF(COUNTIF('Commercial Evidence'!$A$3:$A$502,$A215)=0,"",IF(COUNTIFS('Commercial Evidence'!$A$3:$A$502,$A215,'Commercial Evidence'!$B$3:$B$502,"Previous CBS Talks spend")+COUNTIFS('Commercial Evidence'!$A$3:$A$502,$A215,'Commercial Evidence'!$B$3:$B$502,"Sponsors student organisations")&gt;0,2,IF(COUNTIFS('Commercial Evidence'!$A$3:$A$502,$A215,'Commercial Evidence'!$B$3:$B$502,"Sponsors university activities")+COUNTIFS('Commercial Evidence'!$A$3:$A$502,$A215,'Commercial Evidence'!$B$3:$B$502,"Sponsors similar events")+COUNTIFS('Commercial Evidence'!$A$3:$A$502,$A215,'Commercial Evidence'!$B$3:$B$502,"Previous CBS Talks partner")&gt;0,1,0))))</f>
        <v/>
      </c>
      <c r="AC215" s="32" t="str">
        <f aca="false">IF($A215="","",IF(COUNT(G215,J215,M215,P215,AB215)&lt;5,"",G215+J215+M215+P215+AB215))</f>
        <v/>
      </c>
      <c r="AD215" s="32" t="str">
        <f aca="false">IF($A215="","",IF(COUNTIFS(Contacts!$A$3:$A$502,$A215,Contacts!$E$3:$E$502,"Champion",Contacts!$K$3:$K$502,"&lt;&gt;Yes",Contacts!$L$3:$L$502,"&lt;&gt;Yes")+COUNTIFS(Opportunities!$A$3:$A$502,$A215,Opportunities!$C$3:$C$502,"Won",Opportunities!$Q$3:$Q$502,"Satisfied")&gt;0,4,IF(COUNTIFS(Interactions!$B$3:$B$502,$A215,Interactions!$I$3:$I$502,"Yes",Interactions!$A$3:$A$502,"&gt;="&amp;(S_Today-S_WarmDays))&gt;0,3,IF(T215&lt;&gt;"",2,IF(COUNTIFS(Contacts!$A$3:$A$502,$A215,Contacts!$M$3:$M$502,"Yes",Contacts!$K$3:$K$502,"&lt;&gt;Yes",Contacts!$L$3:$L$502,"&lt;&gt;Yes")&gt;0,1,0)))))</f>
        <v/>
      </c>
      <c r="AE215" s="32" t="str">
        <f aca="false">IF($A215="","",IF(Z215="Yes","Do not contact",IF(AC215="","Research",IF(AND(AC215&gt;=S_FitHigh,AD215&gt;=S_AccessHigh),"Priority",IF(AC215&gt;=S_FitHigh,"Build a Path",IF(AD215&gt;=S_AccessHigh,"Quick Win","Low Priority"))))))</f>
        <v/>
      </c>
      <c r="AF215" s="33" t="str">
        <f aca="false">IF($A215="","",IF(_xlfn.MAXIFS(Interactions!$A$3:$A$502,Interactions!$B$3:$B$502,$A215)=0,"",_xlfn.MAXIFS(Interactions!$A$3:$A$502,Interactions!$B$3:$B$502,$A215)))</f>
        <v/>
      </c>
      <c r="AG215" s="32" t="str">
        <f aca="false">IF($A215="","",COUNTIFS(Opportunities!$A$3:$A$502,$A215,Opportunities!$X$3:$X$502,"Yes"))</f>
        <v/>
      </c>
      <c r="AH215" s="32" t="str">
        <f aca="false">IF($A215="","",_xlfn.TEXTJOIN(", ",TRUE(),IF(COUNTIF($A$3:$A$502,$A215)&gt;1,"Duplicate name",""),IF(OR(AND(G215=2,I215=""),AND(J215=2,L215=""),AND(M215=2,O215=""),AND(P215=2,R215="")),"Source missing for a 2",""),IF(F215="","No owner",IF(COUNTIFS(R_TeamName,F215,R_TeamActive,"No")&gt;0,"Needs new owner","")),IF(AND(V215="Yes",X215&lt;&gt;"",X215&lt;S_SemStart),"Path overdue",""),IF(AND(S215&lt;&gt;"",S215&lt;S_Today-365),"Stale research",""),IF(AND(AE215="Research",COUNTIF('Commercial Evidence'!$A$3:$A$502,$A215)=0),"Add commercial evidence","")))</f>
        <v/>
      </c>
      <c r="AI215" s="34" t="str">
        <f aca="false">IF(OR($A215="",Z215="Yes"),"",IF(AND(AE215="Priority",AG215=0,COUNTIFS(Opportunities!$A$3:$A$502,$A215,Opportunities!$Y$3:$Y$502,"Renewal due")=0),600000+(10-AC215)*1000+(4-AD215)*100+ROW()/100000,IF(V215="Yes",700000+IF(X215="",0,X215-40000)/10+ROW()/100000,IF(AND(AE215="Quick Win",U215&lt;&gt;"",AG215=0),800000+(10-AC215)*1000+ROW()/100000,IF(AND(AE215="Build a Path",COUNTIF($V$3:$V$502,"Yes")&lt;S_PathCap),900000+(10-AC215)*1000+(4-AD215)*100+ROW()/100000,"")))))</f>
        <v/>
      </c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8"/>
      <c r="T216" s="27"/>
      <c r="U216" s="27"/>
      <c r="V216" s="27"/>
      <c r="W216" s="27"/>
      <c r="X216" s="28"/>
      <c r="Y216" s="27"/>
      <c r="Z216" s="27"/>
      <c r="AA216" s="27"/>
      <c r="AB216" s="32" t="str">
        <f aca="false">IF($A216="","",IF(COUNTIF('Commercial Evidence'!$A$3:$A$502,$A216)=0,"",IF(COUNTIFS('Commercial Evidence'!$A$3:$A$502,$A216,'Commercial Evidence'!$B$3:$B$502,"Previous CBS Talks spend")+COUNTIFS('Commercial Evidence'!$A$3:$A$502,$A216,'Commercial Evidence'!$B$3:$B$502,"Sponsors student organisations")&gt;0,2,IF(COUNTIFS('Commercial Evidence'!$A$3:$A$502,$A216,'Commercial Evidence'!$B$3:$B$502,"Sponsors university activities")+COUNTIFS('Commercial Evidence'!$A$3:$A$502,$A216,'Commercial Evidence'!$B$3:$B$502,"Sponsors similar events")+COUNTIFS('Commercial Evidence'!$A$3:$A$502,$A216,'Commercial Evidence'!$B$3:$B$502,"Previous CBS Talks partner")&gt;0,1,0))))</f>
        <v/>
      </c>
      <c r="AC216" s="32" t="str">
        <f aca="false">IF($A216="","",IF(COUNT(G216,J216,M216,P216,AB216)&lt;5,"",G216+J216+M216+P216+AB216))</f>
        <v/>
      </c>
      <c r="AD216" s="32" t="str">
        <f aca="false">IF($A216="","",IF(COUNTIFS(Contacts!$A$3:$A$502,$A216,Contacts!$E$3:$E$502,"Champion",Contacts!$K$3:$K$502,"&lt;&gt;Yes",Contacts!$L$3:$L$502,"&lt;&gt;Yes")+COUNTIFS(Opportunities!$A$3:$A$502,$A216,Opportunities!$C$3:$C$502,"Won",Opportunities!$Q$3:$Q$502,"Satisfied")&gt;0,4,IF(COUNTIFS(Interactions!$B$3:$B$502,$A216,Interactions!$I$3:$I$502,"Yes",Interactions!$A$3:$A$502,"&gt;="&amp;(S_Today-S_WarmDays))&gt;0,3,IF(T216&lt;&gt;"",2,IF(COUNTIFS(Contacts!$A$3:$A$502,$A216,Contacts!$M$3:$M$502,"Yes",Contacts!$K$3:$K$502,"&lt;&gt;Yes",Contacts!$L$3:$L$502,"&lt;&gt;Yes")&gt;0,1,0)))))</f>
        <v/>
      </c>
      <c r="AE216" s="32" t="str">
        <f aca="false">IF($A216="","",IF(Z216="Yes","Do not contact",IF(AC216="","Research",IF(AND(AC216&gt;=S_FitHigh,AD216&gt;=S_AccessHigh),"Priority",IF(AC216&gt;=S_FitHigh,"Build a Path",IF(AD216&gt;=S_AccessHigh,"Quick Win","Low Priority"))))))</f>
        <v/>
      </c>
      <c r="AF216" s="33" t="str">
        <f aca="false">IF($A216="","",IF(_xlfn.MAXIFS(Interactions!$A$3:$A$502,Interactions!$B$3:$B$502,$A216)=0,"",_xlfn.MAXIFS(Interactions!$A$3:$A$502,Interactions!$B$3:$B$502,$A216)))</f>
        <v/>
      </c>
      <c r="AG216" s="32" t="str">
        <f aca="false">IF($A216="","",COUNTIFS(Opportunities!$A$3:$A$502,$A216,Opportunities!$X$3:$X$502,"Yes"))</f>
        <v/>
      </c>
      <c r="AH216" s="32" t="str">
        <f aca="false">IF($A216="","",_xlfn.TEXTJOIN(", ",TRUE(),IF(COUNTIF($A$3:$A$502,$A216)&gt;1,"Duplicate name",""),IF(OR(AND(G216=2,I216=""),AND(J216=2,L216=""),AND(M216=2,O216=""),AND(P216=2,R216="")),"Source missing for a 2",""),IF(F216="","No owner",IF(COUNTIFS(R_TeamName,F216,R_TeamActive,"No")&gt;0,"Needs new owner","")),IF(AND(V216="Yes",X216&lt;&gt;"",X216&lt;S_SemStart),"Path overdue",""),IF(AND(S216&lt;&gt;"",S216&lt;S_Today-365),"Stale research",""),IF(AND(AE216="Research",COUNTIF('Commercial Evidence'!$A$3:$A$502,$A216)=0),"Add commercial evidence","")))</f>
        <v/>
      </c>
      <c r="AI216" s="34" t="str">
        <f aca="false">IF(OR($A216="",Z216="Yes"),"",IF(AND(AE216="Priority",AG216=0,COUNTIFS(Opportunities!$A$3:$A$502,$A216,Opportunities!$Y$3:$Y$502,"Renewal due")=0),600000+(10-AC216)*1000+(4-AD216)*100+ROW()/100000,IF(V216="Yes",700000+IF(X216="",0,X216-40000)/10+ROW()/100000,IF(AND(AE216="Quick Win",U216&lt;&gt;"",AG216=0),800000+(10-AC216)*1000+ROW()/100000,IF(AND(AE216="Build a Path",COUNTIF($V$3:$V$502,"Yes")&lt;S_PathCap),900000+(10-AC216)*1000+(4-AD216)*100+ROW()/100000,"")))))</f>
        <v/>
      </c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8"/>
      <c r="T217" s="27"/>
      <c r="U217" s="27"/>
      <c r="V217" s="27"/>
      <c r="W217" s="27"/>
      <c r="X217" s="28"/>
      <c r="Y217" s="27"/>
      <c r="Z217" s="27"/>
      <c r="AA217" s="27"/>
      <c r="AB217" s="32" t="str">
        <f aca="false">IF($A217="","",IF(COUNTIF('Commercial Evidence'!$A$3:$A$502,$A217)=0,"",IF(COUNTIFS('Commercial Evidence'!$A$3:$A$502,$A217,'Commercial Evidence'!$B$3:$B$502,"Previous CBS Talks spend")+COUNTIFS('Commercial Evidence'!$A$3:$A$502,$A217,'Commercial Evidence'!$B$3:$B$502,"Sponsors student organisations")&gt;0,2,IF(COUNTIFS('Commercial Evidence'!$A$3:$A$502,$A217,'Commercial Evidence'!$B$3:$B$502,"Sponsors university activities")+COUNTIFS('Commercial Evidence'!$A$3:$A$502,$A217,'Commercial Evidence'!$B$3:$B$502,"Sponsors similar events")+COUNTIFS('Commercial Evidence'!$A$3:$A$502,$A217,'Commercial Evidence'!$B$3:$B$502,"Previous CBS Talks partner")&gt;0,1,0))))</f>
        <v/>
      </c>
      <c r="AC217" s="32" t="str">
        <f aca="false">IF($A217="","",IF(COUNT(G217,J217,M217,P217,AB217)&lt;5,"",G217+J217+M217+P217+AB217))</f>
        <v/>
      </c>
      <c r="AD217" s="32" t="str">
        <f aca="false">IF($A217="","",IF(COUNTIFS(Contacts!$A$3:$A$502,$A217,Contacts!$E$3:$E$502,"Champion",Contacts!$K$3:$K$502,"&lt;&gt;Yes",Contacts!$L$3:$L$502,"&lt;&gt;Yes")+COUNTIFS(Opportunities!$A$3:$A$502,$A217,Opportunities!$C$3:$C$502,"Won",Opportunities!$Q$3:$Q$502,"Satisfied")&gt;0,4,IF(COUNTIFS(Interactions!$B$3:$B$502,$A217,Interactions!$I$3:$I$502,"Yes",Interactions!$A$3:$A$502,"&gt;="&amp;(S_Today-S_WarmDays))&gt;0,3,IF(T217&lt;&gt;"",2,IF(COUNTIFS(Contacts!$A$3:$A$502,$A217,Contacts!$M$3:$M$502,"Yes",Contacts!$K$3:$K$502,"&lt;&gt;Yes",Contacts!$L$3:$L$502,"&lt;&gt;Yes")&gt;0,1,0)))))</f>
        <v/>
      </c>
      <c r="AE217" s="32" t="str">
        <f aca="false">IF($A217="","",IF(Z217="Yes","Do not contact",IF(AC217="","Research",IF(AND(AC217&gt;=S_FitHigh,AD217&gt;=S_AccessHigh),"Priority",IF(AC217&gt;=S_FitHigh,"Build a Path",IF(AD217&gt;=S_AccessHigh,"Quick Win","Low Priority"))))))</f>
        <v/>
      </c>
      <c r="AF217" s="33" t="str">
        <f aca="false">IF($A217="","",IF(_xlfn.MAXIFS(Interactions!$A$3:$A$502,Interactions!$B$3:$B$502,$A217)=0,"",_xlfn.MAXIFS(Interactions!$A$3:$A$502,Interactions!$B$3:$B$502,$A217)))</f>
        <v/>
      </c>
      <c r="AG217" s="32" t="str">
        <f aca="false">IF($A217="","",COUNTIFS(Opportunities!$A$3:$A$502,$A217,Opportunities!$X$3:$X$502,"Yes"))</f>
        <v/>
      </c>
      <c r="AH217" s="32" t="str">
        <f aca="false">IF($A217="","",_xlfn.TEXTJOIN(", ",TRUE(),IF(COUNTIF($A$3:$A$502,$A217)&gt;1,"Duplicate name",""),IF(OR(AND(G217=2,I217=""),AND(J217=2,L217=""),AND(M217=2,O217=""),AND(P217=2,R217="")),"Source missing for a 2",""),IF(F217="","No owner",IF(COUNTIFS(R_TeamName,F217,R_TeamActive,"No")&gt;0,"Needs new owner","")),IF(AND(V217="Yes",X217&lt;&gt;"",X217&lt;S_SemStart),"Path overdue",""),IF(AND(S217&lt;&gt;"",S217&lt;S_Today-365),"Stale research",""),IF(AND(AE217="Research",COUNTIF('Commercial Evidence'!$A$3:$A$502,$A217)=0),"Add commercial evidence","")))</f>
        <v/>
      </c>
      <c r="AI217" s="34" t="str">
        <f aca="false">IF(OR($A217="",Z217="Yes"),"",IF(AND(AE217="Priority",AG217=0,COUNTIFS(Opportunities!$A$3:$A$502,$A217,Opportunities!$Y$3:$Y$502,"Renewal due")=0),600000+(10-AC217)*1000+(4-AD217)*100+ROW()/100000,IF(V217="Yes",700000+IF(X217="",0,X217-40000)/10+ROW()/100000,IF(AND(AE217="Quick Win",U217&lt;&gt;"",AG217=0),800000+(10-AC217)*1000+ROW()/100000,IF(AND(AE217="Build a Path",COUNTIF($V$3:$V$502,"Yes")&lt;S_PathCap),900000+(10-AC217)*1000+(4-AD217)*100+ROW()/100000,"")))))</f>
        <v/>
      </c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8"/>
      <c r="T218" s="27"/>
      <c r="U218" s="27"/>
      <c r="V218" s="27"/>
      <c r="W218" s="27"/>
      <c r="X218" s="28"/>
      <c r="Y218" s="27"/>
      <c r="Z218" s="27"/>
      <c r="AA218" s="27"/>
      <c r="AB218" s="32" t="str">
        <f aca="false">IF($A218="","",IF(COUNTIF('Commercial Evidence'!$A$3:$A$502,$A218)=0,"",IF(COUNTIFS('Commercial Evidence'!$A$3:$A$502,$A218,'Commercial Evidence'!$B$3:$B$502,"Previous CBS Talks spend")+COUNTIFS('Commercial Evidence'!$A$3:$A$502,$A218,'Commercial Evidence'!$B$3:$B$502,"Sponsors student organisations")&gt;0,2,IF(COUNTIFS('Commercial Evidence'!$A$3:$A$502,$A218,'Commercial Evidence'!$B$3:$B$502,"Sponsors university activities")+COUNTIFS('Commercial Evidence'!$A$3:$A$502,$A218,'Commercial Evidence'!$B$3:$B$502,"Sponsors similar events")+COUNTIFS('Commercial Evidence'!$A$3:$A$502,$A218,'Commercial Evidence'!$B$3:$B$502,"Previous CBS Talks partner")&gt;0,1,0))))</f>
        <v/>
      </c>
      <c r="AC218" s="32" t="str">
        <f aca="false">IF($A218="","",IF(COUNT(G218,J218,M218,P218,AB218)&lt;5,"",G218+J218+M218+P218+AB218))</f>
        <v/>
      </c>
      <c r="AD218" s="32" t="str">
        <f aca="false">IF($A218="","",IF(COUNTIFS(Contacts!$A$3:$A$502,$A218,Contacts!$E$3:$E$502,"Champion",Contacts!$K$3:$K$502,"&lt;&gt;Yes",Contacts!$L$3:$L$502,"&lt;&gt;Yes")+COUNTIFS(Opportunities!$A$3:$A$502,$A218,Opportunities!$C$3:$C$502,"Won",Opportunities!$Q$3:$Q$502,"Satisfied")&gt;0,4,IF(COUNTIFS(Interactions!$B$3:$B$502,$A218,Interactions!$I$3:$I$502,"Yes",Interactions!$A$3:$A$502,"&gt;="&amp;(S_Today-S_WarmDays))&gt;0,3,IF(T218&lt;&gt;"",2,IF(COUNTIFS(Contacts!$A$3:$A$502,$A218,Contacts!$M$3:$M$502,"Yes",Contacts!$K$3:$K$502,"&lt;&gt;Yes",Contacts!$L$3:$L$502,"&lt;&gt;Yes")&gt;0,1,0)))))</f>
        <v/>
      </c>
      <c r="AE218" s="32" t="str">
        <f aca="false">IF($A218="","",IF(Z218="Yes","Do not contact",IF(AC218="","Research",IF(AND(AC218&gt;=S_FitHigh,AD218&gt;=S_AccessHigh),"Priority",IF(AC218&gt;=S_FitHigh,"Build a Path",IF(AD218&gt;=S_AccessHigh,"Quick Win","Low Priority"))))))</f>
        <v/>
      </c>
      <c r="AF218" s="33" t="str">
        <f aca="false">IF($A218="","",IF(_xlfn.MAXIFS(Interactions!$A$3:$A$502,Interactions!$B$3:$B$502,$A218)=0,"",_xlfn.MAXIFS(Interactions!$A$3:$A$502,Interactions!$B$3:$B$502,$A218)))</f>
        <v/>
      </c>
      <c r="AG218" s="32" t="str">
        <f aca="false">IF($A218="","",COUNTIFS(Opportunities!$A$3:$A$502,$A218,Opportunities!$X$3:$X$502,"Yes"))</f>
        <v/>
      </c>
      <c r="AH218" s="32" t="str">
        <f aca="false">IF($A218="","",_xlfn.TEXTJOIN(", ",TRUE(),IF(COUNTIF($A$3:$A$502,$A218)&gt;1,"Duplicate name",""),IF(OR(AND(G218=2,I218=""),AND(J218=2,L218=""),AND(M218=2,O218=""),AND(P218=2,R218="")),"Source missing for a 2",""),IF(F218="","No owner",IF(COUNTIFS(R_TeamName,F218,R_TeamActive,"No")&gt;0,"Needs new owner","")),IF(AND(V218="Yes",X218&lt;&gt;"",X218&lt;S_SemStart),"Path overdue",""),IF(AND(S218&lt;&gt;"",S218&lt;S_Today-365),"Stale research",""),IF(AND(AE218="Research",COUNTIF('Commercial Evidence'!$A$3:$A$502,$A218)=0),"Add commercial evidence","")))</f>
        <v/>
      </c>
      <c r="AI218" s="34" t="str">
        <f aca="false">IF(OR($A218="",Z218="Yes"),"",IF(AND(AE218="Priority",AG218=0,COUNTIFS(Opportunities!$A$3:$A$502,$A218,Opportunities!$Y$3:$Y$502,"Renewal due")=0),600000+(10-AC218)*1000+(4-AD218)*100+ROW()/100000,IF(V218="Yes",700000+IF(X218="",0,X218-40000)/10+ROW()/100000,IF(AND(AE218="Quick Win",U218&lt;&gt;"",AG218=0),800000+(10-AC218)*1000+ROW()/100000,IF(AND(AE218="Build a Path",COUNTIF($V$3:$V$502,"Yes")&lt;S_PathCap),900000+(10-AC218)*1000+(4-AD218)*100+ROW()/100000,"")))))</f>
        <v/>
      </c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8"/>
      <c r="T219" s="27"/>
      <c r="U219" s="27"/>
      <c r="V219" s="27"/>
      <c r="W219" s="27"/>
      <c r="X219" s="28"/>
      <c r="Y219" s="27"/>
      <c r="Z219" s="27"/>
      <c r="AA219" s="27"/>
      <c r="AB219" s="32" t="str">
        <f aca="false">IF($A219="","",IF(COUNTIF('Commercial Evidence'!$A$3:$A$502,$A219)=0,"",IF(COUNTIFS('Commercial Evidence'!$A$3:$A$502,$A219,'Commercial Evidence'!$B$3:$B$502,"Previous CBS Talks spend")+COUNTIFS('Commercial Evidence'!$A$3:$A$502,$A219,'Commercial Evidence'!$B$3:$B$502,"Sponsors student organisations")&gt;0,2,IF(COUNTIFS('Commercial Evidence'!$A$3:$A$502,$A219,'Commercial Evidence'!$B$3:$B$502,"Sponsors university activities")+COUNTIFS('Commercial Evidence'!$A$3:$A$502,$A219,'Commercial Evidence'!$B$3:$B$502,"Sponsors similar events")+COUNTIFS('Commercial Evidence'!$A$3:$A$502,$A219,'Commercial Evidence'!$B$3:$B$502,"Previous CBS Talks partner")&gt;0,1,0))))</f>
        <v/>
      </c>
      <c r="AC219" s="32" t="str">
        <f aca="false">IF($A219="","",IF(COUNT(G219,J219,M219,P219,AB219)&lt;5,"",G219+J219+M219+P219+AB219))</f>
        <v/>
      </c>
      <c r="AD219" s="32" t="str">
        <f aca="false">IF($A219="","",IF(COUNTIFS(Contacts!$A$3:$A$502,$A219,Contacts!$E$3:$E$502,"Champion",Contacts!$K$3:$K$502,"&lt;&gt;Yes",Contacts!$L$3:$L$502,"&lt;&gt;Yes")+COUNTIFS(Opportunities!$A$3:$A$502,$A219,Opportunities!$C$3:$C$502,"Won",Opportunities!$Q$3:$Q$502,"Satisfied")&gt;0,4,IF(COUNTIFS(Interactions!$B$3:$B$502,$A219,Interactions!$I$3:$I$502,"Yes",Interactions!$A$3:$A$502,"&gt;="&amp;(S_Today-S_WarmDays))&gt;0,3,IF(T219&lt;&gt;"",2,IF(COUNTIFS(Contacts!$A$3:$A$502,$A219,Contacts!$M$3:$M$502,"Yes",Contacts!$K$3:$K$502,"&lt;&gt;Yes",Contacts!$L$3:$L$502,"&lt;&gt;Yes")&gt;0,1,0)))))</f>
        <v/>
      </c>
      <c r="AE219" s="32" t="str">
        <f aca="false">IF($A219="","",IF(Z219="Yes","Do not contact",IF(AC219="","Research",IF(AND(AC219&gt;=S_FitHigh,AD219&gt;=S_AccessHigh),"Priority",IF(AC219&gt;=S_FitHigh,"Build a Path",IF(AD219&gt;=S_AccessHigh,"Quick Win","Low Priority"))))))</f>
        <v/>
      </c>
      <c r="AF219" s="33" t="str">
        <f aca="false">IF($A219="","",IF(_xlfn.MAXIFS(Interactions!$A$3:$A$502,Interactions!$B$3:$B$502,$A219)=0,"",_xlfn.MAXIFS(Interactions!$A$3:$A$502,Interactions!$B$3:$B$502,$A219)))</f>
        <v/>
      </c>
      <c r="AG219" s="32" t="str">
        <f aca="false">IF($A219="","",COUNTIFS(Opportunities!$A$3:$A$502,$A219,Opportunities!$X$3:$X$502,"Yes"))</f>
        <v/>
      </c>
      <c r="AH219" s="32" t="str">
        <f aca="false">IF($A219="","",_xlfn.TEXTJOIN(", ",TRUE(),IF(COUNTIF($A$3:$A$502,$A219)&gt;1,"Duplicate name",""),IF(OR(AND(G219=2,I219=""),AND(J219=2,L219=""),AND(M219=2,O219=""),AND(P219=2,R219="")),"Source missing for a 2",""),IF(F219="","No owner",IF(COUNTIFS(R_TeamName,F219,R_TeamActive,"No")&gt;0,"Needs new owner","")),IF(AND(V219="Yes",X219&lt;&gt;"",X219&lt;S_SemStart),"Path overdue",""),IF(AND(S219&lt;&gt;"",S219&lt;S_Today-365),"Stale research",""),IF(AND(AE219="Research",COUNTIF('Commercial Evidence'!$A$3:$A$502,$A219)=0),"Add commercial evidence","")))</f>
        <v/>
      </c>
      <c r="AI219" s="34" t="str">
        <f aca="false">IF(OR($A219="",Z219="Yes"),"",IF(AND(AE219="Priority",AG219=0,COUNTIFS(Opportunities!$A$3:$A$502,$A219,Opportunities!$Y$3:$Y$502,"Renewal due")=0),600000+(10-AC219)*1000+(4-AD219)*100+ROW()/100000,IF(V219="Yes",700000+IF(X219="",0,X219-40000)/10+ROW()/100000,IF(AND(AE219="Quick Win",U219&lt;&gt;"",AG219=0),800000+(10-AC219)*1000+ROW()/100000,IF(AND(AE219="Build a Path",COUNTIF($V$3:$V$502,"Yes")&lt;S_PathCap),900000+(10-AC219)*1000+(4-AD219)*100+ROW()/100000,"")))))</f>
        <v/>
      </c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8"/>
      <c r="T220" s="27"/>
      <c r="U220" s="27"/>
      <c r="V220" s="27"/>
      <c r="W220" s="27"/>
      <c r="X220" s="28"/>
      <c r="Y220" s="27"/>
      <c r="Z220" s="27"/>
      <c r="AA220" s="27"/>
      <c r="AB220" s="32" t="str">
        <f aca="false">IF($A220="","",IF(COUNTIF('Commercial Evidence'!$A$3:$A$502,$A220)=0,"",IF(COUNTIFS('Commercial Evidence'!$A$3:$A$502,$A220,'Commercial Evidence'!$B$3:$B$502,"Previous CBS Talks spend")+COUNTIFS('Commercial Evidence'!$A$3:$A$502,$A220,'Commercial Evidence'!$B$3:$B$502,"Sponsors student organisations")&gt;0,2,IF(COUNTIFS('Commercial Evidence'!$A$3:$A$502,$A220,'Commercial Evidence'!$B$3:$B$502,"Sponsors university activities")+COUNTIFS('Commercial Evidence'!$A$3:$A$502,$A220,'Commercial Evidence'!$B$3:$B$502,"Sponsors similar events")+COUNTIFS('Commercial Evidence'!$A$3:$A$502,$A220,'Commercial Evidence'!$B$3:$B$502,"Previous CBS Talks partner")&gt;0,1,0))))</f>
        <v/>
      </c>
      <c r="AC220" s="32" t="str">
        <f aca="false">IF($A220="","",IF(COUNT(G220,J220,M220,P220,AB220)&lt;5,"",G220+J220+M220+P220+AB220))</f>
        <v/>
      </c>
      <c r="AD220" s="32" t="str">
        <f aca="false">IF($A220="","",IF(COUNTIFS(Contacts!$A$3:$A$502,$A220,Contacts!$E$3:$E$502,"Champion",Contacts!$K$3:$K$502,"&lt;&gt;Yes",Contacts!$L$3:$L$502,"&lt;&gt;Yes")+COUNTIFS(Opportunities!$A$3:$A$502,$A220,Opportunities!$C$3:$C$502,"Won",Opportunities!$Q$3:$Q$502,"Satisfied")&gt;0,4,IF(COUNTIFS(Interactions!$B$3:$B$502,$A220,Interactions!$I$3:$I$502,"Yes",Interactions!$A$3:$A$502,"&gt;="&amp;(S_Today-S_WarmDays))&gt;0,3,IF(T220&lt;&gt;"",2,IF(COUNTIFS(Contacts!$A$3:$A$502,$A220,Contacts!$M$3:$M$502,"Yes",Contacts!$K$3:$K$502,"&lt;&gt;Yes",Contacts!$L$3:$L$502,"&lt;&gt;Yes")&gt;0,1,0)))))</f>
        <v/>
      </c>
      <c r="AE220" s="32" t="str">
        <f aca="false">IF($A220="","",IF(Z220="Yes","Do not contact",IF(AC220="","Research",IF(AND(AC220&gt;=S_FitHigh,AD220&gt;=S_AccessHigh),"Priority",IF(AC220&gt;=S_FitHigh,"Build a Path",IF(AD220&gt;=S_AccessHigh,"Quick Win","Low Priority"))))))</f>
        <v/>
      </c>
      <c r="AF220" s="33" t="str">
        <f aca="false">IF($A220="","",IF(_xlfn.MAXIFS(Interactions!$A$3:$A$502,Interactions!$B$3:$B$502,$A220)=0,"",_xlfn.MAXIFS(Interactions!$A$3:$A$502,Interactions!$B$3:$B$502,$A220)))</f>
        <v/>
      </c>
      <c r="AG220" s="32" t="str">
        <f aca="false">IF($A220="","",COUNTIFS(Opportunities!$A$3:$A$502,$A220,Opportunities!$X$3:$X$502,"Yes"))</f>
        <v/>
      </c>
      <c r="AH220" s="32" t="str">
        <f aca="false">IF($A220="","",_xlfn.TEXTJOIN(", ",TRUE(),IF(COUNTIF($A$3:$A$502,$A220)&gt;1,"Duplicate name",""),IF(OR(AND(G220=2,I220=""),AND(J220=2,L220=""),AND(M220=2,O220=""),AND(P220=2,R220="")),"Source missing for a 2",""),IF(F220="","No owner",IF(COUNTIFS(R_TeamName,F220,R_TeamActive,"No")&gt;0,"Needs new owner","")),IF(AND(V220="Yes",X220&lt;&gt;"",X220&lt;S_SemStart),"Path overdue",""),IF(AND(S220&lt;&gt;"",S220&lt;S_Today-365),"Stale research",""),IF(AND(AE220="Research",COUNTIF('Commercial Evidence'!$A$3:$A$502,$A220)=0),"Add commercial evidence","")))</f>
        <v/>
      </c>
      <c r="AI220" s="34" t="str">
        <f aca="false">IF(OR($A220="",Z220="Yes"),"",IF(AND(AE220="Priority",AG220=0,COUNTIFS(Opportunities!$A$3:$A$502,$A220,Opportunities!$Y$3:$Y$502,"Renewal due")=0),600000+(10-AC220)*1000+(4-AD220)*100+ROW()/100000,IF(V220="Yes",700000+IF(X220="",0,X220-40000)/10+ROW()/100000,IF(AND(AE220="Quick Win",U220&lt;&gt;"",AG220=0),800000+(10-AC220)*1000+ROW()/100000,IF(AND(AE220="Build a Path",COUNTIF($V$3:$V$502,"Yes")&lt;S_PathCap),900000+(10-AC220)*1000+(4-AD220)*100+ROW()/100000,"")))))</f>
        <v/>
      </c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8"/>
      <c r="T221" s="27"/>
      <c r="U221" s="27"/>
      <c r="V221" s="27"/>
      <c r="W221" s="27"/>
      <c r="X221" s="28"/>
      <c r="Y221" s="27"/>
      <c r="Z221" s="27"/>
      <c r="AA221" s="27"/>
      <c r="AB221" s="32" t="str">
        <f aca="false">IF($A221="","",IF(COUNTIF('Commercial Evidence'!$A$3:$A$502,$A221)=0,"",IF(COUNTIFS('Commercial Evidence'!$A$3:$A$502,$A221,'Commercial Evidence'!$B$3:$B$502,"Previous CBS Talks spend")+COUNTIFS('Commercial Evidence'!$A$3:$A$502,$A221,'Commercial Evidence'!$B$3:$B$502,"Sponsors student organisations")&gt;0,2,IF(COUNTIFS('Commercial Evidence'!$A$3:$A$502,$A221,'Commercial Evidence'!$B$3:$B$502,"Sponsors university activities")+COUNTIFS('Commercial Evidence'!$A$3:$A$502,$A221,'Commercial Evidence'!$B$3:$B$502,"Sponsors similar events")+COUNTIFS('Commercial Evidence'!$A$3:$A$502,$A221,'Commercial Evidence'!$B$3:$B$502,"Previous CBS Talks partner")&gt;0,1,0))))</f>
        <v/>
      </c>
      <c r="AC221" s="32" t="str">
        <f aca="false">IF($A221="","",IF(COUNT(G221,J221,M221,P221,AB221)&lt;5,"",G221+J221+M221+P221+AB221))</f>
        <v/>
      </c>
      <c r="AD221" s="32" t="str">
        <f aca="false">IF($A221="","",IF(COUNTIFS(Contacts!$A$3:$A$502,$A221,Contacts!$E$3:$E$502,"Champion",Contacts!$K$3:$K$502,"&lt;&gt;Yes",Contacts!$L$3:$L$502,"&lt;&gt;Yes")+COUNTIFS(Opportunities!$A$3:$A$502,$A221,Opportunities!$C$3:$C$502,"Won",Opportunities!$Q$3:$Q$502,"Satisfied")&gt;0,4,IF(COUNTIFS(Interactions!$B$3:$B$502,$A221,Interactions!$I$3:$I$502,"Yes",Interactions!$A$3:$A$502,"&gt;="&amp;(S_Today-S_WarmDays))&gt;0,3,IF(T221&lt;&gt;"",2,IF(COUNTIFS(Contacts!$A$3:$A$502,$A221,Contacts!$M$3:$M$502,"Yes",Contacts!$K$3:$K$502,"&lt;&gt;Yes",Contacts!$L$3:$L$502,"&lt;&gt;Yes")&gt;0,1,0)))))</f>
        <v/>
      </c>
      <c r="AE221" s="32" t="str">
        <f aca="false">IF($A221="","",IF(Z221="Yes","Do not contact",IF(AC221="","Research",IF(AND(AC221&gt;=S_FitHigh,AD221&gt;=S_AccessHigh),"Priority",IF(AC221&gt;=S_FitHigh,"Build a Path",IF(AD221&gt;=S_AccessHigh,"Quick Win","Low Priority"))))))</f>
        <v/>
      </c>
      <c r="AF221" s="33" t="str">
        <f aca="false">IF($A221="","",IF(_xlfn.MAXIFS(Interactions!$A$3:$A$502,Interactions!$B$3:$B$502,$A221)=0,"",_xlfn.MAXIFS(Interactions!$A$3:$A$502,Interactions!$B$3:$B$502,$A221)))</f>
        <v/>
      </c>
      <c r="AG221" s="32" t="str">
        <f aca="false">IF($A221="","",COUNTIFS(Opportunities!$A$3:$A$502,$A221,Opportunities!$X$3:$X$502,"Yes"))</f>
        <v/>
      </c>
      <c r="AH221" s="32" t="str">
        <f aca="false">IF($A221="","",_xlfn.TEXTJOIN(", ",TRUE(),IF(COUNTIF($A$3:$A$502,$A221)&gt;1,"Duplicate name",""),IF(OR(AND(G221=2,I221=""),AND(J221=2,L221=""),AND(M221=2,O221=""),AND(P221=2,R221="")),"Source missing for a 2",""),IF(F221="","No owner",IF(COUNTIFS(R_TeamName,F221,R_TeamActive,"No")&gt;0,"Needs new owner","")),IF(AND(V221="Yes",X221&lt;&gt;"",X221&lt;S_SemStart),"Path overdue",""),IF(AND(S221&lt;&gt;"",S221&lt;S_Today-365),"Stale research",""),IF(AND(AE221="Research",COUNTIF('Commercial Evidence'!$A$3:$A$502,$A221)=0),"Add commercial evidence","")))</f>
        <v/>
      </c>
      <c r="AI221" s="34" t="str">
        <f aca="false">IF(OR($A221="",Z221="Yes"),"",IF(AND(AE221="Priority",AG221=0,COUNTIFS(Opportunities!$A$3:$A$502,$A221,Opportunities!$Y$3:$Y$502,"Renewal due")=0),600000+(10-AC221)*1000+(4-AD221)*100+ROW()/100000,IF(V221="Yes",700000+IF(X221="",0,X221-40000)/10+ROW()/100000,IF(AND(AE221="Quick Win",U221&lt;&gt;"",AG221=0),800000+(10-AC221)*1000+ROW()/100000,IF(AND(AE221="Build a Path",COUNTIF($V$3:$V$502,"Yes")&lt;S_PathCap),900000+(10-AC221)*1000+(4-AD221)*100+ROW()/100000,"")))))</f>
        <v/>
      </c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8"/>
      <c r="T222" s="27"/>
      <c r="U222" s="27"/>
      <c r="V222" s="27"/>
      <c r="W222" s="27"/>
      <c r="X222" s="28"/>
      <c r="Y222" s="27"/>
      <c r="Z222" s="27"/>
      <c r="AA222" s="27"/>
      <c r="AB222" s="32" t="str">
        <f aca="false">IF($A222="","",IF(COUNTIF('Commercial Evidence'!$A$3:$A$502,$A222)=0,"",IF(COUNTIFS('Commercial Evidence'!$A$3:$A$502,$A222,'Commercial Evidence'!$B$3:$B$502,"Previous CBS Talks spend")+COUNTIFS('Commercial Evidence'!$A$3:$A$502,$A222,'Commercial Evidence'!$B$3:$B$502,"Sponsors student organisations")&gt;0,2,IF(COUNTIFS('Commercial Evidence'!$A$3:$A$502,$A222,'Commercial Evidence'!$B$3:$B$502,"Sponsors university activities")+COUNTIFS('Commercial Evidence'!$A$3:$A$502,$A222,'Commercial Evidence'!$B$3:$B$502,"Sponsors similar events")+COUNTIFS('Commercial Evidence'!$A$3:$A$502,$A222,'Commercial Evidence'!$B$3:$B$502,"Previous CBS Talks partner")&gt;0,1,0))))</f>
        <v/>
      </c>
      <c r="AC222" s="32" t="str">
        <f aca="false">IF($A222="","",IF(COUNT(G222,J222,M222,P222,AB222)&lt;5,"",G222+J222+M222+P222+AB222))</f>
        <v/>
      </c>
      <c r="AD222" s="32" t="str">
        <f aca="false">IF($A222="","",IF(COUNTIFS(Contacts!$A$3:$A$502,$A222,Contacts!$E$3:$E$502,"Champion",Contacts!$K$3:$K$502,"&lt;&gt;Yes",Contacts!$L$3:$L$502,"&lt;&gt;Yes")+COUNTIFS(Opportunities!$A$3:$A$502,$A222,Opportunities!$C$3:$C$502,"Won",Opportunities!$Q$3:$Q$502,"Satisfied")&gt;0,4,IF(COUNTIFS(Interactions!$B$3:$B$502,$A222,Interactions!$I$3:$I$502,"Yes",Interactions!$A$3:$A$502,"&gt;="&amp;(S_Today-S_WarmDays))&gt;0,3,IF(T222&lt;&gt;"",2,IF(COUNTIFS(Contacts!$A$3:$A$502,$A222,Contacts!$M$3:$M$502,"Yes",Contacts!$K$3:$K$502,"&lt;&gt;Yes",Contacts!$L$3:$L$502,"&lt;&gt;Yes")&gt;0,1,0)))))</f>
        <v/>
      </c>
      <c r="AE222" s="32" t="str">
        <f aca="false">IF($A222="","",IF(Z222="Yes","Do not contact",IF(AC222="","Research",IF(AND(AC222&gt;=S_FitHigh,AD222&gt;=S_AccessHigh),"Priority",IF(AC222&gt;=S_FitHigh,"Build a Path",IF(AD222&gt;=S_AccessHigh,"Quick Win","Low Priority"))))))</f>
        <v/>
      </c>
      <c r="AF222" s="33" t="str">
        <f aca="false">IF($A222="","",IF(_xlfn.MAXIFS(Interactions!$A$3:$A$502,Interactions!$B$3:$B$502,$A222)=0,"",_xlfn.MAXIFS(Interactions!$A$3:$A$502,Interactions!$B$3:$B$502,$A222)))</f>
        <v/>
      </c>
      <c r="AG222" s="32" t="str">
        <f aca="false">IF($A222="","",COUNTIFS(Opportunities!$A$3:$A$502,$A222,Opportunities!$X$3:$X$502,"Yes"))</f>
        <v/>
      </c>
      <c r="AH222" s="32" t="str">
        <f aca="false">IF($A222="","",_xlfn.TEXTJOIN(", ",TRUE(),IF(COUNTIF($A$3:$A$502,$A222)&gt;1,"Duplicate name",""),IF(OR(AND(G222=2,I222=""),AND(J222=2,L222=""),AND(M222=2,O222=""),AND(P222=2,R222="")),"Source missing for a 2",""),IF(F222="","No owner",IF(COUNTIFS(R_TeamName,F222,R_TeamActive,"No")&gt;0,"Needs new owner","")),IF(AND(V222="Yes",X222&lt;&gt;"",X222&lt;S_SemStart),"Path overdue",""),IF(AND(S222&lt;&gt;"",S222&lt;S_Today-365),"Stale research",""),IF(AND(AE222="Research",COUNTIF('Commercial Evidence'!$A$3:$A$502,$A222)=0),"Add commercial evidence","")))</f>
        <v/>
      </c>
      <c r="AI222" s="34" t="str">
        <f aca="false">IF(OR($A222="",Z222="Yes"),"",IF(AND(AE222="Priority",AG222=0,COUNTIFS(Opportunities!$A$3:$A$502,$A222,Opportunities!$Y$3:$Y$502,"Renewal due")=0),600000+(10-AC222)*1000+(4-AD222)*100+ROW()/100000,IF(V222="Yes",700000+IF(X222="",0,X222-40000)/10+ROW()/100000,IF(AND(AE222="Quick Win",U222&lt;&gt;"",AG222=0),800000+(10-AC222)*1000+ROW()/100000,IF(AND(AE222="Build a Path",COUNTIF($V$3:$V$502,"Yes")&lt;S_PathCap),900000+(10-AC222)*1000+(4-AD222)*100+ROW()/100000,"")))))</f>
        <v/>
      </c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8"/>
      <c r="T223" s="27"/>
      <c r="U223" s="27"/>
      <c r="V223" s="27"/>
      <c r="W223" s="27"/>
      <c r="X223" s="28"/>
      <c r="Y223" s="27"/>
      <c r="Z223" s="27"/>
      <c r="AA223" s="27"/>
      <c r="AB223" s="32" t="str">
        <f aca="false">IF($A223="","",IF(COUNTIF('Commercial Evidence'!$A$3:$A$502,$A223)=0,"",IF(COUNTIFS('Commercial Evidence'!$A$3:$A$502,$A223,'Commercial Evidence'!$B$3:$B$502,"Previous CBS Talks spend")+COUNTIFS('Commercial Evidence'!$A$3:$A$502,$A223,'Commercial Evidence'!$B$3:$B$502,"Sponsors student organisations")&gt;0,2,IF(COUNTIFS('Commercial Evidence'!$A$3:$A$502,$A223,'Commercial Evidence'!$B$3:$B$502,"Sponsors university activities")+COUNTIFS('Commercial Evidence'!$A$3:$A$502,$A223,'Commercial Evidence'!$B$3:$B$502,"Sponsors similar events")+COUNTIFS('Commercial Evidence'!$A$3:$A$502,$A223,'Commercial Evidence'!$B$3:$B$502,"Previous CBS Talks partner")&gt;0,1,0))))</f>
        <v/>
      </c>
      <c r="AC223" s="32" t="str">
        <f aca="false">IF($A223="","",IF(COUNT(G223,J223,M223,P223,AB223)&lt;5,"",G223+J223+M223+P223+AB223))</f>
        <v/>
      </c>
      <c r="AD223" s="32" t="str">
        <f aca="false">IF($A223="","",IF(COUNTIFS(Contacts!$A$3:$A$502,$A223,Contacts!$E$3:$E$502,"Champion",Contacts!$K$3:$K$502,"&lt;&gt;Yes",Contacts!$L$3:$L$502,"&lt;&gt;Yes")+COUNTIFS(Opportunities!$A$3:$A$502,$A223,Opportunities!$C$3:$C$502,"Won",Opportunities!$Q$3:$Q$502,"Satisfied")&gt;0,4,IF(COUNTIFS(Interactions!$B$3:$B$502,$A223,Interactions!$I$3:$I$502,"Yes",Interactions!$A$3:$A$502,"&gt;="&amp;(S_Today-S_WarmDays))&gt;0,3,IF(T223&lt;&gt;"",2,IF(COUNTIFS(Contacts!$A$3:$A$502,$A223,Contacts!$M$3:$M$502,"Yes",Contacts!$K$3:$K$502,"&lt;&gt;Yes",Contacts!$L$3:$L$502,"&lt;&gt;Yes")&gt;0,1,0)))))</f>
        <v/>
      </c>
      <c r="AE223" s="32" t="str">
        <f aca="false">IF($A223="","",IF(Z223="Yes","Do not contact",IF(AC223="","Research",IF(AND(AC223&gt;=S_FitHigh,AD223&gt;=S_AccessHigh),"Priority",IF(AC223&gt;=S_FitHigh,"Build a Path",IF(AD223&gt;=S_AccessHigh,"Quick Win","Low Priority"))))))</f>
        <v/>
      </c>
      <c r="AF223" s="33" t="str">
        <f aca="false">IF($A223="","",IF(_xlfn.MAXIFS(Interactions!$A$3:$A$502,Interactions!$B$3:$B$502,$A223)=0,"",_xlfn.MAXIFS(Interactions!$A$3:$A$502,Interactions!$B$3:$B$502,$A223)))</f>
        <v/>
      </c>
      <c r="AG223" s="32" t="str">
        <f aca="false">IF($A223="","",COUNTIFS(Opportunities!$A$3:$A$502,$A223,Opportunities!$X$3:$X$502,"Yes"))</f>
        <v/>
      </c>
      <c r="AH223" s="32" t="str">
        <f aca="false">IF($A223="","",_xlfn.TEXTJOIN(", ",TRUE(),IF(COUNTIF($A$3:$A$502,$A223)&gt;1,"Duplicate name",""),IF(OR(AND(G223=2,I223=""),AND(J223=2,L223=""),AND(M223=2,O223=""),AND(P223=2,R223="")),"Source missing for a 2",""),IF(F223="","No owner",IF(COUNTIFS(R_TeamName,F223,R_TeamActive,"No")&gt;0,"Needs new owner","")),IF(AND(V223="Yes",X223&lt;&gt;"",X223&lt;S_SemStart),"Path overdue",""),IF(AND(S223&lt;&gt;"",S223&lt;S_Today-365),"Stale research",""),IF(AND(AE223="Research",COUNTIF('Commercial Evidence'!$A$3:$A$502,$A223)=0),"Add commercial evidence","")))</f>
        <v/>
      </c>
      <c r="AI223" s="34" t="str">
        <f aca="false">IF(OR($A223="",Z223="Yes"),"",IF(AND(AE223="Priority",AG223=0,COUNTIFS(Opportunities!$A$3:$A$502,$A223,Opportunities!$Y$3:$Y$502,"Renewal due")=0),600000+(10-AC223)*1000+(4-AD223)*100+ROW()/100000,IF(V223="Yes",700000+IF(X223="",0,X223-40000)/10+ROW()/100000,IF(AND(AE223="Quick Win",U223&lt;&gt;"",AG223=0),800000+(10-AC223)*1000+ROW()/100000,IF(AND(AE223="Build a Path",COUNTIF($V$3:$V$502,"Yes")&lt;S_PathCap),900000+(10-AC223)*1000+(4-AD223)*100+ROW()/100000,"")))))</f>
        <v/>
      </c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8"/>
      <c r="T224" s="27"/>
      <c r="U224" s="27"/>
      <c r="V224" s="27"/>
      <c r="W224" s="27"/>
      <c r="X224" s="28"/>
      <c r="Y224" s="27"/>
      <c r="Z224" s="27"/>
      <c r="AA224" s="27"/>
      <c r="AB224" s="32" t="str">
        <f aca="false">IF($A224="","",IF(COUNTIF('Commercial Evidence'!$A$3:$A$502,$A224)=0,"",IF(COUNTIFS('Commercial Evidence'!$A$3:$A$502,$A224,'Commercial Evidence'!$B$3:$B$502,"Previous CBS Talks spend")+COUNTIFS('Commercial Evidence'!$A$3:$A$502,$A224,'Commercial Evidence'!$B$3:$B$502,"Sponsors student organisations")&gt;0,2,IF(COUNTIFS('Commercial Evidence'!$A$3:$A$502,$A224,'Commercial Evidence'!$B$3:$B$502,"Sponsors university activities")+COUNTIFS('Commercial Evidence'!$A$3:$A$502,$A224,'Commercial Evidence'!$B$3:$B$502,"Sponsors similar events")+COUNTIFS('Commercial Evidence'!$A$3:$A$502,$A224,'Commercial Evidence'!$B$3:$B$502,"Previous CBS Talks partner")&gt;0,1,0))))</f>
        <v/>
      </c>
      <c r="AC224" s="32" t="str">
        <f aca="false">IF($A224="","",IF(COUNT(G224,J224,M224,P224,AB224)&lt;5,"",G224+J224+M224+P224+AB224))</f>
        <v/>
      </c>
      <c r="AD224" s="32" t="str">
        <f aca="false">IF($A224="","",IF(COUNTIFS(Contacts!$A$3:$A$502,$A224,Contacts!$E$3:$E$502,"Champion",Contacts!$K$3:$K$502,"&lt;&gt;Yes",Contacts!$L$3:$L$502,"&lt;&gt;Yes")+COUNTIFS(Opportunities!$A$3:$A$502,$A224,Opportunities!$C$3:$C$502,"Won",Opportunities!$Q$3:$Q$502,"Satisfied")&gt;0,4,IF(COUNTIFS(Interactions!$B$3:$B$502,$A224,Interactions!$I$3:$I$502,"Yes",Interactions!$A$3:$A$502,"&gt;="&amp;(S_Today-S_WarmDays))&gt;0,3,IF(T224&lt;&gt;"",2,IF(COUNTIFS(Contacts!$A$3:$A$502,$A224,Contacts!$M$3:$M$502,"Yes",Contacts!$K$3:$K$502,"&lt;&gt;Yes",Contacts!$L$3:$L$502,"&lt;&gt;Yes")&gt;0,1,0)))))</f>
        <v/>
      </c>
      <c r="AE224" s="32" t="str">
        <f aca="false">IF($A224="","",IF(Z224="Yes","Do not contact",IF(AC224="","Research",IF(AND(AC224&gt;=S_FitHigh,AD224&gt;=S_AccessHigh),"Priority",IF(AC224&gt;=S_FitHigh,"Build a Path",IF(AD224&gt;=S_AccessHigh,"Quick Win","Low Priority"))))))</f>
        <v/>
      </c>
      <c r="AF224" s="33" t="str">
        <f aca="false">IF($A224="","",IF(_xlfn.MAXIFS(Interactions!$A$3:$A$502,Interactions!$B$3:$B$502,$A224)=0,"",_xlfn.MAXIFS(Interactions!$A$3:$A$502,Interactions!$B$3:$B$502,$A224)))</f>
        <v/>
      </c>
      <c r="AG224" s="32" t="str">
        <f aca="false">IF($A224="","",COUNTIFS(Opportunities!$A$3:$A$502,$A224,Opportunities!$X$3:$X$502,"Yes"))</f>
        <v/>
      </c>
      <c r="AH224" s="32" t="str">
        <f aca="false">IF($A224="","",_xlfn.TEXTJOIN(", ",TRUE(),IF(COUNTIF($A$3:$A$502,$A224)&gt;1,"Duplicate name",""),IF(OR(AND(G224=2,I224=""),AND(J224=2,L224=""),AND(M224=2,O224=""),AND(P224=2,R224="")),"Source missing for a 2",""),IF(F224="","No owner",IF(COUNTIFS(R_TeamName,F224,R_TeamActive,"No")&gt;0,"Needs new owner","")),IF(AND(V224="Yes",X224&lt;&gt;"",X224&lt;S_SemStart),"Path overdue",""),IF(AND(S224&lt;&gt;"",S224&lt;S_Today-365),"Stale research",""),IF(AND(AE224="Research",COUNTIF('Commercial Evidence'!$A$3:$A$502,$A224)=0),"Add commercial evidence","")))</f>
        <v/>
      </c>
      <c r="AI224" s="34" t="str">
        <f aca="false">IF(OR($A224="",Z224="Yes"),"",IF(AND(AE224="Priority",AG224=0,COUNTIFS(Opportunities!$A$3:$A$502,$A224,Opportunities!$Y$3:$Y$502,"Renewal due")=0),600000+(10-AC224)*1000+(4-AD224)*100+ROW()/100000,IF(V224="Yes",700000+IF(X224="",0,X224-40000)/10+ROW()/100000,IF(AND(AE224="Quick Win",U224&lt;&gt;"",AG224=0),800000+(10-AC224)*1000+ROW()/100000,IF(AND(AE224="Build a Path",COUNTIF($V$3:$V$502,"Yes")&lt;S_PathCap),900000+(10-AC224)*1000+(4-AD224)*100+ROW()/100000,"")))))</f>
        <v/>
      </c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8"/>
      <c r="T225" s="27"/>
      <c r="U225" s="27"/>
      <c r="V225" s="27"/>
      <c r="W225" s="27"/>
      <c r="X225" s="28"/>
      <c r="Y225" s="27"/>
      <c r="Z225" s="27"/>
      <c r="AA225" s="27"/>
      <c r="AB225" s="32" t="str">
        <f aca="false">IF($A225="","",IF(COUNTIF('Commercial Evidence'!$A$3:$A$502,$A225)=0,"",IF(COUNTIFS('Commercial Evidence'!$A$3:$A$502,$A225,'Commercial Evidence'!$B$3:$B$502,"Previous CBS Talks spend")+COUNTIFS('Commercial Evidence'!$A$3:$A$502,$A225,'Commercial Evidence'!$B$3:$B$502,"Sponsors student organisations")&gt;0,2,IF(COUNTIFS('Commercial Evidence'!$A$3:$A$502,$A225,'Commercial Evidence'!$B$3:$B$502,"Sponsors university activities")+COUNTIFS('Commercial Evidence'!$A$3:$A$502,$A225,'Commercial Evidence'!$B$3:$B$502,"Sponsors similar events")+COUNTIFS('Commercial Evidence'!$A$3:$A$502,$A225,'Commercial Evidence'!$B$3:$B$502,"Previous CBS Talks partner")&gt;0,1,0))))</f>
        <v/>
      </c>
      <c r="AC225" s="32" t="str">
        <f aca="false">IF($A225="","",IF(COUNT(G225,J225,M225,P225,AB225)&lt;5,"",G225+J225+M225+P225+AB225))</f>
        <v/>
      </c>
      <c r="AD225" s="32" t="str">
        <f aca="false">IF($A225="","",IF(COUNTIFS(Contacts!$A$3:$A$502,$A225,Contacts!$E$3:$E$502,"Champion",Contacts!$K$3:$K$502,"&lt;&gt;Yes",Contacts!$L$3:$L$502,"&lt;&gt;Yes")+COUNTIFS(Opportunities!$A$3:$A$502,$A225,Opportunities!$C$3:$C$502,"Won",Opportunities!$Q$3:$Q$502,"Satisfied")&gt;0,4,IF(COUNTIFS(Interactions!$B$3:$B$502,$A225,Interactions!$I$3:$I$502,"Yes",Interactions!$A$3:$A$502,"&gt;="&amp;(S_Today-S_WarmDays))&gt;0,3,IF(T225&lt;&gt;"",2,IF(COUNTIFS(Contacts!$A$3:$A$502,$A225,Contacts!$M$3:$M$502,"Yes",Contacts!$K$3:$K$502,"&lt;&gt;Yes",Contacts!$L$3:$L$502,"&lt;&gt;Yes")&gt;0,1,0)))))</f>
        <v/>
      </c>
      <c r="AE225" s="32" t="str">
        <f aca="false">IF($A225="","",IF(Z225="Yes","Do not contact",IF(AC225="","Research",IF(AND(AC225&gt;=S_FitHigh,AD225&gt;=S_AccessHigh),"Priority",IF(AC225&gt;=S_FitHigh,"Build a Path",IF(AD225&gt;=S_AccessHigh,"Quick Win","Low Priority"))))))</f>
        <v/>
      </c>
      <c r="AF225" s="33" t="str">
        <f aca="false">IF($A225="","",IF(_xlfn.MAXIFS(Interactions!$A$3:$A$502,Interactions!$B$3:$B$502,$A225)=0,"",_xlfn.MAXIFS(Interactions!$A$3:$A$502,Interactions!$B$3:$B$502,$A225)))</f>
        <v/>
      </c>
      <c r="AG225" s="32" t="str">
        <f aca="false">IF($A225="","",COUNTIFS(Opportunities!$A$3:$A$502,$A225,Opportunities!$X$3:$X$502,"Yes"))</f>
        <v/>
      </c>
      <c r="AH225" s="32" t="str">
        <f aca="false">IF($A225="","",_xlfn.TEXTJOIN(", ",TRUE(),IF(COUNTIF($A$3:$A$502,$A225)&gt;1,"Duplicate name",""),IF(OR(AND(G225=2,I225=""),AND(J225=2,L225=""),AND(M225=2,O225=""),AND(P225=2,R225="")),"Source missing for a 2",""),IF(F225="","No owner",IF(COUNTIFS(R_TeamName,F225,R_TeamActive,"No")&gt;0,"Needs new owner","")),IF(AND(V225="Yes",X225&lt;&gt;"",X225&lt;S_SemStart),"Path overdue",""),IF(AND(S225&lt;&gt;"",S225&lt;S_Today-365),"Stale research",""),IF(AND(AE225="Research",COUNTIF('Commercial Evidence'!$A$3:$A$502,$A225)=0),"Add commercial evidence","")))</f>
        <v/>
      </c>
      <c r="AI225" s="34" t="str">
        <f aca="false">IF(OR($A225="",Z225="Yes"),"",IF(AND(AE225="Priority",AG225=0,COUNTIFS(Opportunities!$A$3:$A$502,$A225,Opportunities!$Y$3:$Y$502,"Renewal due")=0),600000+(10-AC225)*1000+(4-AD225)*100+ROW()/100000,IF(V225="Yes",700000+IF(X225="",0,X225-40000)/10+ROW()/100000,IF(AND(AE225="Quick Win",U225&lt;&gt;"",AG225=0),800000+(10-AC225)*1000+ROW()/100000,IF(AND(AE225="Build a Path",COUNTIF($V$3:$V$502,"Yes")&lt;S_PathCap),900000+(10-AC225)*1000+(4-AD225)*100+ROW()/100000,"")))))</f>
        <v/>
      </c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8"/>
      <c r="T226" s="27"/>
      <c r="U226" s="27"/>
      <c r="V226" s="27"/>
      <c r="W226" s="27"/>
      <c r="X226" s="28"/>
      <c r="Y226" s="27"/>
      <c r="Z226" s="27"/>
      <c r="AA226" s="27"/>
      <c r="AB226" s="32" t="str">
        <f aca="false">IF($A226="","",IF(COUNTIF('Commercial Evidence'!$A$3:$A$502,$A226)=0,"",IF(COUNTIFS('Commercial Evidence'!$A$3:$A$502,$A226,'Commercial Evidence'!$B$3:$B$502,"Previous CBS Talks spend")+COUNTIFS('Commercial Evidence'!$A$3:$A$502,$A226,'Commercial Evidence'!$B$3:$B$502,"Sponsors student organisations")&gt;0,2,IF(COUNTIFS('Commercial Evidence'!$A$3:$A$502,$A226,'Commercial Evidence'!$B$3:$B$502,"Sponsors university activities")+COUNTIFS('Commercial Evidence'!$A$3:$A$502,$A226,'Commercial Evidence'!$B$3:$B$502,"Sponsors similar events")+COUNTIFS('Commercial Evidence'!$A$3:$A$502,$A226,'Commercial Evidence'!$B$3:$B$502,"Previous CBS Talks partner")&gt;0,1,0))))</f>
        <v/>
      </c>
      <c r="AC226" s="32" t="str">
        <f aca="false">IF($A226="","",IF(COUNT(G226,J226,M226,P226,AB226)&lt;5,"",G226+J226+M226+P226+AB226))</f>
        <v/>
      </c>
      <c r="AD226" s="32" t="str">
        <f aca="false">IF($A226="","",IF(COUNTIFS(Contacts!$A$3:$A$502,$A226,Contacts!$E$3:$E$502,"Champion",Contacts!$K$3:$K$502,"&lt;&gt;Yes",Contacts!$L$3:$L$502,"&lt;&gt;Yes")+COUNTIFS(Opportunities!$A$3:$A$502,$A226,Opportunities!$C$3:$C$502,"Won",Opportunities!$Q$3:$Q$502,"Satisfied")&gt;0,4,IF(COUNTIFS(Interactions!$B$3:$B$502,$A226,Interactions!$I$3:$I$502,"Yes",Interactions!$A$3:$A$502,"&gt;="&amp;(S_Today-S_WarmDays))&gt;0,3,IF(T226&lt;&gt;"",2,IF(COUNTIFS(Contacts!$A$3:$A$502,$A226,Contacts!$M$3:$M$502,"Yes",Contacts!$K$3:$K$502,"&lt;&gt;Yes",Contacts!$L$3:$L$502,"&lt;&gt;Yes")&gt;0,1,0)))))</f>
        <v/>
      </c>
      <c r="AE226" s="32" t="str">
        <f aca="false">IF($A226="","",IF(Z226="Yes","Do not contact",IF(AC226="","Research",IF(AND(AC226&gt;=S_FitHigh,AD226&gt;=S_AccessHigh),"Priority",IF(AC226&gt;=S_FitHigh,"Build a Path",IF(AD226&gt;=S_AccessHigh,"Quick Win","Low Priority"))))))</f>
        <v/>
      </c>
      <c r="AF226" s="33" t="str">
        <f aca="false">IF($A226="","",IF(_xlfn.MAXIFS(Interactions!$A$3:$A$502,Interactions!$B$3:$B$502,$A226)=0,"",_xlfn.MAXIFS(Interactions!$A$3:$A$502,Interactions!$B$3:$B$502,$A226)))</f>
        <v/>
      </c>
      <c r="AG226" s="32" t="str">
        <f aca="false">IF($A226="","",COUNTIFS(Opportunities!$A$3:$A$502,$A226,Opportunities!$X$3:$X$502,"Yes"))</f>
        <v/>
      </c>
      <c r="AH226" s="32" t="str">
        <f aca="false">IF($A226="","",_xlfn.TEXTJOIN(", ",TRUE(),IF(COUNTIF($A$3:$A$502,$A226)&gt;1,"Duplicate name",""),IF(OR(AND(G226=2,I226=""),AND(J226=2,L226=""),AND(M226=2,O226=""),AND(P226=2,R226="")),"Source missing for a 2",""),IF(F226="","No owner",IF(COUNTIFS(R_TeamName,F226,R_TeamActive,"No")&gt;0,"Needs new owner","")),IF(AND(V226="Yes",X226&lt;&gt;"",X226&lt;S_SemStart),"Path overdue",""),IF(AND(S226&lt;&gt;"",S226&lt;S_Today-365),"Stale research",""),IF(AND(AE226="Research",COUNTIF('Commercial Evidence'!$A$3:$A$502,$A226)=0),"Add commercial evidence","")))</f>
        <v/>
      </c>
      <c r="AI226" s="34" t="str">
        <f aca="false">IF(OR($A226="",Z226="Yes"),"",IF(AND(AE226="Priority",AG226=0,COUNTIFS(Opportunities!$A$3:$A$502,$A226,Opportunities!$Y$3:$Y$502,"Renewal due")=0),600000+(10-AC226)*1000+(4-AD226)*100+ROW()/100000,IF(V226="Yes",700000+IF(X226="",0,X226-40000)/10+ROW()/100000,IF(AND(AE226="Quick Win",U226&lt;&gt;"",AG226=0),800000+(10-AC226)*1000+ROW()/100000,IF(AND(AE226="Build a Path",COUNTIF($V$3:$V$502,"Yes")&lt;S_PathCap),900000+(10-AC226)*1000+(4-AD226)*100+ROW()/100000,"")))))</f>
        <v/>
      </c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8"/>
      <c r="T227" s="27"/>
      <c r="U227" s="27"/>
      <c r="V227" s="27"/>
      <c r="W227" s="27"/>
      <c r="X227" s="28"/>
      <c r="Y227" s="27"/>
      <c r="Z227" s="27"/>
      <c r="AA227" s="27"/>
      <c r="AB227" s="32" t="str">
        <f aca="false">IF($A227="","",IF(COUNTIF('Commercial Evidence'!$A$3:$A$502,$A227)=0,"",IF(COUNTIFS('Commercial Evidence'!$A$3:$A$502,$A227,'Commercial Evidence'!$B$3:$B$502,"Previous CBS Talks spend")+COUNTIFS('Commercial Evidence'!$A$3:$A$502,$A227,'Commercial Evidence'!$B$3:$B$502,"Sponsors student organisations")&gt;0,2,IF(COUNTIFS('Commercial Evidence'!$A$3:$A$502,$A227,'Commercial Evidence'!$B$3:$B$502,"Sponsors university activities")+COUNTIFS('Commercial Evidence'!$A$3:$A$502,$A227,'Commercial Evidence'!$B$3:$B$502,"Sponsors similar events")+COUNTIFS('Commercial Evidence'!$A$3:$A$502,$A227,'Commercial Evidence'!$B$3:$B$502,"Previous CBS Talks partner")&gt;0,1,0))))</f>
        <v/>
      </c>
      <c r="AC227" s="32" t="str">
        <f aca="false">IF($A227="","",IF(COUNT(G227,J227,M227,P227,AB227)&lt;5,"",G227+J227+M227+P227+AB227))</f>
        <v/>
      </c>
      <c r="AD227" s="32" t="str">
        <f aca="false">IF($A227="","",IF(COUNTIFS(Contacts!$A$3:$A$502,$A227,Contacts!$E$3:$E$502,"Champion",Contacts!$K$3:$K$502,"&lt;&gt;Yes",Contacts!$L$3:$L$502,"&lt;&gt;Yes")+COUNTIFS(Opportunities!$A$3:$A$502,$A227,Opportunities!$C$3:$C$502,"Won",Opportunities!$Q$3:$Q$502,"Satisfied")&gt;0,4,IF(COUNTIFS(Interactions!$B$3:$B$502,$A227,Interactions!$I$3:$I$502,"Yes",Interactions!$A$3:$A$502,"&gt;="&amp;(S_Today-S_WarmDays))&gt;0,3,IF(T227&lt;&gt;"",2,IF(COUNTIFS(Contacts!$A$3:$A$502,$A227,Contacts!$M$3:$M$502,"Yes",Contacts!$K$3:$K$502,"&lt;&gt;Yes",Contacts!$L$3:$L$502,"&lt;&gt;Yes")&gt;0,1,0)))))</f>
        <v/>
      </c>
      <c r="AE227" s="32" t="str">
        <f aca="false">IF($A227="","",IF(Z227="Yes","Do not contact",IF(AC227="","Research",IF(AND(AC227&gt;=S_FitHigh,AD227&gt;=S_AccessHigh),"Priority",IF(AC227&gt;=S_FitHigh,"Build a Path",IF(AD227&gt;=S_AccessHigh,"Quick Win","Low Priority"))))))</f>
        <v/>
      </c>
      <c r="AF227" s="33" t="str">
        <f aca="false">IF($A227="","",IF(_xlfn.MAXIFS(Interactions!$A$3:$A$502,Interactions!$B$3:$B$502,$A227)=0,"",_xlfn.MAXIFS(Interactions!$A$3:$A$502,Interactions!$B$3:$B$502,$A227)))</f>
        <v/>
      </c>
      <c r="AG227" s="32" t="str">
        <f aca="false">IF($A227="","",COUNTIFS(Opportunities!$A$3:$A$502,$A227,Opportunities!$X$3:$X$502,"Yes"))</f>
        <v/>
      </c>
      <c r="AH227" s="32" t="str">
        <f aca="false">IF($A227="","",_xlfn.TEXTJOIN(", ",TRUE(),IF(COUNTIF($A$3:$A$502,$A227)&gt;1,"Duplicate name",""),IF(OR(AND(G227=2,I227=""),AND(J227=2,L227=""),AND(M227=2,O227=""),AND(P227=2,R227="")),"Source missing for a 2",""),IF(F227="","No owner",IF(COUNTIFS(R_TeamName,F227,R_TeamActive,"No")&gt;0,"Needs new owner","")),IF(AND(V227="Yes",X227&lt;&gt;"",X227&lt;S_SemStart),"Path overdue",""),IF(AND(S227&lt;&gt;"",S227&lt;S_Today-365),"Stale research",""),IF(AND(AE227="Research",COUNTIF('Commercial Evidence'!$A$3:$A$502,$A227)=0),"Add commercial evidence","")))</f>
        <v/>
      </c>
      <c r="AI227" s="34" t="str">
        <f aca="false">IF(OR($A227="",Z227="Yes"),"",IF(AND(AE227="Priority",AG227=0,COUNTIFS(Opportunities!$A$3:$A$502,$A227,Opportunities!$Y$3:$Y$502,"Renewal due")=0),600000+(10-AC227)*1000+(4-AD227)*100+ROW()/100000,IF(V227="Yes",700000+IF(X227="",0,X227-40000)/10+ROW()/100000,IF(AND(AE227="Quick Win",U227&lt;&gt;"",AG227=0),800000+(10-AC227)*1000+ROW()/100000,IF(AND(AE227="Build a Path",COUNTIF($V$3:$V$502,"Yes")&lt;S_PathCap),900000+(10-AC227)*1000+(4-AD227)*100+ROW()/100000,"")))))</f>
        <v/>
      </c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8"/>
      <c r="T228" s="27"/>
      <c r="U228" s="27"/>
      <c r="V228" s="27"/>
      <c r="W228" s="27"/>
      <c r="X228" s="28"/>
      <c r="Y228" s="27"/>
      <c r="Z228" s="27"/>
      <c r="AA228" s="27"/>
      <c r="AB228" s="32" t="str">
        <f aca="false">IF($A228="","",IF(COUNTIF('Commercial Evidence'!$A$3:$A$502,$A228)=0,"",IF(COUNTIFS('Commercial Evidence'!$A$3:$A$502,$A228,'Commercial Evidence'!$B$3:$B$502,"Previous CBS Talks spend")+COUNTIFS('Commercial Evidence'!$A$3:$A$502,$A228,'Commercial Evidence'!$B$3:$B$502,"Sponsors student organisations")&gt;0,2,IF(COUNTIFS('Commercial Evidence'!$A$3:$A$502,$A228,'Commercial Evidence'!$B$3:$B$502,"Sponsors university activities")+COUNTIFS('Commercial Evidence'!$A$3:$A$502,$A228,'Commercial Evidence'!$B$3:$B$502,"Sponsors similar events")+COUNTIFS('Commercial Evidence'!$A$3:$A$502,$A228,'Commercial Evidence'!$B$3:$B$502,"Previous CBS Talks partner")&gt;0,1,0))))</f>
        <v/>
      </c>
      <c r="AC228" s="32" t="str">
        <f aca="false">IF($A228="","",IF(COUNT(G228,J228,M228,P228,AB228)&lt;5,"",G228+J228+M228+P228+AB228))</f>
        <v/>
      </c>
      <c r="AD228" s="32" t="str">
        <f aca="false">IF($A228="","",IF(COUNTIFS(Contacts!$A$3:$A$502,$A228,Contacts!$E$3:$E$502,"Champion",Contacts!$K$3:$K$502,"&lt;&gt;Yes",Contacts!$L$3:$L$502,"&lt;&gt;Yes")+COUNTIFS(Opportunities!$A$3:$A$502,$A228,Opportunities!$C$3:$C$502,"Won",Opportunities!$Q$3:$Q$502,"Satisfied")&gt;0,4,IF(COUNTIFS(Interactions!$B$3:$B$502,$A228,Interactions!$I$3:$I$502,"Yes",Interactions!$A$3:$A$502,"&gt;="&amp;(S_Today-S_WarmDays))&gt;0,3,IF(T228&lt;&gt;"",2,IF(COUNTIFS(Contacts!$A$3:$A$502,$A228,Contacts!$M$3:$M$502,"Yes",Contacts!$K$3:$K$502,"&lt;&gt;Yes",Contacts!$L$3:$L$502,"&lt;&gt;Yes")&gt;0,1,0)))))</f>
        <v/>
      </c>
      <c r="AE228" s="32" t="str">
        <f aca="false">IF($A228="","",IF(Z228="Yes","Do not contact",IF(AC228="","Research",IF(AND(AC228&gt;=S_FitHigh,AD228&gt;=S_AccessHigh),"Priority",IF(AC228&gt;=S_FitHigh,"Build a Path",IF(AD228&gt;=S_AccessHigh,"Quick Win","Low Priority"))))))</f>
        <v/>
      </c>
      <c r="AF228" s="33" t="str">
        <f aca="false">IF($A228="","",IF(_xlfn.MAXIFS(Interactions!$A$3:$A$502,Interactions!$B$3:$B$502,$A228)=0,"",_xlfn.MAXIFS(Interactions!$A$3:$A$502,Interactions!$B$3:$B$502,$A228)))</f>
        <v/>
      </c>
      <c r="AG228" s="32" t="str">
        <f aca="false">IF($A228="","",COUNTIFS(Opportunities!$A$3:$A$502,$A228,Opportunities!$X$3:$X$502,"Yes"))</f>
        <v/>
      </c>
      <c r="AH228" s="32" t="str">
        <f aca="false">IF($A228="","",_xlfn.TEXTJOIN(", ",TRUE(),IF(COUNTIF($A$3:$A$502,$A228)&gt;1,"Duplicate name",""),IF(OR(AND(G228=2,I228=""),AND(J228=2,L228=""),AND(M228=2,O228=""),AND(P228=2,R228="")),"Source missing for a 2",""),IF(F228="","No owner",IF(COUNTIFS(R_TeamName,F228,R_TeamActive,"No")&gt;0,"Needs new owner","")),IF(AND(V228="Yes",X228&lt;&gt;"",X228&lt;S_SemStart),"Path overdue",""),IF(AND(S228&lt;&gt;"",S228&lt;S_Today-365),"Stale research",""),IF(AND(AE228="Research",COUNTIF('Commercial Evidence'!$A$3:$A$502,$A228)=0),"Add commercial evidence","")))</f>
        <v/>
      </c>
      <c r="AI228" s="34" t="str">
        <f aca="false">IF(OR($A228="",Z228="Yes"),"",IF(AND(AE228="Priority",AG228=0,COUNTIFS(Opportunities!$A$3:$A$502,$A228,Opportunities!$Y$3:$Y$502,"Renewal due")=0),600000+(10-AC228)*1000+(4-AD228)*100+ROW()/100000,IF(V228="Yes",700000+IF(X228="",0,X228-40000)/10+ROW()/100000,IF(AND(AE228="Quick Win",U228&lt;&gt;"",AG228=0),800000+(10-AC228)*1000+ROW()/100000,IF(AND(AE228="Build a Path",COUNTIF($V$3:$V$502,"Yes")&lt;S_PathCap),900000+(10-AC228)*1000+(4-AD228)*100+ROW()/100000,"")))))</f>
        <v/>
      </c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8"/>
      <c r="T229" s="27"/>
      <c r="U229" s="27"/>
      <c r="V229" s="27"/>
      <c r="W229" s="27"/>
      <c r="X229" s="28"/>
      <c r="Y229" s="27"/>
      <c r="Z229" s="27"/>
      <c r="AA229" s="27"/>
      <c r="AB229" s="32" t="str">
        <f aca="false">IF($A229="","",IF(COUNTIF('Commercial Evidence'!$A$3:$A$502,$A229)=0,"",IF(COUNTIFS('Commercial Evidence'!$A$3:$A$502,$A229,'Commercial Evidence'!$B$3:$B$502,"Previous CBS Talks spend")+COUNTIFS('Commercial Evidence'!$A$3:$A$502,$A229,'Commercial Evidence'!$B$3:$B$502,"Sponsors student organisations")&gt;0,2,IF(COUNTIFS('Commercial Evidence'!$A$3:$A$502,$A229,'Commercial Evidence'!$B$3:$B$502,"Sponsors university activities")+COUNTIFS('Commercial Evidence'!$A$3:$A$502,$A229,'Commercial Evidence'!$B$3:$B$502,"Sponsors similar events")+COUNTIFS('Commercial Evidence'!$A$3:$A$502,$A229,'Commercial Evidence'!$B$3:$B$502,"Previous CBS Talks partner")&gt;0,1,0))))</f>
        <v/>
      </c>
      <c r="AC229" s="32" t="str">
        <f aca="false">IF($A229="","",IF(COUNT(G229,J229,M229,P229,AB229)&lt;5,"",G229+J229+M229+P229+AB229))</f>
        <v/>
      </c>
      <c r="AD229" s="32" t="str">
        <f aca="false">IF($A229="","",IF(COUNTIFS(Contacts!$A$3:$A$502,$A229,Contacts!$E$3:$E$502,"Champion",Contacts!$K$3:$K$502,"&lt;&gt;Yes",Contacts!$L$3:$L$502,"&lt;&gt;Yes")+COUNTIFS(Opportunities!$A$3:$A$502,$A229,Opportunities!$C$3:$C$502,"Won",Opportunities!$Q$3:$Q$502,"Satisfied")&gt;0,4,IF(COUNTIFS(Interactions!$B$3:$B$502,$A229,Interactions!$I$3:$I$502,"Yes",Interactions!$A$3:$A$502,"&gt;="&amp;(S_Today-S_WarmDays))&gt;0,3,IF(T229&lt;&gt;"",2,IF(COUNTIFS(Contacts!$A$3:$A$502,$A229,Contacts!$M$3:$M$502,"Yes",Contacts!$K$3:$K$502,"&lt;&gt;Yes",Contacts!$L$3:$L$502,"&lt;&gt;Yes")&gt;0,1,0)))))</f>
        <v/>
      </c>
      <c r="AE229" s="32" t="str">
        <f aca="false">IF($A229="","",IF(Z229="Yes","Do not contact",IF(AC229="","Research",IF(AND(AC229&gt;=S_FitHigh,AD229&gt;=S_AccessHigh),"Priority",IF(AC229&gt;=S_FitHigh,"Build a Path",IF(AD229&gt;=S_AccessHigh,"Quick Win","Low Priority"))))))</f>
        <v/>
      </c>
      <c r="AF229" s="33" t="str">
        <f aca="false">IF($A229="","",IF(_xlfn.MAXIFS(Interactions!$A$3:$A$502,Interactions!$B$3:$B$502,$A229)=0,"",_xlfn.MAXIFS(Interactions!$A$3:$A$502,Interactions!$B$3:$B$502,$A229)))</f>
        <v/>
      </c>
      <c r="AG229" s="32" t="str">
        <f aca="false">IF($A229="","",COUNTIFS(Opportunities!$A$3:$A$502,$A229,Opportunities!$X$3:$X$502,"Yes"))</f>
        <v/>
      </c>
      <c r="AH229" s="32" t="str">
        <f aca="false">IF($A229="","",_xlfn.TEXTJOIN(", ",TRUE(),IF(COUNTIF($A$3:$A$502,$A229)&gt;1,"Duplicate name",""),IF(OR(AND(G229=2,I229=""),AND(J229=2,L229=""),AND(M229=2,O229=""),AND(P229=2,R229="")),"Source missing for a 2",""),IF(F229="","No owner",IF(COUNTIFS(R_TeamName,F229,R_TeamActive,"No")&gt;0,"Needs new owner","")),IF(AND(V229="Yes",X229&lt;&gt;"",X229&lt;S_SemStart),"Path overdue",""),IF(AND(S229&lt;&gt;"",S229&lt;S_Today-365),"Stale research",""),IF(AND(AE229="Research",COUNTIF('Commercial Evidence'!$A$3:$A$502,$A229)=0),"Add commercial evidence","")))</f>
        <v/>
      </c>
      <c r="AI229" s="34" t="str">
        <f aca="false">IF(OR($A229="",Z229="Yes"),"",IF(AND(AE229="Priority",AG229=0,COUNTIFS(Opportunities!$A$3:$A$502,$A229,Opportunities!$Y$3:$Y$502,"Renewal due")=0),600000+(10-AC229)*1000+(4-AD229)*100+ROW()/100000,IF(V229="Yes",700000+IF(X229="",0,X229-40000)/10+ROW()/100000,IF(AND(AE229="Quick Win",U229&lt;&gt;"",AG229=0),800000+(10-AC229)*1000+ROW()/100000,IF(AND(AE229="Build a Path",COUNTIF($V$3:$V$502,"Yes")&lt;S_PathCap),900000+(10-AC229)*1000+(4-AD229)*100+ROW()/100000,"")))))</f>
        <v/>
      </c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8"/>
      <c r="T230" s="27"/>
      <c r="U230" s="27"/>
      <c r="V230" s="27"/>
      <c r="W230" s="27"/>
      <c r="X230" s="28"/>
      <c r="Y230" s="27"/>
      <c r="Z230" s="27"/>
      <c r="AA230" s="27"/>
      <c r="AB230" s="32" t="str">
        <f aca="false">IF($A230="","",IF(COUNTIF('Commercial Evidence'!$A$3:$A$502,$A230)=0,"",IF(COUNTIFS('Commercial Evidence'!$A$3:$A$502,$A230,'Commercial Evidence'!$B$3:$B$502,"Previous CBS Talks spend")+COUNTIFS('Commercial Evidence'!$A$3:$A$502,$A230,'Commercial Evidence'!$B$3:$B$502,"Sponsors student organisations")&gt;0,2,IF(COUNTIFS('Commercial Evidence'!$A$3:$A$502,$A230,'Commercial Evidence'!$B$3:$B$502,"Sponsors university activities")+COUNTIFS('Commercial Evidence'!$A$3:$A$502,$A230,'Commercial Evidence'!$B$3:$B$502,"Sponsors similar events")+COUNTIFS('Commercial Evidence'!$A$3:$A$502,$A230,'Commercial Evidence'!$B$3:$B$502,"Previous CBS Talks partner")&gt;0,1,0))))</f>
        <v/>
      </c>
      <c r="AC230" s="32" t="str">
        <f aca="false">IF($A230="","",IF(COUNT(G230,J230,M230,P230,AB230)&lt;5,"",G230+J230+M230+P230+AB230))</f>
        <v/>
      </c>
      <c r="AD230" s="32" t="str">
        <f aca="false">IF($A230="","",IF(COUNTIFS(Contacts!$A$3:$A$502,$A230,Contacts!$E$3:$E$502,"Champion",Contacts!$K$3:$K$502,"&lt;&gt;Yes",Contacts!$L$3:$L$502,"&lt;&gt;Yes")+COUNTIFS(Opportunities!$A$3:$A$502,$A230,Opportunities!$C$3:$C$502,"Won",Opportunities!$Q$3:$Q$502,"Satisfied")&gt;0,4,IF(COUNTIFS(Interactions!$B$3:$B$502,$A230,Interactions!$I$3:$I$502,"Yes",Interactions!$A$3:$A$502,"&gt;="&amp;(S_Today-S_WarmDays))&gt;0,3,IF(T230&lt;&gt;"",2,IF(COUNTIFS(Contacts!$A$3:$A$502,$A230,Contacts!$M$3:$M$502,"Yes",Contacts!$K$3:$K$502,"&lt;&gt;Yes",Contacts!$L$3:$L$502,"&lt;&gt;Yes")&gt;0,1,0)))))</f>
        <v/>
      </c>
      <c r="AE230" s="32" t="str">
        <f aca="false">IF($A230="","",IF(Z230="Yes","Do not contact",IF(AC230="","Research",IF(AND(AC230&gt;=S_FitHigh,AD230&gt;=S_AccessHigh),"Priority",IF(AC230&gt;=S_FitHigh,"Build a Path",IF(AD230&gt;=S_AccessHigh,"Quick Win","Low Priority"))))))</f>
        <v/>
      </c>
      <c r="AF230" s="33" t="str">
        <f aca="false">IF($A230="","",IF(_xlfn.MAXIFS(Interactions!$A$3:$A$502,Interactions!$B$3:$B$502,$A230)=0,"",_xlfn.MAXIFS(Interactions!$A$3:$A$502,Interactions!$B$3:$B$502,$A230)))</f>
        <v/>
      </c>
      <c r="AG230" s="32" t="str">
        <f aca="false">IF($A230="","",COUNTIFS(Opportunities!$A$3:$A$502,$A230,Opportunities!$X$3:$X$502,"Yes"))</f>
        <v/>
      </c>
      <c r="AH230" s="32" t="str">
        <f aca="false">IF($A230="","",_xlfn.TEXTJOIN(", ",TRUE(),IF(COUNTIF($A$3:$A$502,$A230)&gt;1,"Duplicate name",""),IF(OR(AND(G230=2,I230=""),AND(J230=2,L230=""),AND(M230=2,O230=""),AND(P230=2,R230="")),"Source missing for a 2",""),IF(F230="","No owner",IF(COUNTIFS(R_TeamName,F230,R_TeamActive,"No")&gt;0,"Needs new owner","")),IF(AND(V230="Yes",X230&lt;&gt;"",X230&lt;S_SemStart),"Path overdue",""),IF(AND(S230&lt;&gt;"",S230&lt;S_Today-365),"Stale research",""),IF(AND(AE230="Research",COUNTIF('Commercial Evidence'!$A$3:$A$502,$A230)=0),"Add commercial evidence","")))</f>
        <v/>
      </c>
      <c r="AI230" s="34" t="str">
        <f aca="false">IF(OR($A230="",Z230="Yes"),"",IF(AND(AE230="Priority",AG230=0,COUNTIFS(Opportunities!$A$3:$A$502,$A230,Opportunities!$Y$3:$Y$502,"Renewal due")=0),600000+(10-AC230)*1000+(4-AD230)*100+ROW()/100000,IF(V230="Yes",700000+IF(X230="",0,X230-40000)/10+ROW()/100000,IF(AND(AE230="Quick Win",U230&lt;&gt;"",AG230=0),800000+(10-AC230)*1000+ROW()/100000,IF(AND(AE230="Build a Path",COUNTIF($V$3:$V$502,"Yes")&lt;S_PathCap),900000+(10-AC230)*1000+(4-AD230)*100+ROW()/100000,"")))))</f>
        <v/>
      </c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8"/>
      <c r="T231" s="27"/>
      <c r="U231" s="27"/>
      <c r="V231" s="27"/>
      <c r="W231" s="27"/>
      <c r="X231" s="28"/>
      <c r="Y231" s="27"/>
      <c r="Z231" s="27"/>
      <c r="AA231" s="27"/>
      <c r="AB231" s="32" t="str">
        <f aca="false">IF($A231="","",IF(COUNTIF('Commercial Evidence'!$A$3:$A$502,$A231)=0,"",IF(COUNTIFS('Commercial Evidence'!$A$3:$A$502,$A231,'Commercial Evidence'!$B$3:$B$502,"Previous CBS Talks spend")+COUNTIFS('Commercial Evidence'!$A$3:$A$502,$A231,'Commercial Evidence'!$B$3:$B$502,"Sponsors student organisations")&gt;0,2,IF(COUNTIFS('Commercial Evidence'!$A$3:$A$502,$A231,'Commercial Evidence'!$B$3:$B$502,"Sponsors university activities")+COUNTIFS('Commercial Evidence'!$A$3:$A$502,$A231,'Commercial Evidence'!$B$3:$B$502,"Sponsors similar events")+COUNTIFS('Commercial Evidence'!$A$3:$A$502,$A231,'Commercial Evidence'!$B$3:$B$502,"Previous CBS Talks partner")&gt;0,1,0))))</f>
        <v/>
      </c>
      <c r="AC231" s="32" t="str">
        <f aca="false">IF($A231="","",IF(COUNT(G231,J231,M231,P231,AB231)&lt;5,"",G231+J231+M231+P231+AB231))</f>
        <v/>
      </c>
      <c r="AD231" s="32" t="str">
        <f aca="false">IF($A231="","",IF(COUNTIFS(Contacts!$A$3:$A$502,$A231,Contacts!$E$3:$E$502,"Champion",Contacts!$K$3:$K$502,"&lt;&gt;Yes",Contacts!$L$3:$L$502,"&lt;&gt;Yes")+COUNTIFS(Opportunities!$A$3:$A$502,$A231,Opportunities!$C$3:$C$502,"Won",Opportunities!$Q$3:$Q$502,"Satisfied")&gt;0,4,IF(COUNTIFS(Interactions!$B$3:$B$502,$A231,Interactions!$I$3:$I$502,"Yes",Interactions!$A$3:$A$502,"&gt;="&amp;(S_Today-S_WarmDays))&gt;0,3,IF(T231&lt;&gt;"",2,IF(COUNTIFS(Contacts!$A$3:$A$502,$A231,Contacts!$M$3:$M$502,"Yes",Contacts!$K$3:$K$502,"&lt;&gt;Yes",Contacts!$L$3:$L$502,"&lt;&gt;Yes")&gt;0,1,0)))))</f>
        <v/>
      </c>
      <c r="AE231" s="32" t="str">
        <f aca="false">IF($A231="","",IF(Z231="Yes","Do not contact",IF(AC231="","Research",IF(AND(AC231&gt;=S_FitHigh,AD231&gt;=S_AccessHigh),"Priority",IF(AC231&gt;=S_FitHigh,"Build a Path",IF(AD231&gt;=S_AccessHigh,"Quick Win","Low Priority"))))))</f>
        <v/>
      </c>
      <c r="AF231" s="33" t="str">
        <f aca="false">IF($A231="","",IF(_xlfn.MAXIFS(Interactions!$A$3:$A$502,Interactions!$B$3:$B$502,$A231)=0,"",_xlfn.MAXIFS(Interactions!$A$3:$A$502,Interactions!$B$3:$B$502,$A231)))</f>
        <v/>
      </c>
      <c r="AG231" s="32" t="str">
        <f aca="false">IF($A231="","",COUNTIFS(Opportunities!$A$3:$A$502,$A231,Opportunities!$X$3:$X$502,"Yes"))</f>
        <v/>
      </c>
      <c r="AH231" s="32" t="str">
        <f aca="false">IF($A231="","",_xlfn.TEXTJOIN(", ",TRUE(),IF(COUNTIF($A$3:$A$502,$A231)&gt;1,"Duplicate name",""),IF(OR(AND(G231=2,I231=""),AND(J231=2,L231=""),AND(M231=2,O231=""),AND(P231=2,R231="")),"Source missing for a 2",""),IF(F231="","No owner",IF(COUNTIFS(R_TeamName,F231,R_TeamActive,"No")&gt;0,"Needs new owner","")),IF(AND(V231="Yes",X231&lt;&gt;"",X231&lt;S_SemStart),"Path overdue",""),IF(AND(S231&lt;&gt;"",S231&lt;S_Today-365),"Stale research",""),IF(AND(AE231="Research",COUNTIF('Commercial Evidence'!$A$3:$A$502,$A231)=0),"Add commercial evidence","")))</f>
        <v/>
      </c>
      <c r="AI231" s="34" t="str">
        <f aca="false">IF(OR($A231="",Z231="Yes"),"",IF(AND(AE231="Priority",AG231=0,COUNTIFS(Opportunities!$A$3:$A$502,$A231,Opportunities!$Y$3:$Y$502,"Renewal due")=0),600000+(10-AC231)*1000+(4-AD231)*100+ROW()/100000,IF(V231="Yes",700000+IF(X231="",0,X231-40000)/10+ROW()/100000,IF(AND(AE231="Quick Win",U231&lt;&gt;"",AG231=0),800000+(10-AC231)*1000+ROW()/100000,IF(AND(AE231="Build a Path",COUNTIF($V$3:$V$502,"Yes")&lt;S_PathCap),900000+(10-AC231)*1000+(4-AD231)*100+ROW()/100000,"")))))</f>
        <v/>
      </c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8"/>
      <c r="T232" s="27"/>
      <c r="U232" s="27"/>
      <c r="V232" s="27"/>
      <c r="W232" s="27"/>
      <c r="X232" s="28"/>
      <c r="Y232" s="27"/>
      <c r="Z232" s="27"/>
      <c r="AA232" s="27"/>
      <c r="AB232" s="32" t="str">
        <f aca="false">IF($A232="","",IF(COUNTIF('Commercial Evidence'!$A$3:$A$502,$A232)=0,"",IF(COUNTIFS('Commercial Evidence'!$A$3:$A$502,$A232,'Commercial Evidence'!$B$3:$B$502,"Previous CBS Talks spend")+COUNTIFS('Commercial Evidence'!$A$3:$A$502,$A232,'Commercial Evidence'!$B$3:$B$502,"Sponsors student organisations")&gt;0,2,IF(COUNTIFS('Commercial Evidence'!$A$3:$A$502,$A232,'Commercial Evidence'!$B$3:$B$502,"Sponsors university activities")+COUNTIFS('Commercial Evidence'!$A$3:$A$502,$A232,'Commercial Evidence'!$B$3:$B$502,"Sponsors similar events")+COUNTIFS('Commercial Evidence'!$A$3:$A$502,$A232,'Commercial Evidence'!$B$3:$B$502,"Previous CBS Talks partner")&gt;0,1,0))))</f>
        <v/>
      </c>
      <c r="AC232" s="32" t="str">
        <f aca="false">IF($A232="","",IF(COUNT(G232,J232,M232,P232,AB232)&lt;5,"",G232+J232+M232+P232+AB232))</f>
        <v/>
      </c>
      <c r="AD232" s="32" t="str">
        <f aca="false">IF($A232="","",IF(COUNTIFS(Contacts!$A$3:$A$502,$A232,Contacts!$E$3:$E$502,"Champion",Contacts!$K$3:$K$502,"&lt;&gt;Yes",Contacts!$L$3:$L$502,"&lt;&gt;Yes")+COUNTIFS(Opportunities!$A$3:$A$502,$A232,Opportunities!$C$3:$C$502,"Won",Opportunities!$Q$3:$Q$502,"Satisfied")&gt;0,4,IF(COUNTIFS(Interactions!$B$3:$B$502,$A232,Interactions!$I$3:$I$502,"Yes",Interactions!$A$3:$A$502,"&gt;="&amp;(S_Today-S_WarmDays))&gt;0,3,IF(T232&lt;&gt;"",2,IF(COUNTIFS(Contacts!$A$3:$A$502,$A232,Contacts!$M$3:$M$502,"Yes",Contacts!$K$3:$K$502,"&lt;&gt;Yes",Contacts!$L$3:$L$502,"&lt;&gt;Yes")&gt;0,1,0)))))</f>
        <v/>
      </c>
      <c r="AE232" s="32" t="str">
        <f aca="false">IF($A232="","",IF(Z232="Yes","Do not contact",IF(AC232="","Research",IF(AND(AC232&gt;=S_FitHigh,AD232&gt;=S_AccessHigh),"Priority",IF(AC232&gt;=S_FitHigh,"Build a Path",IF(AD232&gt;=S_AccessHigh,"Quick Win","Low Priority"))))))</f>
        <v/>
      </c>
      <c r="AF232" s="33" t="str">
        <f aca="false">IF($A232="","",IF(_xlfn.MAXIFS(Interactions!$A$3:$A$502,Interactions!$B$3:$B$502,$A232)=0,"",_xlfn.MAXIFS(Interactions!$A$3:$A$502,Interactions!$B$3:$B$502,$A232)))</f>
        <v/>
      </c>
      <c r="AG232" s="32" t="str">
        <f aca="false">IF($A232="","",COUNTIFS(Opportunities!$A$3:$A$502,$A232,Opportunities!$X$3:$X$502,"Yes"))</f>
        <v/>
      </c>
      <c r="AH232" s="32" t="str">
        <f aca="false">IF($A232="","",_xlfn.TEXTJOIN(", ",TRUE(),IF(COUNTIF($A$3:$A$502,$A232)&gt;1,"Duplicate name",""),IF(OR(AND(G232=2,I232=""),AND(J232=2,L232=""),AND(M232=2,O232=""),AND(P232=2,R232="")),"Source missing for a 2",""),IF(F232="","No owner",IF(COUNTIFS(R_TeamName,F232,R_TeamActive,"No")&gt;0,"Needs new owner","")),IF(AND(V232="Yes",X232&lt;&gt;"",X232&lt;S_SemStart),"Path overdue",""),IF(AND(S232&lt;&gt;"",S232&lt;S_Today-365),"Stale research",""),IF(AND(AE232="Research",COUNTIF('Commercial Evidence'!$A$3:$A$502,$A232)=0),"Add commercial evidence","")))</f>
        <v/>
      </c>
      <c r="AI232" s="34" t="str">
        <f aca="false">IF(OR($A232="",Z232="Yes"),"",IF(AND(AE232="Priority",AG232=0,COUNTIFS(Opportunities!$A$3:$A$502,$A232,Opportunities!$Y$3:$Y$502,"Renewal due")=0),600000+(10-AC232)*1000+(4-AD232)*100+ROW()/100000,IF(V232="Yes",700000+IF(X232="",0,X232-40000)/10+ROW()/100000,IF(AND(AE232="Quick Win",U232&lt;&gt;"",AG232=0),800000+(10-AC232)*1000+ROW()/100000,IF(AND(AE232="Build a Path",COUNTIF($V$3:$V$502,"Yes")&lt;S_PathCap),900000+(10-AC232)*1000+(4-AD232)*100+ROW()/100000,"")))))</f>
        <v/>
      </c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8"/>
      <c r="T233" s="27"/>
      <c r="U233" s="27"/>
      <c r="V233" s="27"/>
      <c r="W233" s="27"/>
      <c r="X233" s="28"/>
      <c r="Y233" s="27"/>
      <c r="Z233" s="27"/>
      <c r="AA233" s="27"/>
      <c r="AB233" s="32" t="str">
        <f aca="false">IF($A233="","",IF(COUNTIF('Commercial Evidence'!$A$3:$A$502,$A233)=0,"",IF(COUNTIFS('Commercial Evidence'!$A$3:$A$502,$A233,'Commercial Evidence'!$B$3:$B$502,"Previous CBS Talks spend")+COUNTIFS('Commercial Evidence'!$A$3:$A$502,$A233,'Commercial Evidence'!$B$3:$B$502,"Sponsors student organisations")&gt;0,2,IF(COUNTIFS('Commercial Evidence'!$A$3:$A$502,$A233,'Commercial Evidence'!$B$3:$B$502,"Sponsors university activities")+COUNTIFS('Commercial Evidence'!$A$3:$A$502,$A233,'Commercial Evidence'!$B$3:$B$502,"Sponsors similar events")+COUNTIFS('Commercial Evidence'!$A$3:$A$502,$A233,'Commercial Evidence'!$B$3:$B$502,"Previous CBS Talks partner")&gt;0,1,0))))</f>
        <v/>
      </c>
      <c r="AC233" s="32" t="str">
        <f aca="false">IF($A233="","",IF(COUNT(G233,J233,M233,P233,AB233)&lt;5,"",G233+J233+M233+P233+AB233))</f>
        <v/>
      </c>
      <c r="AD233" s="32" t="str">
        <f aca="false">IF($A233="","",IF(COUNTIFS(Contacts!$A$3:$A$502,$A233,Contacts!$E$3:$E$502,"Champion",Contacts!$K$3:$K$502,"&lt;&gt;Yes",Contacts!$L$3:$L$502,"&lt;&gt;Yes")+COUNTIFS(Opportunities!$A$3:$A$502,$A233,Opportunities!$C$3:$C$502,"Won",Opportunities!$Q$3:$Q$502,"Satisfied")&gt;0,4,IF(COUNTIFS(Interactions!$B$3:$B$502,$A233,Interactions!$I$3:$I$502,"Yes",Interactions!$A$3:$A$502,"&gt;="&amp;(S_Today-S_WarmDays))&gt;0,3,IF(T233&lt;&gt;"",2,IF(COUNTIFS(Contacts!$A$3:$A$502,$A233,Contacts!$M$3:$M$502,"Yes",Contacts!$K$3:$K$502,"&lt;&gt;Yes",Contacts!$L$3:$L$502,"&lt;&gt;Yes")&gt;0,1,0)))))</f>
        <v/>
      </c>
      <c r="AE233" s="32" t="str">
        <f aca="false">IF($A233="","",IF(Z233="Yes","Do not contact",IF(AC233="","Research",IF(AND(AC233&gt;=S_FitHigh,AD233&gt;=S_AccessHigh),"Priority",IF(AC233&gt;=S_FitHigh,"Build a Path",IF(AD233&gt;=S_AccessHigh,"Quick Win","Low Priority"))))))</f>
        <v/>
      </c>
      <c r="AF233" s="33" t="str">
        <f aca="false">IF($A233="","",IF(_xlfn.MAXIFS(Interactions!$A$3:$A$502,Interactions!$B$3:$B$502,$A233)=0,"",_xlfn.MAXIFS(Interactions!$A$3:$A$502,Interactions!$B$3:$B$502,$A233)))</f>
        <v/>
      </c>
      <c r="AG233" s="32" t="str">
        <f aca="false">IF($A233="","",COUNTIFS(Opportunities!$A$3:$A$502,$A233,Opportunities!$X$3:$X$502,"Yes"))</f>
        <v/>
      </c>
      <c r="AH233" s="32" t="str">
        <f aca="false">IF($A233="","",_xlfn.TEXTJOIN(", ",TRUE(),IF(COUNTIF($A$3:$A$502,$A233)&gt;1,"Duplicate name",""),IF(OR(AND(G233=2,I233=""),AND(J233=2,L233=""),AND(M233=2,O233=""),AND(P233=2,R233="")),"Source missing for a 2",""),IF(F233="","No owner",IF(COUNTIFS(R_TeamName,F233,R_TeamActive,"No")&gt;0,"Needs new owner","")),IF(AND(V233="Yes",X233&lt;&gt;"",X233&lt;S_SemStart),"Path overdue",""),IF(AND(S233&lt;&gt;"",S233&lt;S_Today-365),"Stale research",""),IF(AND(AE233="Research",COUNTIF('Commercial Evidence'!$A$3:$A$502,$A233)=0),"Add commercial evidence","")))</f>
        <v/>
      </c>
      <c r="AI233" s="34" t="str">
        <f aca="false">IF(OR($A233="",Z233="Yes"),"",IF(AND(AE233="Priority",AG233=0,COUNTIFS(Opportunities!$A$3:$A$502,$A233,Opportunities!$Y$3:$Y$502,"Renewal due")=0),600000+(10-AC233)*1000+(4-AD233)*100+ROW()/100000,IF(V233="Yes",700000+IF(X233="",0,X233-40000)/10+ROW()/100000,IF(AND(AE233="Quick Win",U233&lt;&gt;"",AG233=0),800000+(10-AC233)*1000+ROW()/100000,IF(AND(AE233="Build a Path",COUNTIF($V$3:$V$502,"Yes")&lt;S_PathCap),900000+(10-AC233)*1000+(4-AD233)*100+ROW()/100000,"")))))</f>
        <v/>
      </c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8"/>
      <c r="T234" s="27"/>
      <c r="U234" s="27"/>
      <c r="V234" s="27"/>
      <c r="W234" s="27"/>
      <c r="X234" s="28"/>
      <c r="Y234" s="27"/>
      <c r="Z234" s="27"/>
      <c r="AA234" s="27"/>
      <c r="AB234" s="32" t="str">
        <f aca="false">IF($A234="","",IF(COUNTIF('Commercial Evidence'!$A$3:$A$502,$A234)=0,"",IF(COUNTIFS('Commercial Evidence'!$A$3:$A$502,$A234,'Commercial Evidence'!$B$3:$B$502,"Previous CBS Talks spend")+COUNTIFS('Commercial Evidence'!$A$3:$A$502,$A234,'Commercial Evidence'!$B$3:$B$502,"Sponsors student organisations")&gt;0,2,IF(COUNTIFS('Commercial Evidence'!$A$3:$A$502,$A234,'Commercial Evidence'!$B$3:$B$502,"Sponsors university activities")+COUNTIFS('Commercial Evidence'!$A$3:$A$502,$A234,'Commercial Evidence'!$B$3:$B$502,"Sponsors similar events")+COUNTIFS('Commercial Evidence'!$A$3:$A$502,$A234,'Commercial Evidence'!$B$3:$B$502,"Previous CBS Talks partner")&gt;0,1,0))))</f>
        <v/>
      </c>
      <c r="AC234" s="32" t="str">
        <f aca="false">IF($A234="","",IF(COUNT(G234,J234,M234,P234,AB234)&lt;5,"",G234+J234+M234+P234+AB234))</f>
        <v/>
      </c>
      <c r="AD234" s="32" t="str">
        <f aca="false">IF($A234="","",IF(COUNTIFS(Contacts!$A$3:$A$502,$A234,Contacts!$E$3:$E$502,"Champion",Contacts!$K$3:$K$502,"&lt;&gt;Yes",Contacts!$L$3:$L$502,"&lt;&gt;Yes")+COUNTIFS(Opportunities!$A$3:$A$502,$A234,Opportunities!$C$3:$C$502,"Won",Opportunities!$Q$3:$Q$502,"Satisfied")&gt;0,4,IF(COUNTIFS(Interactions!$B$3:$B$502,$A234,Interactions!$I$3:$I$502,"Yes",Interactions!$A$3:$A$502,"&gt;="&amp;(S_Today-S_WarmDays))&gt;0,3,IF(T234&lt;&gt;"",2,IF(COUNTIFS(Contacts!$A$3:$A$502,$A234,Contacts!$M$3:$M$502,"Yes",Contacts!$K$3:$K$502,"&lt;&gt;Yes",Contacts!$L$3:$L$502,"&lt;&gt;Yes")&gt;0,1,0)))))</f>
        <v/>
      </c>
      <c r="AE234" s="32" t="str">
        <f aca="false">IF($A234="","",IF(Z234="Yes","Do not contact",IF(AC234="","Research",IF(AND(AC234&gt;=S_FitHigh,AD234&gt;=S_AccessHigh),"Priority",IF(AC234&gt;=S_FitHigh,"Build a Path",IF(AD234&gt;=S_AccessHigh,"Quick Win","Low Priority"))))))</f>
        <v/>
      </c>
      <c r="AF234" s="33" t="str">
        <f aca="false">IF($A234="","",IF(_xlfn.MAXIFS(Interactions!$A$3:$A$502,Interactions!$B$3:$B$502,$A234)=0,"",_xlfn.MAXIFS(Interactions!$A$3:$A$502,Interactions!$B$3:$B$502,$A234)))</f>
        <v/>
      </c>
      <c r="AG234" s="32" t="str">
        <f aca="false">IF($A234="","",COUNTIFS(Opportunities!$A$3:$A$502,$A234,Opportunities!$X$3:$X$502,"Yes"))</f>
        <v/>
      </c>
      <c r="AH234" s="32" t="str">
        <f aca="false">IF($A234="","",_xlfn.TEXTJOIN(", ",TRUE(),IF(COUNTIF($A$3:$A$502,$A234)&gt;1,"Duplicate name",""),IF(OR(AND(G234=2,I234=""),AND(J234=2,L234=""),AND(M234=2,O234=""),AND(P234=2,R234="")),"Source missing for a 2",""),IF(F234="","No owner",IF(COUNTIFS(R_TeamName,F234,R_TeamActive,"No")&gt;0,"Needs new owner","")),IF(AND(V234="Yes",X234&lt;&gt;"",X234&lt;S_SemStart),"Path overdue",""),IF(AND(S234&lt;&gt;"",S234&lt;S_Today-365),"Stale research",""),IF(AND(AE234="Research",COUNTIF('Commercial Evidence'!$A$3:$A$502,$A234)=0),"Add commercial evidence","")))</f>
        <v/>
      </c>
      <c r="AI234" s="34" t="str">
        <f aca="false">IF(OR($A234="",Z234="Yes"),"",IF(AND(AE234="Priority",AG234=0,COUNTIFS(Opportunities!$A$3:$A$502,$A234,Opportunities!$Y$3:$Y$502,"Renewal due")=0),600000+(10-AC234)*1000+(4-AD234)*100+ROW()/100000,IF(V234="Yes",700000+IF(X234="",0,X234-40000)/10+ROW()/100000,IF(AND(AE234="Quick Win",U234&lt;&gt;"",AG234=0),800000+(10-AC234)*1000+ROW()/100000,IF(AND(AE234="Build a Path",COUNTIF($V$3:$V$502,"Yes")&lt;S_PathCap),900000+(10-AC234)*1000+(4-AD234)*100+ROW()/100000,"")))))</f>
        <v/>
      </c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8"/>
      <c r="T235" s="27"/>
      <c r="U235" s="27"/>
      <c r="V235" s="27"/>
      <c r="W235" s="27"/>
      <c r="X235" s="28"/>
      <c r="Y235" s="27"/>
      <c r="Z235" s="27"/>
      <c r="AA235" s="27"/>
      <c r="AB235" s="32" t="str">
        <f aca="false">IF($A235="","",IF(COUNTIF('Commercial Evidence'!$A$3:$A$502,$A235)=0,"",IF(COUNTIFS('Commercial Evidence'!$A$3:$A$502,$A235,'Commercial Evidence'!$B$3:$B$502,"Previous CBS Talks spend")+COUNTIFS('Commercial Evidence'!$A$3:$A$502,$A235,'Commercial Evidence'!$B$3:$B$502,"Sponsors student organisations")&gt;0,2,IF(COUNTIFS('Commercial Evidence'!$A$3:$A$502,$A235,'Commercial Evidence'!$B$3:$B$502,"Sponsors university activities")+COUNTIFS('Commercial Evidence'!$A$3:$A$502,$A235,'Commercial Evidence'!$B$3:$B$502,"Sponsors similar events")+COUNTIFS('Commercial Evidence'!$A$3:$A$502,$A235,'Commercial Evidence'!$B$3:$B$502,"Previous CBS Talks partner")&gt;0,1,0))))</f>
        <v/>
      </c>
      <c r="AC235" s="32" t="str">
        <f aca="false">IF($A235="","",IF(COUNT(G235,J235,M235,P235,AB235)&lt;5,"",G235+J235+M235+P235+AB235))</f>
        <v/>
      </c>
      <c r="AD235" s="32" t="str">
        <f aca="false">IF($A235="","",IF(COUNTIFS(Contacts!$A$3:$A$502,$A235,Contacts!$E$3:$E$502,"Champion",Contacts!$K$3:$K$502,"&lt;&gt;Yes",Contacts!$L$3:$L$502,"&lt;&gt;Yes")+COUNTIFS(Opportunities!$A$3:$A$502,$A235,Opportunities!$C$3:$C$502,"Won",Opportunities!$Q$3:$Q$502,"Satisfied")&gt;0,4,IF(COUNTIFS(Interactions!$B$3:$B$502,$A235,Interactions!$I$3:$I$502,"Yes",Interactions!$A$3:$A$502,"&gt;="&amp;(S_Today-S_WarmDays))&gt;0,3,IF(T235&lt;&gt;"",2,IF(COUNTIFS(Contacts!$A$3:$A$502,$A235,Contacts!$M$3:$M$502,"Yes",Contacts!$K$3:$K$502,"&lt;&gt;Yes",Contacts!$L$3:$L$502,"&lt;&gt;Yes")&gt;0,1,0)))))</f>
        <v/>
      </c>
      <c r="AE235" s="32" t="str">
        <f aca="false">IF($A235="","",IF(Z235="Yes","Do not contact",IF(AC235="","Research",IF(AND(AC235&gt;=S_FitHigh,AD235&gt;=S_AccessHigh),"Priority",IF(AC235&gt;=S_FitHigh,"Build a Path",IF(AD235&gt;=S_AccessHigh,"Quick Win","Low Priority"))))))</f>
        <v/>
      </c>
      <c r="AF235" s="33" t="str">
        <f aca="false">IF($A235="","",IF(_xlfn.MAXIFS(Interactions!$A$3:$A$502,Interactions!$B$3:$B$502,$A235)=0,"",_xlfn.MAXIFS(Interactions!$A$3:$A$502,Interactions!$B$3:$B$502,$A235)))</f>
        <v/>
      </c>
      <c r="AG235" s="32" t="str">
        <f aca="false">IF($A235="","",COUNTIFS(Opportunities!$A$3:$A$502,$A235,Opportunities!$X$3:$X$502,"Yes"))</f>
        <v/>
      </c>
      <c r="AH235" s="32" t="str">
        <f aca="false">IF($A235="","",_xlfn.TEXTJOIN(", ",TRUE(),IF(COUNTIF($A$3:$A$502,$A235)&gt;1,"Duplicate name",""),IF(OR(AND(G235=2,I235=""),AND(J235=2,L235=""),AND(M235=2,O235=""),AND(P235=2,R235="")),"Source missing for a 2",""),IF(F235="","No owner",IF(COUNTIFS(R_TeamName,F235,R_TeamActive,"No")&gt;0,"Needs new owner","")),IF(AND(V235="Yes",X235&lt;&gt;"",X235&lt;S_SemStart),"Path overdue",""),IF(AND(S235&lt;&gt;"",S235&lt;S_Today-365),"Stale research",""),IF(AND(AE235="Research",COUNTIF('Commercial Evidence'!$A$3:$A$502,$A235)=0),"Add commercial evidence","")))</f>
        <v/>
      </c>
      <c r="AI235" s="34" t="str">
        <f aca="false">IF(OR($A235="",Z235="Yes"),"",IF(AND(AE235="Priority",AG235=0,COUNTIFS(Opportunities!$A$3:$A$502,$A235,Opportunities!$Y$3:$Y$502,"Renewal due")=0),600000+(10-AC235)*1000+(4-AD235)*100+ROW()/100000,IF(V235="Yes",700000+IF(X235="",0,X235-40000)/10+ROW()/100000,IF(AND(AE235="Quick Win",U235&lt;&gt;"",AG235=0),800000+(10-AC235)*1000+ROW()/100000,IF(AND(AE235="Build a Path",COUNTIF($V$3:$V$502,"Yes")&lt;S_PathCap),900000+(10-AC235)*1000+(4-AD235)*100+ROW()/100000,"")))))</f>
        <v/>
      </c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8"/>
      <c r="T236" s="27"/>
      <c r="U236" s="27"/>
      <c r="V236" s="27"/>
      <c r="W236" s="27"/>
      <c r="X236" s="28"/>
      <c r="Y236" s="27"/>
      <c r="Z236" s="27"/>
      <c r="AA236" s="27"/>
      <c r="AB236" s="32" t="str">
        <f aca="false">IF($A236="","",IF(COUNTIF('Commercial Evidence'!$A$3:$A$502,$A236)=0,"",IF(COUNTIFS('Commercial Evidence'!$A$3:$A$502,$A236,'Commercial Evidence'!$B$3:$B$502,"Previous CBS Talks spend")+COUNTIFS('Commercial Evidence'!$A$3:$A$502,$A236,'Commercial Evidence'!$B$3:$B$502,"Sponsors student organisations")&gt;0,2,IF(COUNTIFS('Commercial Evidence'!$A$3:$A$502,$A236,'Commercial Evidence'!$B$3:$B$502,"Sponsors university activities")+COUNTIFS('Commercial Evidence'!$A$3:$A$502,$A236,'Commercial Evidence'!$B$3:$B$502,"Sponsors similar events")+COUNTIFS('Commercial Evidence'!$A$3:$A$502,$A236,'Commercial Evidence'!$B$3:$B$502,"Previous CBS Talks partner")&gt;0,1,0))))</f>
        <v/>
      </c>
      <c r="AC236" s="32" t="str">
        <f aca="false">IF($A236="","",IF(COUNT(G236,J236,M236,P236,AB236)&lt;5,"",G236+J236+M236+P236+AB236))</f>
        <v/>
      </c>
      <c r="AD236" s="32" t="str">
        <f aca="false">IF($A236="","",IF(COUNTIFS(Contacts!$A$3:$A$502,$A236,Contacts!$E$3:$E$502,"Champion",Contacts!$K$3:$K$502,"&lt;&gt;Yes",Contacts!$L$3:$L$502,"&lt;&gt;Yes")+COUNTIFS(Opportunities!$A$3:$A$502,$A236,Opportunities!$C$3:$C$502,"Won",Opportunities!$Q$3:$Q$502,"Satisfied")&gt;0,4,IF(COUNTIFS(Interactions!$B$3:$B$502,$A236,Interactions!$I$3:$I$502,"Yes",Interactions!$A$3:$A$502,"&gt;="&amp;(S_Today-S_WarmDays))&gt;0,3,IF(T236&lt;&gt;"",2,IF(COUNTIFS(Contacts!$A$3:$A$502,$A236,Contacts!$M$3:$M$502,"Yes",Contacts!$K$3:$K$502,"&lt;&gt;Yes",Contacts!$L$3:$L$502,"&lt;&gt;Yes")&gt;0,1,0)))))</f>
        <v/>
      </c>
      <c r="AE236" s="32" t="str">
        <f aca="false">IF($A236="","",IF(Z236="Yes","Do not contact",IF(AC236="","Research",IF(AND(AC236&gt;=S_FitHigh,AD236&gt;=S_AccessHigh),"Priority",IF(AC236&gt;=S_FitHigh,"Build a Path",IF(AD236&gt;=S_AccessHigh,"Quick Win","Low Priority"))))))</f>
        <v/>
      </c>
      <c r="AF236" s="33" t="str">
        <f aca="false">IF($A236="","",IF(_xlfn.MAXIFS(Interactions!$A$3:$A$502,Interactions!$B$3:$B$502,$A236)=0,"",_xlfn.MAXIFS(Interactions!$A$3:$A$502,Interactions!$B$3:$B$502,$A236)))</f>
        <v/>
      </c>
      <c r="AG236" s="32" t="str">
        <f aca="false">IF($A236="","",COUNTIFS(Opportunities!$A$3:$A$502,$A236,Opportunities!$X$3:$X$502,"Yes"))</f>
        <v/>
      </c>
      <c r="AH236" s="32" t="str">
        <f aca="false">IF($A236="","",_xlfn.TEXTJOIN(", ",TRUE(),IF(COUNTIF($A$3:$A$502,$A236)&gt;1,"Duplicate name",""),IF(OR(AND(G236=2,I236=""),AND(J236=2,L236=""),AND(M236=2,O236=""),AND(P236=2,R236="")),"Source missing for a 2",""),IF(F236="","No owner",IF(COUNTIFS(R_TeamName,F236,R_TeamActive,"No")&gt;0,"Needs new owner","")),IF(AND(V236="Yes",X236&lt;&gt;"",X236&lt;S_SemStart),"Path overdue",""),IF(AND(S236&lt;&gt;"",S236&lt;S_Today-365),"Stale research",""),IF(AND(AE236="Research",COUNTIF('Commercial Evidence'!$A$3:$A$502,$A236)=0),"Add commercial evidence","")))</f>
        <v/>
      </c>
      <c r="AI236" s="34" t="str">
        <f aca="false">IF(OR($A236="",Z236="Yes"),"",IF(AND(AE236="Priority",AG236=0,COUNTIFS(Opportunities!$A$3:$A$502,$A236,Opportunities!$Y$3:$Y$502,"Renewal due")=0),600000+(10-AC236)*1000+(4-AD236)*100+ROW()/100000,IF(V236="Yes",700000+IF(X236="",0,X236-40000)/10+ROW()/100000,IF(AND(AE236="Quick Win",U236&lt;&gt;"",AG236=0),800000+(10-AC236)*1000+ROW()/100000,IF(AND(AE236="Build a Path",COUNTIF($V$3:$V$502,"Yes")&lt;S_PathCap),900000+(10-AC236)*1000+(4-AD236)*100+ROW()/100000,"")))))</f>
        <v/>
      </c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8"/>
      <c r="T237" s="27"/>
      <c r="U237" s="27"/>
      <c r="V237" s="27"/>
      <c r="W237" s="27"/>
      <c r="X237" s="28"/>
      <c r="Y237" s="27"/>
      <c r="Z237" s="27"/>
      <c r="AA237" s="27"/>
      <c r="AB237" s="32" t="str">
        <f aca="false">IF($A237="","",IF(COUNTIF('Commercial Evidence'!$A$3:$A$502,$A237)=0,"",IF(COUNTIFS('Commercial Evidence'!$A$3:$A$502,$A237,'Commercial Evidence'!$B$3:$B$502,"Previous CBS Talks spend")+COUNTIFS('Commercial Evidence'!$A$3:$A$502,$A237,'Commercial Evidence'!$B$3:$B$502,"Sponsors student organisations")&gt;0,2,IF(COUNTIFS('Commercial Evidence'!$A$3:$A$502,$A237,'Commercial Evidence'!$B$3:$B$502,"Sponsors university activities")+COUNTIFS('Commercial Evidence'!$A$3:$A$502,$A237,'Commercial Evidence'!$B$3:$B$502,"Sponsors similar events")+COUNTIFS('Commercial Evidence'!$A$3:$A$502,$A237,'Commercial Evidence'!$B$3:$B$502,"Previous CBS Talks partner")&gt;0,1,0))))</f>
        <v/>
      </c>
      <c r="AC237" s="32" t="str">
        <f aca="false">IF($A237="","",IF(COUNT(G237,J237,M237,P237,AB237)&lt;5,"",G237+J237+M237+P237+AB237))</f>
        <v/>
      </c>
      <c r="AD237" s="32" t="str">
        <f aca="false">IF($A237="","",IF(COUNTIFS(Contacts!$A$3:$A$502,$A237,Contacts!$E$3:$E$502,"Champion",Contacts!$K$3:$K$502,"&lt;&gt;Yes",Contacts!$L$3:$L$502,"&lt;&gt;Yes")+COUNTIFS(Opportunities!$A$3:$A$502,$A237,Opportunities!$C$3:$C$502,"Won",Opportunities!$Q$3:$Q$502,"Satisfied")&gt;0,4,IF(COUNTIFS(Interactions!$B$3:$B$502,$A237,Interactions!$I$3:$I$502,"Yes",Interactions!$A$3:$A$502,"&gt;="&amp;(S_Today-S_WarmDays))&gt;0,3,IF(T237&lt;&gt;"",2,IF(COUNTIFS(Contacts!$A$3:$A$502,$A237,Contacts!$M$3:$M$502,"Yes",Contacts!$K$3:$K$502,"&lt;&gt;Yes",Contacts!$L$3:$L$502,"&lt;&gt;Yes")&gt;0,1,0)))))</f>
        <v/>
      </c>
      <c r="AE237" s="32" t="str">
        <f aca="false">IF($A237="","",IF(Z237="Yes","Do not contact",IF(AC237="","Research",IF(AND(AC237&gt;=S_FitHigh,AD237&gt;=S_AccessHigh),"Priority",IF(AC237&gt;=S_FitHigh,"Build a Path",IF(AD237&gt;=S_AccessHigh,"Quick Win","Low Priority"))))))</f>
        <v/>
      </c>
      <c r="AF237" s="33" t="str">
        <f aca="false">IF($A237="","",IF(_xlfn.MAXIFS(Interactions!$A$3:$A$502,Interactions!$B$3:$B$502,$A237)=0,"",_xlfn.MAXIFS(Interactions!$A$3:$A$502,Interactions!$B$3:$B$502,$A237)))</f>
        <v/>
      </c>
      <c r="AG237" s="32" t="str">
        <f aca="false">IF($A237="","",COUNTIFS(Opportunities!$A$3:$A$502,$A237,Opportunities!$X$3:$X$502,"Yes"))</f>
        <v/>
      </c>
      <c r="AH237" s="32" t="str">
        <f aca="false">IF($A237="","",_xlfn.TEXTJOIN(", ",TRUE(),IF(COUNTIF($A$3:$A$502,$A237)&gt;1,"Duplicate name",""),IF(OR(AND(G237=2,I237=""),AND(J237=2,L237=""),AND(M237=2,O237=""),AND(P237=2,R237="")),"Source missing for a 2",""),IF(F237="","No owner",IF(COUNTIFS(R_TeamName,F237,R_TeamActive,"No")&gt;0,"Needs new owner","")),IF(AND(V237="Yes",X237&lt;&gt;"",X237&lt;S_SemStart),"Path overdue",""),IF(AND(S237&lt;&gt;"",S237&lt;S_Today-365),"Stale research",""),IF(AND(AE237="Research",COUNTIF('Commercial Evidence'!$A$3:$A$502,$A237)=0),"Add commercial evidence","")))</f>
        <v/>
      </c>
      <c r="AI237" s="34" t="str">
        <f aca="false">IF(OR($A237="",Z237="Yes"),"",IF(AND(AE237="Priority",AG237=0,COUNTIFS(Opportunities!$A$3:$A$502,$A237,Opportunities!$Y$3:$Y$502,"Renewal due")=0),600000+(10-AC237)*1000+(4-AD237)*100+ROW()/100000,IF(V237="Yes",700000+IF(X237="",0,X237-40000)/10+ROW()/100000,IF(AND(AE237="Quick Win",U237&lt;&gt;"",AG237=0),800000+(10-AC237)*1000+ROW()/100000,IF(AND(AE237="Build a Path",COUNTIF($V$3:$V$502,"Yes")&lt;S_PathCap),900000+(10-AC237)*1000+(4-AD237)*100+ROW()/100000,"")))))</f>
        <v/>
      </c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8"/>
      <c r="T238" s="27"/>
      <c r="U238" s="27"/>
      <c r="V238" s="27"/>
      <c r="W238" s="27"/>
      <c r="X238" s="28"/>
      <c r="Y238" s="27"/>
      <c r="Z238" s="27"/>
      <c r="AA238" s="27"/>
      <c r="AB238" s="32" t="str">
        <f aca="false">IF($A238="","",IF(COUNTIF('Commercial Evidence'!$A$3:$A$502,$A238)=0,"",IF(COUNTIFS('Commercial Evidence'!$A$3:$A$502,$A238,'Commercial Evidence'!$B$3:$B$502,"Previous CBS Talks spend")+COUNTIFS('Commercial Evidence'!$A$3:$A$502,$A238,'Commercial Evidence'!$B$3:$B$502,"Sponsors student organisations")&gt;0,2,IF(COUNTIFS('Commercial Evidence'!$A$3:$A$502,$A238,'Commercial Evidence'!$B$3:$B$502,"Sponsors university activities")+COUNTIFS('Commercial Evidence'!$A$3:$A$502,$A238,'Commercial Evidence'!$B$3:$B$502,"Sponsors similar events")+COUNTIFS('Commercial Evidence'!$A$3:$A$502,$A238,'Commercial Evidence'!$B$3:$B$502,"Previous CBS Talks partner")&gt;0,1,0))))</f>
        <v/>
      </c>
      <c r="AC238" s="32" t="str">
        <f aca="false">IF($A238="","",IF(COUNT(G238,J238,M238,P238,AB238)&lt;5,"",G238+J238+M238+P238+AB238))</f>
        <v/>
      </c>
      <c r="AD238" s="32" t="str">
        <f aca="false">IF($A238="","",IF(COUNTIFS(Contacts!$A$3:$A$502,$A238,Contacts!$E$3:$E$502,"Champion",Contacts!$K$3:$K$502,"&lt;&gt;Yes",Contacts!$L$3:$L$502,"&lt;&gt;Yes")+COUNTIFS(Opportunities!$A$3:$A$502,$A238,Opportunities!$C$3:$C$502,"Won",Opportunities!$Q$3:$Q$502,"Satisfied")&gt;0,4,IF(COUNTIFS(Interactions!$B$3:$B$502,$A238,Interactions!$I$3:$I$502,"Yes",Interactions!$A$3:$A$502,"&gt;="&amp;(S_Today-S_WarmDays))&gt;0,3,IF(T238&lt;&gt;"",2,IF(COUNTIFS(Contacts!$A$3:$A$502,$A238,Contacts!$M$3:$M$502,"Yes",Contacts!$K$3:$K$502,"&lt;&gt;Yes",Contacts!$L$3:$L$502,"&lt;&gt;Yes")&gt;0,1,0)))))</f>
        <v/>
      </c>
      <c r="AE238" s="32" t="str">
        <f aca="false">IF($A238="","",IF(Z238="Yes","Do not contact",IF(AC238="","Research",IF(AND(AC238&gt;=S_FitHigh,AD238&gt;=S_AccessHigh),"Priority",IF(AC238&gt;=S_FitHigh,"Build a Path",IF(AD238&gt;=S_AccessHigh,"Quick Win","Low Priority"))))))</f>
        <v/>
      </c>
      <c r="AF238" s="33" t="str">
        <f aca="false">IF($A238="","",IF(_xlfn.MAXIFS(Interactions!$A$3:$A$502,Interactions!$B$3:$B$502,$A238)=0,"",_xlfn.MAXIFS(Interactions!$A$3:$A$502,Interactions!$B$3:$B$502,$A238)))</f>
        <v/>
      </c>
      <c r="AG238" s="32" t="str">
        <f aca="false">IF($A238="","",COUNTIFS(Opportunities!$A$3:$A$502,$A238,Opportunities!$X$3:$X$502,"Yes"))</f>
        <v/>
      </c>
      <c r="AH238" s="32" t="str">
        <f aca="false">IF($A238="","",_xlfn.TEXTJOIN(", ",TRUE(),IF(COUNTIF($A$3:$A$502,$A238)&gt;1,"Duplicate name",""),IF(OR(AND(G238=2,I238=""),AND(J238=2,L238=""),AND(M238=2,O238=""),AND(P238=2,R238="")),"Source missing for a 2",""),IF(F238="","No owner",IF(COUNTIFS(R_TeamName,F238,R_TeamActive,"No")&gt;0,"Needs new owner","")),IF(AND(V238="Yes",X238&lt;&gt;"",X238&lt;S_SemStart),"Path overdue",""),IF(AND(S238&lt;&gt;"",S238&lt;S_Today-365),"Stale research",""),IF(AND(AE238="Research",COUNTIF('Commercial Evidence'!$A$3:$A$502,$A238)=0),"Add commercial evidence","")))</f>
        <v/>
      </c>
      <c r="AI238" s="34" t="str">
        <f aca="false">IF(OR($A238="",Z238="Yes"),"",IF(AND(AE238="Priority",AG238=0,COUNTIFS(Opportunities!$A$3:$A$502,$A238,Opportunities!$Y$3:$Y$502,"Renewal due")=0),600000+(10-AC238)*1000+(4-AD238)*100+ROW()/100000,IF(V238="Yes",700000+IF(X238="",0,X238-40000)/10+ROW()/100000,IF(AND(AE238="Quick Win",U238&lt;&gt;"",AG238=0),800000+(10-AC238)*1000+ROW()/100000,IF(AND(AE238="Build a Path",COUNTIF($V$3:$V$502,"Yes")&lt;S_PathCap),900000+(10-AC238)*1000+(4-AD238)*100+ROW()/100000,"")))))</f>
        <v/>
      </c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8"/>
      <c r="T239" s="27"/>
      <c r="U239" s="27"/>
      <c r="V239" s="27"/>
      <c r="W239" s="27"/>
      <c r="X239" s="28"/>
      <c r="Y239" s="27"/>
      <c r="Z239" s="27"/>
      <c r="AA239" s="27"/>
      <c r="AB239" s="32" t="str">
        <f aca="false">IF($A239="","",IF(COUNTIF('Commercial Evidence'!$A$3:$A$502,$A239)=0,"",IF(COUNTIFS('Commercial Evidence'!$A$3:$A$502,$A239,'Commercial Evidence'!$B$3:$B$502,"Previous CBS Talks spend")+COUNTIFS('Commercial Evidence'!$A$3:$A$502,$A239,'Commercial Evidence'!$B$3:$B$502,"Sponsors student organisations")&gt;0,2,IF(COUNTIFS('Commercial Evidence'!$A$3:$A$502,$A239,'Commercial Evidence'!$B$3:$B$502,"Sponsors university activities")+COUNTIFS('Commercial Evidence'!$A$3:$A$502,$A239,'Commercial Evidence'!$B$3:$B$502,"Sponsors similar events")+COUNTIFS('Commercial Evidence'!$A$3:$A$502,$A239,'Commercial Evidence'!$B$3:$B$502,"Previous CBS Talks partner")&gt;0,1,0))))</f>
        <v/>
      </c>
      <c r="AC239" s="32" t="str">
        <f aca="false">IF($A239="","",IF(COUNT(G239,J239,M239,P239,AB239)&lt;5,"",G239+J239+M239+P239+AB239))</f>
        <v/>
      </c>
      <c r="AD239" s="32" t="str">
        <f aca="false">IF($A239="","",IF(COUNTIFS(Contacts!$A$3:$A$502,$A239,Contacts!$E$3:$E$502,"Champion",Contacts!$K$3:$K$502,"&lt;&gt;Yes",Contacts!$L$3:$L$502,"&lt;&gt;Yes")+COUNTIFS(Opportunities!$A$3:$A$502,$A239,Opportunities!$C$3:$C$502,"Won",Opportunities!$Q$3:$Q$502,"Satisfied")&gt;0,4,IF(COUNTIFS(Interactions!$B$3:$B$502,$A239,Interactions!$I$3:$I$502,"Yes",Interactions!$A$3:$A$502,"&gt;="&amp;(S_Today-S_WarmDays))&gt;0,3,IF(T239&lt;&gt;"",2,IF(COUNTIFS(Contacts!$A$3:$A$502,$A239,Contacts!$M$3:$M$502,"Yes",Contacts!$K$3:$K$502,"&lt;&gt;Yes",Contacts!$L$3:$L$502,"&lt;&gt;Yes")&gt;0,1,0)))))</f>
        <v/>
      </c>
      <c r="AE239" s="32" t="str">
        <f aca="false">IF($A239="","",IF(Z239="Yes","Do not contact",IF(AC239="","Research",IF(AND(AC239&gt;=S_FitHigh,AD239&gt;=S_AccessHigh),"Priority",IF(AC239&gt;=S_FitHigh,"Build a Path",IF(AD239&gt;=S_AccessHigh,"Quick Win","Low Priority"))))))</f>
        <v/>
      </c>
      <c r="AF239" s="33" t="str">
        <f aca="false">IF($A239="","",IF(_xlfn.MAXIFS(Interactions!$A$3:$A$502,Interactions!$B$3:$B$502,$A239)=0,"",_xlfn.MAXIFS(Interactions!$A$3:$A$502,Interactions!$B$3:$B$502,$A239)))</f>
        <v/>
      </c>
      <c r="AG239" s="32" t="str">
        <f aca="false">IF($A239="","",COUNTIFS(Opportunities!$A$3:$A$502,$A239,Opportunities!$X$3:$X$502,"Yes"))</f>
        <v/>
      </c>
      <c r="AH239" s="32" t="str">
        <f aca="false">IF($A239="","",_xlfn.TEXTJOIN(", ",TRUE(),IF(COUNTIF($A$3:$A$502,$A239)&gt;1,"Duplicate name",""),IF(OR(AND(G239=2,I239=""),AND(J239=2,L239=""),AND(M239=2,O239=""),AND(P239=2,R239="")),"Source missing for a 2",""),IF(F239="","No owner",IF(COUNTIFS(R_TeamName,F239,R_TeamActive,"No")&gt;0,"Needs new owner","")),IF(AND(V239="Yes",X239&lt;&gt;"",X239&lt;S_SemStart),"Path overdue",""),IF(AND(S239&lt;&gt;"",S239&lt;S_Today-365),"Stale research",""),IF(AND(AE239="Research",COUNTIF('Commercial Evidence'!$A$3:$A$502,$A239)=0),"Add commercial evidence","")))</f>
        <v/>
      </c>
      <c r="AI239" s="34" t="str">
        <f aca="false">IF(OR($A239="",Z239="Yes"),"",IF(AND(AE239="Priority",AG239=0,COUNTIFS(Opportunities!$A$3:$A$502,$A239,Opportunities!$Y$3:$Y$502,"Renewal due")=0),600000+(10-AC239)*1000+(4-AD239)*100+ROW()/100000,IF(V239="Yes",700000+IF(X239="",0,X239-40000)/10+ROW()/100000,IF(AND(AE239="Quick Win",U239&lt;&gt;"",AG239=0),800000+(10-AC239)*1000+ROW()/100000,IF(AND(AE239="Build a Path",COUNTIF($V$3:$V$502,"Yes")&lt;S_PathCap),900000+(10-AC239)*1000+(4-AD239)*100+ROW()/100000,"")))))</f>
        <v/>
      </c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8"/>
      <c r="T240" s="27"/>
      <c r="U240" s="27"/>
      <c r="V240" s="27"/>
      <c r="W240" s="27"/>
      <c r="X240" s="28"/>
      <c r="Y240" s="27"/>
      <c r="Z240" s="27"/>
      <c r="AA240" s="27"/>
      <c r="AB240" s="32" t="str">
        <f aca="false">IF($A240="","",IF(COUNTIF('Commercial Evidence'!$A$3:$A$502,$A240)=0,"",IF(COUNTIFS('Commercial Evidence'!$A$3:$A$502,$A240,'Commercial Evidence'!$B$3:$B$502,"Previous CBS Talks spend")+COUNTIFS('Commercial Evidence'!$A$3:$A$502,$A240,'Commercial Evidence'!$B$3:$B$502,"Sponsors student organisations")&gt;0,2,IF(COUNTIFS('Commercial Evidence'!$A$3:$A$502,$A240,'Commercial Evidence'!$B$3:$B$502,"Sponsors university activities")+COUNTIFS('Commercial Evidence'!$A$3:$A$502,$A240,'Commercial Evidence'!$B$3:$B$502,"Sponsors similar events")+COUNTIFS('Commercial Evidence'!$A$3:$A$502,$A240,'Commercial Evidence'!$B$3:$B$502,"Previous CBS Talks partner")&gt;0,1,0))))</f>
        <v/>
      </c>
      <c r="AC240" s="32" t="str">
        <f aca="false">IF($A240="","",IF(COUNT(G240,J240,M240,P240,AB240)&lt;5,"",G240+J240+M240+P240+AB240))</f>
        <v/>
      </c>
      <c r="AD240" s="32" t="str">
        <f aca="false">IF($A240="","",IF(COUNTIFS(Contacts!$A$3:$A$502,$A240,Contacts!$E$3:$E$502,"Champion",Contacts!$K$3:$K$502,"&lt;&gt;Yes",Contacts!$L$3:$L$502,"&lt;&gt;Yes")+COUNTIFS(Opportunities!$A$3:$A$502,$A240,Opportunities!$C$3:$C$502,"Won",Opportunities!$Q$3:$Q$502,"Satisfied")&gt;0,4,IF(COUNTIFS(Interactions!$B$3:$B$502,$A240,Interactions!$I$3:$I$502,"Yes",Interactions!$A$3:$A$502,"&gt;="&amp;(S_Today-S_WarmDays))&gt;0,3,IF(T240&lt;&gt;"",2,IF(COUNTIFS(Contacts!$A$3:$A$502,$A240,Contacts!$M$3:$M$502,"Yes",Contacts!$K$3:$K$502,"&lt;&gt;Yes",Contacts!$L$3:$L$502,"&lt;&gt;Yes")&gt;0,1,0)))))</f>
        <v/>
      </c>
      <c r="AE240" s="32" t="str">
        <f aca="false">IF($A240="","",IF(Z240="Yes","Do not contact",IF(AC240="","Research",IF(AND(AC240&gt;=S_FitHigh,AD240&gt;=S_AccessHigh),"Priority",IF(AC240&gt;=S_FitHigh,"Build a Path",IF(AD240&gt;=S_AccessHigh,"Quick Win","Low Priority"))))))</f>
        <v/>
      </c>
      <c r="AF240" s="33" t="str">
        <f aca="false">IF($A240="","",IF(_xlfn.MAXIFS(Interactions!$A$3:$A$502,Interactions!$B$3:$B$502,$A240)=0,"",_xlfn.MAXIFS(Interactions!$A$3:$A$502,Interactions!$B$3:$B$502,$A240)))</f>
        <v/>
      </c>
      <c r="AG240" s="32" t="str">
        <f aca="false">IF($A240="","",COUNTIFS(Opportunities!$A$3:$A$502,$A240,Opportunities!$X$3:$X$502,"Yes"))</f>
        <v/>
      </c>
      <c r="AH240" s="32" t="str">
        <f aca="false">IF($A240="","",_xlfn.TEXTJOIN(", ",TRUE(),IF(COUNTIF($A$3:$A$502,$A240)&gt;1,"Duplicate name",""),IF(OR(AND(G240=2,I240=""),AND(J240=2,L240=""),AND(M240=2,O240=""),AND(P240=2,R240="")),"Source missing for a 2",""),IF(F240="","No owner",IF(COUNTIFS(R_TeamName,F240,R_TeamActive,"No")&gt;0,"Needs new owner","")),IF(AND(V240="Yes",X240&lt;&gt;"",X240&lt;S_SemStart),"Path overdue",""),IF(AND(S240&lt;&gt;"",S240&lt;S_Today-365),"Stale research",""),IF(AND(AE240="Research",COUNTIF('Commercial Evidence'!$A$3:$A$502,$A240)=0),"Add commercial evidence","")))</f>
        <v/>
      </c>
      <c r="AI240" s="34" t="str">
        <f aca="false">IF(OR($A240="",Z240="Yes"),"",IF(AND(AE240="Priority",AG240=0,COUNTIFS(Opportunities!$A$3:$A$502,$A240,Opportunities!$Y$3:$Y$502,"Renewal due")=0),600000+(10-AC240)*1000+(4-AD240)*100+ROW()/100000,IF(V240="Yes",700000+IF(X240="",0,X240-40000)/10+ROW()/100000,IF(AND(AE240="Quick Win",U240&lt;&gt;"",AG240=0),800000+(10-AC240)*1000+ROW()/100000,IF(AND(AE240="Build a Path",COUNTIF($V$3:$V$502,"Yes")&lt;S_PathCap),900000+(10-AC240)*1000+(4-AD240)*100+ROW()/100000,"")))))</f>
        <v/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8"/>
      <c r="T241" s="27"/>
      <c r="U241" s="27"/>
      <c r="V241" s="27"/>
      <c r="W241" s="27"/>
      <c r="X241" s="28"/>
      <c r="Y241" s="27"/>
      <c r="Z241" s="27"/>
      <c r="AA241" s="27"/>
      <c r="AB241" s="32" t="str">
        <f aca="false">IF($A241="","",IF(COUNTIF('Commercial Evidence'!$A$3:$A$502,$A241)=0,"",IF(COUNTIFS('Commercial Evidence'!$A$3:$A$502,$A241,'Commercial Evidence'!$B$3:$B$502,"Previous CBS Talks spend")+COUNTIFS('Commercial Evidence'!$A$3:$A$502,$A241,'Commercial Evidence'!$B$3:$B$502,"Sponsors student organisations")&gt;0,2,IF(COUNTIFS('Commercial Evidence'!$A$3:$A$502,$A241,'Commercial Evidence'!$B$3:$B$502,"Sponsors university activities")+COUNTIFS('Commercial Evidence'!$A$3:$A$502,$A241,'Commercial Evidence'!$B$3:$B$502,"Sponsors similar events")+COUNTIFS('Commercial Evidence'!$A$3:$A$502,$A241,'Commercial Evidence'!$B$3:$B$502,"Previous CBS Talks partner")&gt;0,1,0))))</f>
        <v/>
      </c>
      <c r="AC241" s="32" t="str">
        <f aca="false">IF($A241="","",IF(COUNT(G241,J241,M241,P241,AB241)&lt;5,"",G241+J241+M241+P241+AB241))</f>
        <v/>
      </c>
      <c r="AD241" s="32" t="str">
        <f aca="false">IF($A241="","",IF(COUNTIFS(Contacts!$A$3:$A$502,$A241,Contacts!$E$3:$E$502,"Champion",Contacts!$K$3:$K$502,"&lt;&gt;Yes",Contacts!$L$3:$L$502,"&lt;&gt;Yes")+COUNTIFS(Opportunities!$A$3:$A$502,$A241,Opportunities!$C$3:$C$502,"Won",Opportunities!$Q$3:$Q$502,"Satisfied")&gt;0,4,IF(COUNTIFS(Interactions!$B$3:$B$502,$A241,Interactions!$I$3:$I$502,"Yes",Interactions!$A$3:$A$502,"&gt;="&amp;(S_Today-S_WarmDays))&gt;0,3,IF(T241&lt;&gt;"",2,IF(COUNTIFS(Contacts!$A$3:$A$502,$A241,Contacts!$M$3:$M$502,"Yes",Contacts!$K$3:$K$502,"&lt;&gt;Yes",Contacts!$L$3:$L$502,"&lt;&gt;Yes")&gt;0,1,0)))))</f>
        <v/>
      </c>
      <c r="AE241" s="32" t="str">
        <f aca="false">IF($A241="","",IF(Z241="Yes","Do not contact",IF(AC241="","Research",IF(AND(AC241&gt;=S_FitHigh,AD241&gt;=S_AccessHigh),"Priority",IF(AC241&gt;=S_FitHigh,"Build a Path",IF(AD241&gt;=S_AccessHigh,"Quick Win","Low Priority"))))))</f>
        <v/>
      </c>
      <c r="AF241" s="33" t="str">
        <f aca="false">IF($A241="","",IF(_xlfn.MAXIFS(Interactions!$A$3:$A$502,Interactions!$B$3:$B$502,$A241)=0,"",_xlfn.MAXIFS(Interactions!$A$3:$A$502,Interactions!$B$3:$B$502,$A241)))</f>
        <v/>
      </c>
      <c r="AG241" s="32" t="str">
        <f aca="false">IF($A241="","",COUNTIFS(Opportunities!$A$3:$A$502,$A241,Opportunities!$X$3:$X$502,"Yes"))</f>
        <v/>
      </c>
      <c r="AH241" s="32" t="str">
        <f aca="false">IF($A241="","",_xlfn.TEXTJOIN(", ",TRUE(),IF(COUNTIF($A$3:$A$502,$A241)&gt;1,"Duplicate name",""),IF(OR(AND(G241=2,I241=""),AND(J241=2,L241=""),AND(M241=2,O241=""),AND(P241=2,R241="")),"Source missing for a 2",""),IF(F241="","No owner",IF(COUNTIFS(R_TeamName,F241,R_TeamActive,"No")&gt;0,"Needs new owner","")),IF(AND(V241="Yes",X241&lt;&gt;"",X241&lt;S_SemStart),"Path overdue",""),IF(AND(S241&lt;&gt;"",S241&lt;S_Today-365),"Stale research",""),IF(AND(AE241="Research",COUNTIF('Commercial Evidence'!$A$3:$A$502,$A241)=0),"Add commercial evidence","")))</f>
        <v/>
      </c>
      <c r="AI241" s="34" t="str">
        <f aca="false">IF(OR($A241="",Z241="Yes"),"",IF(AND(AE241="Priority",AG241=0,COUNTIFS(Opportunities!$A$3:$A$502,$A241,Opportunities!$Y$3:$Y$502,"Renewal due")=0),600000+(10-AC241)*1000+(4-AD241)*100+ROW()/100000,IF(V241="Yes",700000+IF(X241="",0,X241-40000)/10+ROW()/100000,IF(AND(AE241="Quick Win",U241&lt;&gt;"",AG241=0),800000+(10-AC241)*1000+ROW()/100000,IF(AND(AE241="Build a Path",COUNTIF($V$3:$V$502,"Yes")&lt;S_PathCap),900000+(10-AC241)*1000+(4-AD241)*100+ROW()/100000,"")))))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8"/>
      <c r="T242" s="27"/>
      <c r="U242" s="27"/>
      <c r="V242" s="27"/>
      <c r="W242" s="27"/>
      <c r="X242" s="28"/>
      <c r="Y242" s="27"/>
      <c r="Z242" s="27"/>
      <c r="AA242" s="27"/>
      <c r="AB242" s="32" t="str">
        <f aca="false">IF($A242="","",IF(COUNTIF('Commercial Evidence'!$A$3:$A$502,$A242)=0,"",IF(COUNTIFS('Commercial Evidence'!$A$3:$A$502,$A242,'Commercial Evidence'!$B$3:$B$502,"Previous CBS Talks spend")+COUNTIFS('Commercial Evidence'!$A$3:$A$502,$A242,'Commercial Evidence'!$B$3:$B$502,"Sponsors student organisations")&gt;0,2,IF(COUNTIFS('Commercial Evidence'!$A$3:$A$502,$A242,'Commercial Evidence'!$B$3:$B$502,"Sponsors university activities")+COUNTIFS('Commercial Evidence'!$A$3:$A$502,$A242,'Commercial Evidence'!$B$3:$B$502,"Sponsors similar events")+COUNTIFS('Commercial Evidence'!$A$3:$A$502,$A242,'Commercial Evidence'!$B$3:$B$502,"Previous CBS Talks partner")&gt;0,1,0))))</f>
        <v/>
      </c>
      <c r="AC242" s="32" t="str">
        <f aca="false">IF($A242="","",IF(COUNT(G242,J242,M242,P242,AB242)&lt;5,"",G242+J242+M242+P242+AB242))</f>
        <v/>
      </c>
      <c r="AD242" s="32" t="str">
        <f aca="false">IF($A242="","",IF(COUNTIFS(Contacts!$A$3:$A$502,$A242,Contacts!$E$3:$E$502,"Champion",Contacts!$K$3:$K$502,"&lt;&gt;Yes",Contacts!$L$3:$L$502,"&lt;&gt;Yes")+COUNTIFS(Opportunities!$A$3:$A$502,$A242,Opportunities!$C$3:$C$502,"Won",Opportunities!$Q$3:$Q$502,"Satisfied")&gt;0,4,IF(COUNTIFS(Interactions!$B$3:$B$502,$A242,Interactions!$I$3:$I$502,"Yes",Interactions!$A$3:$A$502,"&gt;="&amp;(S_Today-S_WarmDays))&gt;0,3,IF(T242&lt;&gt;"",2,IF(COUNTIFS(Contacts!$A$3:$A$502,$A242,Contacts!$M$3:$M$502,"Yes",Contacts!$K$3:$K$502,"&lt;&gt;Yes",Contacts!$L$3:$L$502,"&lt;&gt;Yes")&gt;0,1,0)))))</f>
        <v/>
      </c>
      <c r="AE242" s="32" t="str">
        <f aca="false">IF($A242="","",IF(Z242="Yes","Do not contact",IF(AC242="","Research",IF(AND(AC242&gt;=S_FitHigh,AD242&gt;=S_AccessHigh),"Priority",IF(AC242&gt;=S_FitHigh,"Build a Path",IF(AD242&gt;=S_AccessHigh,"Quick Win","Low Priority"))))))</f>
        <v/>
      </c>
      <c r="AF242" s="33" t="str">
        <f aca="false">IF($A242="","",IF(_xlfn.MAXIFS(Interactions!$A$3:$A$502,Interactions!$B$3:$B$502,$A242)=0,"",_xlfn.MAXIFS(Interactions!$A$3:$A$502,Interactions!$B$3:$B$502,$A242)))</f>
        <v/>
      </c>
      <c r="AG242" s="32" t="str">
        <f aca="false">IF($A242="","",COUNTIFS(Opportunities!$A$3:$A$502,$A242,Opportunities!$X$3:$X$502,"Yes"))</f>
        <v/>
      </c>
      <c r="AH242" s="32" t="str">
        <f aca="false">IF($A242="","",_xlfn.TEXTJOIN(", ",TRUE(),IF(COUNTIF($A$3:$A$502,$A242)&gt;1,"Duplicate name",""),IF(OR(AND(G242=2,I242=""),AND(J242=2,L242=""),AND(M242=2,O242=""),AND(P242=2,R242="")),"Source missing for a 2",""),IF(F242="","No owner",IF(COUNTIFS(R_TeamName,F242,R_TeamActive,"No")&gt;0,"Needs new owner","")),IF(AND(V242="Yes",X242&lt;&gt;"",X242&lt;S_SemStart),"Path overdue",""),IF(AND(S242&lt;&gt;"",S242&lt;S_Today-365),"Stale research",""),IF(AND(AE242="Research",COUNTIF('Commercial Evidence'!$A$3:$A$502,$A242)=0),"Add commercial evidence","")))</f>
        <v/>
      </c>
      <c r="AI242" s="34" t="str">
        <f aca="false">IF(OR($A242="",Z242="Yes"),"",IF(AND(AE242="Priority",AG242=0,COUNTIFS(Opportunities!$A$3:$A$502,$A242,Opportunities!$Y$3:$Y$502,"Renewal due")=0),600000+(10-AC242)*1000+(4-AD242)*100+ROW()/100000,IF(V242="Yes",700000+IF(X242="",0,X242-40000)/10+ROW()/100000,IF(AND(AE242="Quick Win",U242&lt;&gt;"",AG242=0),800000+(10-AC242)*1000+ROW()/100000,IF(AND(AE242="Build a Path",COUNTIF($V$3:$V$502,"Yes")&lt;S_PathCap),900000+(10-AC242)*1000+(4-AD242)*100+ROW()/100000,"")))))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8"/>
      <c r="T243" s="27"/>
      <c r="U243" s="27"/>
      <c r="V243" s="27"/>
      <c r="W243" s="27"/>
      <c r="X243" s="28"/>
      <c r="Y243" s="27"/>
      <c r="Z243" s="27"/>
      <c r="AA243" s="27"/>
      <c r="AB243" s="32" t="str">
        <f aca="false">IF($A243="","",IF(COUNTIF('Commercial Evidence'!$A$3:$A$502,$A243)=0,"",IF(COUNTIFS('Commercial Evidence'!$A$3:$A$502,$A243,'Commercial Evidence'!$B$3:$B$502,"Previous CBS Talks spend")+COUNTIFS('Commercial Evidence'!$A$3:$A$502,$A243,'Commercial Evidence'!$B$3:$B$502,"Sponsors student organisations")&gt;0,2,IF(COUNTIFS('Commercial Evidence'!$A$3:$A$502,$A243,'Commercial Evidence'!$B$3:$B$502,"Sponsors university activities")+COUNTIFS('Commercial Evidence'!$A$3:$A$502,$A243,'Commercial Evidence'!$B$3:$B$502,"Sponsors similar events")+COUNTIFS('Commercial Evidence'!$A$3:$A$502,$A243,'Commercial Evidence'!$B$3:$B$502,"Previous CBS Talks partner")&gt;0,1,0))))</f>
        <v/>
      </c>
      <c r="AC243" s="32" t="str">
        <f aca="false">IF($A243="","",IF(COUNT(G243,J243,M243,P243,AB243)&lt;5,"",G243+J243+M243+P243+AB243))</f>
        <v/>
      </c>
      <c r="AD243" s="32" t="str">
        <f aca="false">IF($A243="","",IF(COUNTIFS(Contacts!$A$3:$A$502,$A243,Contacts!$E$3:$E$502,"Champion",Contacts!$K$3:$K$502,"&lt;&gt;Yes",Contacts!$L$3:$L$502,"&lt;&gt;Yes")+COUNTIFS(Opportunities!$A$3:$A$502,$A243,Opportunities!$C$3:$C$502,"Won",Opportunities!$Q$3:$Q$502,"Satisfied")&gt;0,4,IF(COUNTIFS(Interactions!$B$3:$B$502,$A243,Interactions!$I$3:$I$502,"Yes",Interactions!$A$3:$A$502,"&gt;="&amp;(S_Today-S_WarmDays))&gt;0,3,IF(T243&lt;&gt;"",2,IF(COUNTIFS(Contacts!$A$3:$A$502,$A243,Contacts!$M$3:$M$502,"Yes",Contacts!$K$3:$K$502,"&lt;&gt;Yes",Contacts!$L$3:$L$502,"&lt;&gt;Yes")&gt;0,1,0)))))</f>
        <v/>
      </c>
      <c r="AE243" s="32" t="str">
        <f aca="false">IF($A243="","",IF(Z243="Yes","Do not contact",IF(AC243="","Research",IF(AND(AC243&gt;=S_FitHigh,AD243&gt;=S_AccessHigh),"Priority",IF(AC243&gt;=S_FitHigh,"Build a Path",IF(AD243&gt;=S_AccessHigh,"Quick Win","Low Priority"))))))</f>
        <v/>
      </c>
      <c r="AF243" s="33" t="str">
        <f aca="false">IF($A243="","",IF(_xlfn.MAXIFS(Interactions!$A$3:$A$502,Interactions!$B$3:$B$502,$A243)=0,"",_xlfn.MAXIFS(Interactions!$A$3:$A$502,Interactions!$B$3:$B$502,$A243)))</f>
        <v/>
      </c>
      <c r="AG243" s="32" t="str">
        <f aca="false">IF($A243="","",COUNTIFS(Opportunities!$A$3:$A$502,$A243,Opportunities!$X$3:$X$502,"Yes"))</f>
        <v/>
      </c>
      <c r="AH243" s="32" t="str">
        <f aca="false">IF($A243="","",_xlfn.TEXTJOIN(", ",TRUE(),IF(COUNTIF($A$3:$A$502,$A243)&gt;1,"Duplicate name",""),IF(OR(AND(G243=2,I243=""),AND(J243=2,L243=""),AND(M243=2,O243=""),AND(P243=2,R243="")),"Source missing for a 2",""),IF(F243="","No owner",IF(COUNTIFS(R_TeamName,F243,R_TeamActive,"No")&gt;0,"Needs new owner","")),IF(AND(V243="Yes",X243&lt;&gt;"",X243&lt;S_SemStart),"Path overdue",""),IF(AND(S243&lt;&gt;"",S243&lt;S_Today-365),"Stale research",""),IF(AND(AE243="Research",COUNTIF('Commercial Evidence'!$A$3:$A$502,$A243)=0),"Add commercial evidence","")))</f>
        <v/>
      </c>
      <c r="AI243" s="34" t="str">
        <f aca="false">IF(OR($A243="",Z243="Yes"),"",IF(AND(AE243="Priority",AG243=0,COUNTIFS(Opportunities!$A$3:$A$502,$A243,Opportunities!$Y$3:$Y$502,"Renewal due")=0),600000+(10-AC243)*1000+(4-AD243)*100+ROW()/100000,IF(V243="Yes",700000+IF(X243="",0,X243-40000)/10+ROW()/100000,IF(AND(AE243="Quick Win",U243&lt;&gt;"",AG243=0),800000+(10-AC243)*1000+ROW()/100000,IF(AND(AE243="Build a Path",COUNTIF($V$3:$V$502,"Yes")&lt;S_PathCap),900000+(10-AC243)*1000+(4-AD243)*100+ROW()/100000,"")))))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8"/>
      <c r="T244" s="27"/>
      <c r="U244" s="27"/>
      <c r="V244" s="27"/>
      <c r="W244" s="27"/>
      <c r="X244" s="28"/>
      <c r="Y244" s="27"/>
      <c r="Z244" s="27"/>
      <c r="AA244" s="27"/>
      <c r="AB244" s="32" t="str">
        <f aca="false">IF($A244="","",IF(COUNTIF('Commercial Evidence'!$A$3:$A$502,$A244)=0,"",IF(COUNTIFS('Commercial Evidence'!$A$3:$A$502,$A244,'Commercial Evidence'!$B$3:$B$502,"Previous CBS Talks spend")+COUNTIFS('Commercial Evidence'!$A$3:$A$502,$A244,'Commercial Evidence'!$B$3:$B$502,"Sponsors student organisations")&gt;0,2,IF(COUNTIFS('Commercial Evidence'!$A$3:$A$502,$A244,'Commercial Evidence'!$B$3:$B$502,"Sponsors university activities")+COUNTIFS('Commercial Evidence'!$A$3:$A$502,$A244,'Commercial Evidence'!$B$3:$B$502,"Sponsors similar events")+COUNTIFS('Commercial Evidence'!$A$3:$A$502,$A244,'Commercial Evidence'!$B$3:$B$502,"Previous CBS Talks partner")&gt;0,1,0))))</f>
        <v/>
      </c>
      <c r="AC244" s="32" t="str">
        <f aca="false">IF($A244="","",IF(COUNT(G244,J244,M244,P244,AB244)&lt;5,"",G244+J244+M244+P244+AB244))</f>
        <v/>
      </c>
      <c r="AD244" s="32" t="str">
        <f aca="false">IF($A244="","",IF(COUNTIFS(Contacts!$A$3:$A$502,$A244,Contacts!$E$3:$E$502,"Champion",Contacts!$K$3:$K$502,"&lt;&gt;Yes",Contacts!$L$3:$L$502,"&lt;&gt;Yes")+COUNTIFS(Opportunities!$A$3:$A$502,$A244,Opportunities!$C$3:$C$502,"Won",Opportunities!$Q$3:$Q$502,"Satisfied")&gt;0,4,IF(COUNTIFS(Interactions!$B$3:$B$502,$A244,Interactions!$I$3:$I$502,"Yes",Interactions!$A$3:$A$502,"&gt;="&amp;(S_Today-S_WarmDays))&gt;0,3,IF(T244&lt;&gt;"",2,IF(COUNTIFS(Contacts!$A$3:$A$502,$A244,Contacts!$M$3:$M$502,"Yes",Contacts!$K$3:$K$502,"&lt;&gt;Yes",Contacts!$L$3:$L$502,"&lt;&gt;Yes")&gt;0,1,0)))))</f>
        <v/>
      </c>
      <c r="AE244" s="32" t="str">
        <f aca="false">IF($A244="","",IF(Z244="Yes","Do not contact",IF(AC244="","Research",IF(AND(AC244&gt;=S_FitHigh,AD244&gt;=S_AccessHigh),"Priority",IF(AC244&gt;=S_FitHigh,"Build a Path",IF(AD244&gt;=S_AccessHigh,"Quick Win","Low Priority"))))))</f>
        <v/>
      </c>
      <c r="AF244" s="33" t="str">
        <f aca="false">IF($A244="","",IF(_xlfn.MAXIFS(Interactions!$A$3:$A$502,Interactions!$B$3:$B$502,$A244)=0,"",_xlfn.MAXIFS(Interactions!$A$3:$A$502,Interactions!$B$3:$B$502,$A244)))</f>
        <v/>
      </c>
      <c r="AG244" s="32" t="str">
        <f aca="false">IF($A244="","",COUNTIFS(Opportunities!$A$3:$A$502,$A244,Opportunities!$X$3:$X$502,"Yes"))</f>
        <v/>
      </c>
      <c r="AH244" s="32" t="str">
        <f aca="false">IF($A244="","",_xlfn.TEXTJOIN(", ",TRUE(),IF(COUNTIF($A$3:$A$502,$A244)&gt;1,"Duplicate name",""),IF(OR(AND(G244=2,I244=""),AND(J244=2,L244=""),AND(M244=2,O244=""),AND(P244=2,R244="")),"Source missing for a 2",""),IF(F244="","No owner",IF(COUNTIFS(R_TeamName,F244,R_TeamActive,"No")&gt;0,"Needs new owner","")),IF(AND(V244="Yes",X244&lt;&gt;"",X244&lt;S_SemStart),"Path overdue",""),IF(AND(S244&lt;&gt;"",S244&lt;S_Today-365),"Stale research",""),IF(AND(AE244="Research",COUNTIF('Commercial Evidence'!$A$3:$A$502,$A244)=0),"Add commercial evidence","")))</f>
        <v/>
      </c>
      <c r="AI244" s="34" t="str">
        <f aca="false">IF(OR($A244="",Z244="Yes"),"",IF(AND(AE244="Priority",AG244=0,COUNTIFS(Opportunities!$A$3:$A$502,$A244,Opportunities!$Y$3:$Y$502,"Renewal due")=0),600000+(10-AC244)*1000+(4-AD244)*100+ROW()/100000,IF(V244="Yes",700000+IF(X244="",0,X244-40000)/10+ROW()/100000,IF(AND(AE244="Quick Win",U244&lt;&gt;"",AG244=0),800000+(10-AC244)*1000+ROW()/100000,IF(AND(AE244="Build a Path",COUNTIF($V$3:$V$502,"Yes")&lt;S_PathCap),900000+(10-AC244)*1000+(4-AD244)*100+ROW()/100000,"")))))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8"/>
      <c r="T245" s="27"/>
      <c r="U245" s="27"/>
      <c r="V245" s="27"/>
      <c r="W245" s="27"/>
      <c r="X245" s="28"/>
      <c r="Y245" s="27"/>
      <c r="Z245" s="27"/>
      <c r="AA245" s="27"/>
      <c r="AB245" s="32" t="str">
        <f aca="false">IF($A245="","",IF(COUNTIF('Commercial Evidence'!$A$3:$A$502,$A245)=0,"",IF(COUNTIFS('Commercial Evidence'!$A$3:$A$502,$A245,'Commercial Evidence'!$B$3:$B$502,"Previous CBS Talks spend")+COUNTIFS('Commercial Evidence'!$A$3:$A$502,$A245,'Commercial Evidence'!$B$3:$B$502,"Sponsors student organisations")&gt;0,2,IF(COUNTIFS('Commercial Evidence'!$A$3:$A$502,$A245,'Commercial Evidence'!$B$3:$B$502,"Sponsors university activities")+COUNTIFS('Commercial Evidence'!$A$3:$A$502,$A245,'Commercial Evidence'!$B$3:$B$502,"Sponsors similar events")+COUNTIFS('Commercial Evidence'!$A$3:$A$502,$A245,'Commercial Evidence'!$B$3:$B$502,"Previous CBS Talks partner")&gt;0,1,0))))</f>
        <v/>
      </c>
      <c r="AC245" s="32" t="str">
        <f aca="false">IF($A245="","",IF(COUNT(G245,J245,M245,P245,AB245)&lt;5,"",G245+J245+M245+P245+AB245))</f>
        <v/>
      </c>
      <c r="AD245" s="32" t="str">
        <f aca="false">IF($A245="","",IF(COUNTIFS(Contacts!$A$3:$A$502,$A245,Contacts!$E$3:$E$502,"Champion",Contacts!$K$3:$K$502,"&lt;&gt;Yes",Contacts!$L$3:$L$502,"&lt;&gt;Yes")+COUNTIFS(Opportunities!$A$3:$A$502,$A245,Opportunities!$C$3:$C$502,"Won",Opportunities!$Q$3:$Q$502,"Satisfied")&gt;0,4,IF(COUNTIFS(Interactions!$B$3:$B$502,$A245,Interactions!$I$3:$I$502,"Yes",Interactions!$A$3:$A$502,"&gt;="&amp;(S_Today-S_WarmDays))&gt;0,3,IF(T245&lt;&gt;"",2,IF(COUNTIFS(Contacts!$A$3:$A$502,$A245,Contacts!$M$3:$M$502,"Yes",Contacts!$K$3:$K$502,"&lt;&gt;Yes",Contacts!$L$3:$L$502,"&lt;&gt;Yes")&gt;0,1,0)))))</f>
        <v/>
      </c>
      <c r="AE245" s="32" t="str">
        <f aca="false">IF($A245="","",IF(Z245="Yes","Do not contact",IF(AC245="","Research",IF(AND(AC245&gt;=S_FitHigh,AD245&gt;=S_AccessHigh),"Priority",IF(AC245&gt;=S_FitHigh,"Build a Path",IF(AD245&gt;=S_AccessHigh,"Quick Win","Low Priority"))))))</f>
        <v/>
      </c>
      <c r="AF245" s="33" t="str">
        <f aca="false">IF($A245="","",IF(_xlfn.MAXIFS(Interactions!$A$3:$A$502,Interactions!$B$3:$B$502,$A245)=0,"",_xlfn.MAXIFS(Interactions!$A$3:$A$502,Interactions!$B$3:$B$502,$A245)))</f>
        <v/>
      </c>
      <c r="AG245" s="32" t="str">
        <f aca="false">IF($A245="","",COUNTIFS(Opportunities!$A$3:$A$502,$A245,Opportunities!$X$3:$X$502,"Yes"))</f>
        <v/>
      </c>
      <c r="AH245" s="32" t="str">
        <f aca="false">IF($A245="","",_xlfn.TEXTJOIN(", ",TRUE(),IF(COUNTIF($A$3:$A$502,$A245)&gt;1,"Duplicate name",""),IF(OR(AND(G245=2,I245=""),AND(J245=2,L245=""),AND(M245=2,O245=""),AND(P245=2,R245="")),"Source missing for a 2",""),IF(F245="","No owner",IF(COUNTIFS(R_TeamName,F245,R_TeamActive,"No")&gt;0,"Needs new owner","")),IF(AND(V245="Yes",X245&lt;&gt;"",X245&lt;S_SemStart),"Path overdue",""),IF(AND(S245&lt;&gt;"",S245&lt;S_Today-365),"Stale research",""),IF(AND(AE245="Research",COUNTIF('Commercial Evidence'!$A$3:$A$502,$A245)=0),"Add commercial evidence","")))</f>
        <v/>
      </c>
      <c r="AI245" s="34" t="str">
        <f aca="false">IF(OR($A245="",Z245="Yes"),"",IF(AND(AE245="Priority",AG245=0,COUNTIFS(Opportunities!$A$3:$A$502,$A245,Opportunities!$Y$3:$Y$502,"Renewal due")=0),600000+(10-AC245)*1000+(4-AD245)*100+ROW()/100000,IF(V245="Yes",700000+IF(X245="",0,X245-40000)/10+ROW()/100000,IF(AND(AE245="Quick Win",U245&lt;&gt;"",AG245=0),800000+(10-AC245)*1000+ROW()/100000,IF(AND(AE245="Build a Path",COUNTIF($V$3:$V$502,"Yes")&lt;S_PathCap),900000+(10-AC245)*1000+(4-AD245)*100+ROW()/100000,"")))))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8"/>
      <c r="T246" s="27"/>
      <c r="U246" s="27"/>
      <c r="V246" s="27"/>
      <c r="W246" s="27"/>
      <c r="X246" s="28"/>
      <c r="Y246" s="27"/>
      <c r="Z246" s="27"/>
      <c r="AA246" s="27"/>
      <c r="AB246" s="32" t="str">
        <f aca="false">IF($A246="","",IF(COUNTIF('Commercial Evidence'!$A$3:$A$502,$A246)=0,"",IF(COUNTIFS('Commercial Evidence'!$A$3:$A$502,$A246,'Commercial Evidence'!$B$3:$B$502,"Previous CBS Talks spend")+COUNTIFS('Commercial Evidence'!$A$3:$A$502,$A246,'Commercial Evidence'!$B$3:$B$502,"Sponsors student organisations")&gt;0,2,IF(COUNTIFS('Commercial Evidence'!$A$3:$A$502,$A246,'Commercial Evidence'!$B$3:$B$502,"Sponsors university activities")+COUNTIFS('Commercial Evidence'!$A$3:$A$502,$A246,'Commercial Evidence'!$B$3:$B$502,"Sponsors similar events")+COUNTIFS('Commercial Evidence'!$A$3:$A$502,$A246,'Commercial Evidence'!$B$3:$B$502,"Previous CBS Talks partner")&gt;0,1,0))))</f>
        <v/>
      </c>
      <c r="AC246" s="32" t="str">
        <f aca="false">IF($A246="","",IF(COUNT(G246,J246,M246,P246,AB246)&lt;5,"",G246+J246+M246+P246+AB246))</f>
        <v/>
      </c>
      <c r="AD246" s="32" t="str">
        <f aca="false">IF($A246="","",IF(COUNTIFS(Contacts!$A$3:$A$502,$A246,Contacts!$E$3:$E$502,"Champion",Contacts!$K$3:$K$502,"&lt;&gt;Yes",Contacts!$L$3:$L$502,"&lt;&gt;Yes")+COUNTIFS(Opportunities!$A$3:$A$502,$A246,Opportunities!$C$3:$C$502,"Won",Opportunities!$Q$3:$Q$502,"Satisfied")&gt;0,4,IF(COUNTIFS(Interactions!$B$3:$B$502,$A246,Interactions!$I$3:$I$502,"Yes",Interactions!$A$3:$A$502,"&gt;="&amp;(S_Today-S_WarmDays))&gt;0,3,IF(T246&lt;&gt;"",2,IF(COUNTIFS(Contacts!$A$3:$A$502,$A246,Contacts!$M$3:$M$502,"Yes",Contacts!$K$3:$K$502,"&lt;&gt;Yes",Contacts!$L$3:$L$502,"&lt;&gt;Yes")&gt;0,1,0)))))</f>
        <v/>
      </c>
      <c r="AE246" s="32" t="str">
        <f aca="false">IF($A246="","",IF(Z246="Yes","Do not contact",IF(AC246="","Research",IF(AND(AC246&gt;=S_FitHigh,AD246&gt;=S_AccessHigh),"Priority",IF(AC246&gt;=S_FitHigh,"Build a Path",IF(AD246&gt;=S_AccessHigh,"Quick Win","Low Priority"))))))</f>
        <v/>
      </c>
      <c r="AF246" s="33" t="str">
        <f aca="false">IF($A246="","",IF(_xlfn.MAXIFS(Interactions!$A$3:$A$502,Interactions!$B$3:$B$502,$A246)=0,"",_xlfn.MAXIFS(Interactions!$A$3:$A$502,Interactions!$B$3:$B$502,$A246)))</f>
        <v/>
      </c>
      <c r="AG246" s="32" t="str">
        <f aca="false">IF($A246="","",COUNTIFS(Opportunities!$A$3:$A$502,$A246,Opportunities!$X$3:$X$502,"Yes"))</f>
        <v/>
      </c>
      <c r="AH246" s="32" t="str">
        <f aca="false">IF($A246="","",_xlfn.TEXTJOIN(", ",TRUE(),IF(COUNTIF($A$3:$A$502,$A246)&gt;1,"Duplicate name",""),IF(OR(AND(G246=2,I246=""),AND(J246=2,L246=""),AND(M246=2,O246=""),AND(P246=2,R246="")),"Source missing for a 2",""),IF(F246="","No owner",IF(COUNTIFS(R_TeamName,F246,R_TeamActive,"No")&gt;0,"Needs new owner","")),IF(AND(V246="Yes",X246&lt;&gt;"",X246&lt;S_SemStart),"Path overdue",""),IF(AND(S246&lt;&gt;"",S246&lt;S_Today-365),"Stale research",""),IF(AND(AE246="Research",COUNTIF('Commercial Evidence'!$A$3:$A$502,$A246)=0),"Add commercial evidence","")))</f>
        <v/>
      </c>
      <c r="AI246" s="34" t="str">
        <f aca="false">IF(OR($A246="",Z246="Yes"),"",IF(AND(AE246="Priority",AG246=0,COUNTIFS(Opportunities!$A$3:$A$502,$A246,Opportunities!$Y$3:$Y$502,"Renewal due")=0),600000+(10-AC246)*1000+(4-AD246)*100+ROW()/100000,IF(V246="Yes",700000+IF(X246="",0,X246-40000)/10+ROW()/100000,IF(AND(AE246="Quick Win",U246&lt;&gt;"",AG246=0),800000+(10-AC246)*1000+ROW()/100000,IF(AND(AE246="Build a Path",COUNTIF($V$3:$V$502,"Yes")&lt;S_PathCap),900000+(10-AC246)*1000+(4-AD246)*100+ROW()/100000,"")))))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8"/>
      <c r="T247" s="27"/>
      <c r="U247" s="27"/>
      <c r="V247" s="27"/>
      <c r="W247" s="27"/>
      <c r="X247" s="28"/>
      <c r="Y247" s="27"/>
      <c r="Z247" s="27"/>
      <c r="AA247" s="27"/>
      <c r="AB247" s="32" t="str">
        <f aca="false">IF($A247="","",IF(COUNTIF('Commercial Evidence'!$A$3:$A$502,$A247)=0,"",IF(COUNTIFS('Commercial Evidence'!$A$3:$A$502,$A247,'Commercial Evidence'!$B$3:$B$502,"Previous CBS Talks spend")+COUNTIFS('Commercial Evidence'!$A$3:$A$502,$A247,'Commercial Evidence'!$B$3:$B$502,"Sponsors student organisations")&gt;0,2,IF(COUNTIFS('Commercial Evidence'!$A$3:$A$502,$A247,'Commercial Evidence'!$B$3:$B$502,"Sponsors university activities")+COUNTIFS('Commercial Evidence'!$A$3:$A$502,$A247,'Commercial Evidence'!$B$3:$B$502,"Sponsors similar events")+COUNTIFS('Commercial Evidence'!$A$3:$A$502,$A247,'Commercial Evidence'!$B$3:$B$502,"Previous CBS Talks partner")&gt;0,1,0))))</f>
        <v/>
      </c>
      <c r="AC247" s="32" t="str">
        <f aca="false">IF($A247="","",IF(COUNT(G247,J247,M247,P247,AB247)&lt;5,"",G247+J247+M247+P247+AB247))</f>
        <v/>
      </c>
      <c r="AD247" s="32" t="str">
        <f aca="false">IF($A247="","",IF(COUNTIFS(Contacts!$A$3:$A$502,$A247,Contacts!$E$3:$E$502,"Champion",Contacts!$K$3:$K$502,"&lt;&gt;Yes",Contacts!$L$3:$L$502,"&lt;&gt;Yes")+COUNTIFS(Opportunities!$A$3:$A$502,$A247,Opportunities!$C$3:$C$502,"Won",Opportunities!$Q$3:$Q$502,"Satisfied")&gt;0,4,IF(COUNTIFS(Interactions!$B$3:$B$502,$A247,Interactions!$I$3:$I$502,"Yes",Interactions!$A$3:$A$502,"&gt;="&amp;(S_Today-S_WarmDays))&gt;0,3,IF(T247&lt;&gt;"",2,IF(COUNTIFS(Contacts!$A$3:$A$502,$A247,Contacts!$M$3:$M$502,"Yes",Contacts!$K$3:$K$502,"&lt;&gt;Yes",Contacts!$L$3:$L$502,"&lt;&gt;Yes")&gt;0,1,0)))))</f>
        <v/>
      </c>
      <c r="AE247" s="32" t="str">
        <f aca="false">IF($A247="","",IF(Z247="Yes","Do not contact",IF(AC247="","Research",IF(AND(AC247&gt;=S_FitHigh,AD247&gt;=S_AccessHigh),"Priority",IF(AC247&gt;=S_FitHigh,"Build a Path",IF(AD247&gt;=S_AccessHigh,"Quick Win","Low Priority"))))))</f>
        <v/>
      </c>
      <c r="AF247" s="33" t="str">
        <f aca="false">IF($A247="","",IF(_xlfn.MAXIFS(Interactions!$A$3:$A$502,Interactions!$B$3:$B$502,$A247)=0,"",_xlfn.MAXIFS(Interactions!$A$3:$A$502,Interactions!$B$3:$B$502,$A247)))</f>
        <v/>
      </c>
      <c r="AG247" s="32" t="str">
        <f aca="false">IF($A247="","",COUNTIFS(Opportunities!$A$3:$A$502,$A247,Opportunities!$X$3:$X$502,"Yes"))</f>
        <v/>
      </c>
      <c r="AH247" s="32" t="str">
        <f aca="false">IF($A247="","",_xlfn.TEXTJOIN(", ",TRUE(),IF(COUNTIF($A$3:$A$502,$A247)&gt;1,"Duplicate name",""),IF(OR(AND(G247=2,I247=""),AND(J247=2,L247=""),AND(M247=2,O247=""),AND(P247=2,R247="")),"Source missing for a 2",""),IF(F247="","No owner",IF(COUNTIFS(R_TeamName,F247,R_TeamActive,"No")&gt;0,"Needs new owner","")),IF(AND(V247="Yes",X247&lt;&gt;"",X247&lt;S_SemStart),"Path overdue",""),IF(AND(S247&lt;&gt;"",S247&lt;S_Today-365),"Stale research",""),IF(AND(AE247="Research",COUNTIF('Commercial Evidence'!$A$3:$A$502,$A247)=0),"Add commercial evidence","")))</f>
        <v/>
      </c>
      <c r="AI247" s="34" t="str">
        <f aca="false">IF(OR($A247="",Z247="Yes"),"",IF(AND(AE247="Priority",AG247=0,COUNTIFS(Opportunities!$A$3:$A$502,$A247,Opportunities!$Y$3:$Y$502,"Renewal due")=0),600000+(10-AC247)*1000+(4-AD247)*100+ROW()/100000,IF(V247="Yes",700000+IF(X247="",0,X247-40000)/10+ROW()/100000,IF(AND(AE247="Quick Win",U247&lt;&gt;"",AG247=0),800000+(10-AC247)*1000+ROW()/100000,IF(AND(AE247="Build a Path",COUNTIF($V$3:$V$502,"Yes")&lt;S_PathCap),900000+(10-AC247)*1000+(4-AD247)*100+ROW()/100000,"")))))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8"/>
      <c r="T248" s="27"/>
      <c r="U248" s="27"/>
      <c r="V248" s="27"/>
      <c r="W248" s="27"/>
      <c r="X248" s="28"/>
      <c r="Y248" s="27"/>
      <c r="Z248" s="27"/>
      <c r="AA248" s="27"/>
      <c r="AB248" s="32" t="str">
        <f aca="false">IF($A248="","",IF(COUNTIF('Commercial Evidence'!$A$3:$A$502,$A248)=0,"",IF(COUNTIFS('Commercial Evidence'!$A$3:$A$502,$A248,'Commercial Evidence'!$B$3:$B$502,"Previous CBS Talks spend")+COUNTIFS('Commercial Evidence'!$A$3:$A$502,$A248,'Commercial Evidence'!$B$3:$B$502,"Sponsors student organisations")&gt;0,2,IF(COUNTIFS('Commercial Evidence'!$A$3:$A$502,$A248,'Commercial Evidence'!$B$3:$B$502,"Sponsors university activities")+COUNTIFS('Commercial Evidence'!$A$3:$A$502,$A248,'Commercial Evidence'!$B$3:$B$502,"Sponsors similar events")+COUNTIFS('Commercial Evidence'!$A$3:$A$502,$A248,'Commercial Evidence'!$B$3:$B$502,"Previous CBS Talks partner")&gt;0,1,0))))</f>
        <v/>
      </c>
      <c r="AC248" s="32" t="str">
        <f aca="false">IF($A248="","",IF(COUNT(G248,J248,M248,P248,AB248)&lt;5,"",G248+J248+M248+P248+AB248))</f>
        <v/>
      </c>
      <c r="AD248" s="32" t="str">
        <f aca="false">IF($A248="","",IF(COUNTIFS(Contacts!$A$3:$A$502,$A248,Contacts!$E$3:$E$502,"Champion",Contacts!$K$3:$K$502,"&lt;&gt;Yes",Contacts!$L$3:$L$502,"&lt;&gt;Yes")+COUNTIFS(Opportunities!$A$3:$A$502,$A248,Opportunities!$C$3:$C$502,"Won",Opportunities!$Q$3:$Q$502,"Satisfied")&gt;0,4,IF(COUNTIFS(Interactions!$B$3:$B$502,$A248,Interactions!$I$3:$I$502,"Yes",Interactions!$A$3:$A$502,"&gt;="&amp;(S_Today-S_WarmDays))&gt;0,3,IF(T248&lt;&gt;"",2,IF(COUNTIFS(Contacts!$A$3:$A$502,$A248,Contacts!$M$3:$M$502,"Yes",Contacts!$K$3:$K$502,"&lt;&gt;Yes",Contacts!$L$3:$L$502,"&lt;&gt;Yes")&gt;0,1,0)))))</f>
        <v/>
      </c>
      <c r="AE248" s="32" t="str">
        <f aca="false">IF($A248="","",IF(Z248="Yes","Do not contact",IF(AC248="","Research",IF(AND(AC248&gt;=S_FitHigh,AD248&gt;=S_AccessHigh),"Priority",IF(AC248&gt;=S_FitHigh,"Build a Path",IF(AD248&gt;=S_AccessHigh,"Quick Win","Low Priority"))))))</f>
        <v/>
      </c>
      <c r="AF248" s="33" t="str">
        <f aca="false">IF($A248="","",IF(_xlfn.MAXIFS(Interactions!$A$3:$A$502,Interactions!$B$3:$B$502,$A248)=0,"",_xlfn.MAXIFS(Interactions!$A$3:$A$502,Interactions!$B$3:$B$502,$A248)))</f>
        <v/>
      </c>
      <c r="AG248" s="32" t="str">
        <f aca="false">IF($A248="","",COUNTIFS(Opportunities!$A$3:$A$502,$A248,Opportunities!$X$3:$X$502,"Yes"))</f>
        <v/>
      </c>
      <c r="AH248" s="32" t="str">
        <f aca="false">IF($A248="","",_xlfn.TEXTJOIN(", ",TRUE(),IF(COUNTIF($A$3:$A$502,$A248)&gt;1,"Duplicate name",""),IF(OR(AND(G248=2,I248=""),AND(J248=2,L248=""),AND(M248=2,O248=""),AND(P248=2,R248="")),"Source missing for a 2",""),IF(F248="","No owner",IF(COUNTIFS(R_TeamName,F248,R_TeamActive,"No")&gt;0,"Needs new owner","")),IF(AND(V248="Yes",X248&lt;&gt;"",X248&lt;S_SemStart),"Path overdue",""),IF(AND(S248&lt;&gt;"",S248&lt;S_Today-365),"Stale research",""),IF(AND(AE248="Research",COUNTIF('Commercial Evidence'!$A$3:$A$502,$A248)=0),"Add commercial evidence","")))</f>
        <v/>
      </c>
      <c r="AI248" s="34" t="str">
        <f aca="false">IF(OR($A248="",Z248="Yes"),"",IF(AND(AE248="Priority",AG248=0,COUNTIFS(Opportunities!$A$3:$A$502,$A248,Opportunities!$Y$3:$Y$502,"Renewal due")=0),600000+(10-AC248)*1000+(4-AD248)*100+ROW()/100000,IF(V248="Yes",700000+IF(X248="",0,X248-40000)/10+ROW()/100000,IF(AND(AE248="Quick Win",U248&lt;&gt;"",AG248=0),800000+(10-AC248)*1000+ROW()/100000,IF(AND(AE248="Build a Path",COUNTIF($V$3:$V$502,"Yes")&lt;S_PathCap),900000+(10-AC248)*1000+(4-AD248)*100+ROW()/100000,"")))))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8"/>
      <c r="T249" s="27"/>
      <c r="U249" s="27"/>
      <c r="V249" s="27"/>
      <c r="W249" s="27"/>
      <c r="X249" s="28"/>
      <c r="Y249" s="27"/>
      <c r="Z249" s="27"/>
      <c r="AA249" s="27"/>
      <c r="AB249" s="32" t="str">
        <f aca="false">IF($A249="","",IF(COUNTIF('Commercial Evidence'!$A$3:$A$502,$A249)=0,"",IF(COUNTIFS('Commercial Evidence'!$A$3:$A$502,$A249,'Commercial Evidence'!$B$3:$B$502,"Previous CBS Talks spend")+COUNTIFS('Commercial Evidence'!$A$3:$A$502,$A249,'Commercial Evidence'!$B$3:$B$502,"Sponsors student organisations")&gt;0,2,IF(COUNTIFS('Commercial Evidence'!$A$3:$A$502,$A249,'Commercial Evidence'!$B$3:$B$502,"Sponsors university activities")+COUNTIFS('Commercial Evidence'!$A$3:$A$502,$A249,'Commercial Evidence'!$B$3:$B$502,"Sponsors similar events")+COUNTIFS('Commercial Evidence'!$A$3:$A$502,$A249,'Commercial Evidence'!$B$3:$B$502,"Previous CBS Talks partner")&gt;0,1,0))))</f>
        <v/>
      </c>
      <c r="AC249" s="32" t="str">
        <f aca="false">IF($A249="","",IF(COUNT(G249,J249,M249,P249,AB249)&lt;5,"",G249+J249+M249+P249+AB249))</f>
        <v/>
      </c>
      <c r="AD249" s="32" t="str">
        <f aca="false">IF($A249="","",IF(COUNTIFS(Contacts!$A$3:$A$502,$A249,Contacts!$E$3:$E$502,"Champion",Contacts!$K$3:$K$502,"&lt;&gt;Yes",Contacts!$L$3:$L$502,"&lt;&gt;Yes")+COUNTIFS(Opportunities!$A$3:$A$502,$A249,Opportunities!$C$3:$C$502,"Won",Opportunities!$Q$3:$Q$502,"Satisfied")&gt;0,4,IF(COUNTIFS(Interactions!$B$3:$B$502,$A249,Interactions!$I$3:$I$502,"Yes",Interactions!$A$3:$A$502,"&gt;="&amp;(S_Today-S_WarmDays))&gt;0,3,IF(T249&lt;&gt;"",2,IF(COUNTIFS(Contacts!$A$3:$A$502,$A249,Contacts!$M$3:$M$502,"Yes",Contacts!$K$3:$K$502,"&lt;&gt;Yes",Contacts!$L$3:$L$502,"&lt;&gt;Yes")&gt;0,1,0)))))</f>
        <v/>
      </c>
      <c r="AE249" s="32" t="str">
        <f aca="false">IF($A249="","",IF(Z249="Yes","Do not contact",IF(AC249="","Research",IF(AND(AC249&gt;=S_FitHigh,AD249&gt;=S_AccessHigh),"Priority",IF(AC249&gt;=S_FitHigh,"Build a Path",IF(AD249&gt;=S_AccessHigh,"Quick Win","Low Priority"))))))</f>
        <v/>
      </c>
      <c r="AF249" s="33" t="str">
        <f aca="false">IF($A249="","",IF(_xlfn.MAXIFS(Interactions!$A$3:$A$502,Interactions!$B$3:$B$502,$A249)=0,"",_xlfn.MAXIFS(Interactions!$A$3:$A$502,Interactions!$B$3:$B$502,$A249)))</f>
        <v/>
      </c>
      <c r="AG249" s="32" t="str">
        <f aca="false">IF($A249="","",COUNTIFS(Opportunities!$A$3:$A$502,$A249,Opportunities!$X$3:$X$502,"Yes"))</f>
        <v/>
      </c>
      <c r="AH249" s="32" t="str">
        <f aca="false">IF($A249="","",_xlfn.TEXTJOIN(", ",TRUE(),IF(COUNTIF($A$3:$A$502,$A249)&gt;1,"Duplicate name",""),IF(OR(AND(G249=2,I249=""),AND(J249=2,L249=""),AND(M249=2,O249=""),AND(P249=2,R249="")),"Source missing for a 2",""),IF(F249="","No owner",IF(COUNTIFS(R_TeamName,F249,R_TeamActive,"No")&gt;0,"Needs new owner","")),IF(AND(V249="Yes",X249&lt;&gt;"",X249&lt;S_SemStart),"Path overdue",""),IF(AND(S249&lt;&gt;"",S249&lt;S_Today-365),"Stale research",""),IF(AND(AE249="Research",COUNTIF('Commercial Evidence'!$A$3:$A$502,$A249)=0),"Add commercial evidence","")))</f>
        <v/>
      </c>
      <c r="AI249" s="34" t="str">
        <f aca="false">IF(OR($A249="",Z249="Yes"),"",IF(AND(AE249="Priority",AG249=0,COUNTIFS(Opportunities!$A$3:$A$502,$A249,Opportunities!$Y$3:$Y$502,"Renewal due")=0),600000+(10-AC249)*1000+(4-AD249)*100+ROW()/100000,IF(V249="Yes",700000+IF(X249="",0,X249-40000)/10+ROW()/100000,IF(AND(AE249="Quick Win",U249&lt;&gt;"",AG249=0),800000+(10-AC249)*1000+ROW()/100000,IF(AND(AE249="Build a Path",COUNTIF($V$3:$V$502,"Yes")&lt;S_PathCap),900000+(10-AC249)*1000+(4-AD249)*100+ROW()/100000,"")))))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8"/>
      <c r="T250" s="27"/>
      <c r="U250" s="27"/>
      <c r="V250" s="27"/>
      <c r="W250" s="27"/>
      <c r="X250" s="28"/>
      <c r="Y250" s="27"/>
      <c r="Z250" s="27"/>
      <c r="AA250" s="27"/>
      <c r="AB250" s="32" t="str">
        <f aca="false">IF($A250="","",IF(COUNTIF('Commercial Evidence'!$A$3:$A$502,$A250)=0,"",IF(COUNTIFS('Commercial Evidence'!$A$3:$A$502,$A250,'Commercial Evidence'!$B$3:$B$502,"Previous CBS Talks spend")+COUNTIFS('Commercial Evidence'!$A$3:$A$502,$A250,'Commercial Evidence'!$B$3:$B$502,"Sponsors student organisations")&gt;0,2,IF(COUNTIFS('Commercial Evidence'!$A$3:$A$502,$A250,'Commercial Evidence'!$B$3:$B$502,"Sponsors university activities")+COUNTIFS('Commercial Evidence'!$A$3:$A$502,$A250,'Commercial Evidence'!$B$3:$B$502,"Sponsors similar events")+COUNTIFS('Commercial Evidence'!$A$3:$A$502,$A250,'Commercial Evidence'!$B$3:$B$502,"Previous CBS Talks partner")&gt;0,1,0))))</f>
        <v/>
      </c>
      <c r="AC250" s="32" t="str">
        <f aca="false">IF($A250="","",IF(COUNT(G250,J250,M250,P250,AB250)&lt;5,"",G250+J250+M250+P250+AB250))</f>
        <v/>
      </c>
      <c r="AD250" s="32" t="str">
        <f aca="false">IF($A250="","",IF(COUNTIFS(Contacts!$A$3:$A$502,$A250,Contacts!$E$3:$E$502,"Champion",Contacts!$K$3:$K$502,"&lt;&gt;Yes",Contacts!$L$3:$L$502,"&lt;&gt;Yes")+COUNTIFS(Opportunities!$A$3:$A$502,$A250,Opportunities!$C$3:$C$502,"Won",Opportunities!$Q$3:$Q$502,"Satisfied")&gt;0,4,IF(COUNTIFS(Interactions!$B$3:$B$502,$A250,Interactions!$I$3:$I$502,"Yes",Interactions!$A$3:$A$502,"&gt;="&amp;(S_Today-S_WarmDays))&gt;0,3,IF(T250&lt;&gt;"",2,IF(COUNTIFS(Contacts!$A$3:$A$502,$A250,Contacts!$M$3:$M$502,"Yes",Contacts!$K$3:$K$502,"&lt;&gt;Yes",Contacts!$L$3:$L$502,"&lt;&gt;Yes")&gt;0,1,0)))))</f>
        <v/>
      </c>
      <c r="AE250" s="32" t="str">
        <f aca="false">IF($A250="","",IF(Z250="Yes","Do not contact",IF(AC250="","Research",IF(AND(AC250&gt;=S_FitHigh,AD250&gt;=S_AccessHigh),"Priority",IF(AC250&gt;=S_FitHigh,"Build a Path",IF(AD250&gt;=S_AccessHigh,"Quick Win","Low Priority"))))))</f>
        <v/>
      </c>
      <c r="AF250" s="33" t="str">
        <f aca="false">IF($A250="","",IF(_xlfn.MAXIFS(Interactions!$A$3:$A$502,Interactions!$B$3:$B$502,$A250)=0,"",_xlfn.MAXIFS(Interactions!$A$3:$A$502,Interactions!$B$3:$B$502,$A250)))</f>
        <v/>
      </c>
      <c r="AG250" s="32" t="str">
        <f aca="false">IF($A250="","",COUNTIFS(Opportunities!$A$3:$A$502,$A250,Opportunities!$X$3:$X$502,"Yes"))</f>
        <v/>
      </c>
      <c r="AH250" s="32" t="str">
        <f aca="false">IF($A250="","",_xlfn.TEXTJOIN(", ",TRUE(),IF(COUNTIF($A$3:$A$502,$A250)&gt;1,"Duplicate name",""),IF(OR(AND(G250=2,I250=""),AND(J250=2,L250=""),AND(M250=2,O250=""),AND(P250=2,R250="")),"Source missing for a 2",""),IF(F250="","No owner",IF(COUNTIFS(R_TeamName,F250,R_TeamActive,"No")&gt;0,"Needs new owner","")),IF(AND(V250="Yes",X250&lt;&gt;"",X250&lt;S_SemStart),"Path overdue",""),IF(AND(S250&lt;&gt;"",S250&lt;S_Today-365),"Stale research",""),IF(AND(AE250="Research",COUNTIF('Commercial Evidence'!$A$3:$A$502,$A250)=0),"Add commercial evidence","")))</f>
        <v/>
      </c>
      <c r="AI250" s="34" t="str">
        <f aca="false">IF(OR($A250="",Z250="Yes"),"",IF(AND(AE250="Priority",AG250=0,COUNTIFS(Opportunities!$A$3:$A$502,$A250,Opportunities!$Y$3:$Y$502,"Renewal due")=0),600000+(10-AC250)*1000+(4-AD250)*100+ROW()/100000,IF(V250="Yes",700000+IF(X250="",0,X250-40000)/10+ROW()/100000,IF(AND(AE250="Quick Win",U250&lt;&gt;"",AG250=0),800000+(10-AC250)*1000+ROW()/100000,IF(AND(AE250="Build a Path",COUNTIF($V$3:$V$502,"Yes")&lt;S_PathCap),900000+(10-AC250)*1000+(4-AD250)*100+ROW()/100000,"")))))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8"/>
      <c r="T251" s="27"/>
      <c r="U251" s="27"/>
      <c r="V251" s="27"/>
      <c r="W251" s="27"/>
      <c r="X251" s="28"/>
      <c r="Y251" s="27"/>
      <c r="Z251" s="27"/>
      <c r="AA251" s="27"/>
      <c r="AB251" s="32" t="str">
        <f aca="false">IF($A251="","",IF(COUNTIF('Commercial Evidence'!$A$3:$A$502,$A251)=0,"",IF(COUNTIFS('Commercial Evidence'!$A$3:$A$502,$A251,'Commercial Evidence'!$B$3:$B$502,"Previous CBS Talks spend")+COUNTIFS('Commercial Evidence'!$A$3:$A$502,$A251,'Commercial Evidence'!$B$3:$B$502,"Sponsors student organisations")&gt;0,2,IF(COUNTIFS('Commercial Evidence'!$A$3:$A$502,$A251,'Commercial Evidence'!$B$3:$B$502,"Sponsors university activities")+COUNTIFS('Commercial Evidence'!$A$3:$A$502,$A251,'Commercial Evidence'!$B$3:$B$502,"Sponsors similar events")+COUNTIFS('Commercial Evidence'!$A$3:$A$502,$A251,'Commercial Evidence'!$B$3:$B$502,"Previous CBS Talks partner")&gt;0,1,0))))</f>
        <v/>
      </c>
      <c r="AC251" s="32" t="str">
        <f aca="false">IF($A251="","",IF(COUNT(G251,J251,M251,P251,AB251)&lt;5,"",G251+J251+M251+P251+AB251))</f>
        <v/>
      </c>
      <c r="AD251" s="32" t="str">
        <f aca="false">IF($A251="","",IF(COUNTIFS(Contacts!$A$3:$A$502,$A251,Contacts!$E$3:$E$502,"Champion",Contacts!$K$3:$K$502,"&lt;&gt;Yes",Contacts!$L$3:$L$502,"&lt;&gt;Yes")+COUNTIFS(Opportunities!$A$3:$A$502,$A251,Opportunities!$C$3:$C$502,"Won",Opportunities!$Q$3:$Q$502,"Satisfied")&gt;0,4,IF(COUNTIFS(Interactions!$B$3:$B$502,$A251,Interactions!$I$3:$I$502,"Yes",Interactions!$A$3:$A$502,"&gt;="&amp;(S_Today-S_WarmDays))&gt;0,3,IF(T251&lt;&gt;"",2,IF(COUNTIFS(Contacts!$A$3:$A$502,$A251,Contacts!$M$3:$M$502,"Yes",Contacts!$K$3:$K$502,"&lt;&gt;Yes",Contacts!$L$3:$L$502,"&lt;&gt;Yes")&gt;0,1,0)))))</f>
        <v/>
      </c>
      <c r="AE251" s="32" t="str">
        <f aca="false">IF($A251="","",IF(Z251="Yes","Do not contact",IF(AC251="","Research",IF(AND(AC251&gt;=S_FitHigh,AD251&gt;=S_AccessHigh),"Priority",IF(AC251&gt;=S_FitHigh,"Build a Path",IF(AD251&gt;=S_AccessHigh,"Quick Win","Low Priority"))))))</f>
        <v/>
      </c>
      <c r="AF251" s="33" t="str">
        <f aca="false">IF($A251="","",IF(_xlfn.MAXIFS(Interactions!$A$3:$A$502,Interactions!$B$3:$B$502,$A251)=0,"",_xlfn.MAXIFS(Interactions!$A$3:$A$502,Interactions!$B$3:$B$502,$A251)))</f>
        <v/>
      </c>
      <c r="AG251" s="32" t="str">
        <f aca="false">IF($A251="","",COUNTIFS(Opportunities!$A$3:$A$502,$A251,Opportunities!$X$3:$X$502,"Yes"))</f>
        <v/>
      </c>
      <c r="AH251" s="32" t="str">
        <f aca="false">IF($A251="","",_xlfn.TEXTJOIN(", ",TRUE(),IF(COUNTIF($A$3:$A$502,$A251)&gt;1,"Duplicate name",""),IF(OR(AND(G251=2,I251=""),AND(J251=2,L251=""),AND(M251=2,O251=""),AND(P251=2,R251="")),"Source missing for a 2",""),IF(F251="","No owner",IF(COUNTIFS(R_TeamName,F251,R_TeamActive,"No")&gt;0,"Needs new owner","")),IF(AND(V251="Yes",X251&lt;&gt;"",X251&lt;S_SemStart),"Path overdue",""),IF(AND(S251&lt;&gt;"",S251&lt;S_Today-365),"Stale research",""),IF(AND(AE251="Research",COUNTIF('Commercial Evidence'!$A$3:$A$502,$A251)=0),"Add commercial evidence","")))</f>
        <v/>
      </c>
      <c r="AI251" s="34" t="str">
        <f aca="false">IF(OR($A251="",Z251="Yes"),"",IF(AND(AE251="Priority",AG251=0,COUNTIFS(Opportunities!$A$3:$A$502,$A251,Opportunities!$Y$3:$Y$502,"Renewal due")=0),600000+(10-AC251)*1000+(4-AD251)*100+ROW()/100000,IF(V251="Yes",700000+IF(X251="",0,X251-40000)/10+ROW()/100000,IF(AND(AE251="Quick Win",U251&lt;&gt;"",AG251=0),800000+(10-AC251)*1000+ROW()/100000,IF(AND(AE251="Build a Path",COUNTIF($V$3:$V$502,"Yes")&lt;S_PathCap),900000+(10-AC251)*1000+(4-AD251)*100+ROW()/100000,"")))))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8"/>
      <c r="T252" s="27"/>
      <c r="U252" s="27"/>
      <c r="V252" s="27"/>
      <c r="W252" s="27"/>
      <c r="X252" s="28"/>
      <c r="Y252" s="27"/>
      <c r="Z252" s="27"/>
      <c r="AA252" s="27"/>
      <c r="AB252" s="32" t="str">
        <f aca="false">IF($A252="","",IF(COUNTIF('Commercial Evidence'!$A$3:$A$502,$A252)=0,"",IF(COUNTIFS('Commercial Evidence'!$A$3:$A$502,$A252,'Commercial Evidence'!$B$3:$B$502,"Previous CBS Talks spend")+COUNTIFS('Commercial Evidence'!$A$3:$A$502,$A252,'Commercial Evidence'!$B$3:$B$502,"Sponsors student organisations")&gt;0,2,IF(COUNTIFS('Commercial Evidence'!$A$3:$A$502,$A252,'Commercial Evidence'!$B$3:$B$502,"Sponsors university activities")+COUNTIFS('Commercial Evidence'!$A$3:$A$502,$A252,'Commercial Evidence'!$B$3:$B$502,"Sponsors similar events")+COUNTIFS('Commercial Evidence'!$A$3:$A$502,$A252,'Commercial Evidence'!$B$3:$B$502,"Previous CBS Talks partner")&gt;0,1,0))))</f>
        <v/>
      </c>
      <c r="AC252" s="32" t="str">
        <f aca="false">IF($A252="","",IF(COUNT(G252,J252,M252,P252,AB252)&lt;5,"",G252+J252+M252+P252+AB252))</f>
        <v/>
      </c>
      <c r="AD252" s="32" t="str">
        <f aca="false">IF($A252="","",IF(COUNTIFS(Contacts!$A$3:$A$502,$A252,Contacts!$E$3:$E$502,"Champion",Contacts!$K$3:$K$502,"&lt;&gt;Yes",Contacts!$L$3:$L$502,"&lt;&gt;Yes")+COUNTIFS(Opportunities!$A$3:$A$502,$A252,Opportunities!$C$3:$C$502,"Won",Opportunities!$Q$3:$Q$502,"Satisfied")&gt;0,4,IF(COUNTIFS(Interactions!$B$3:$B$502,$A252,Interactions!$I$3:$I$502,"Yes",Interactions!$A$3:$A$502,"&gt;="&amp;(S_Today-S_WarmDays))&gt;0,3,IF(T252&lt;&gt;"",2,IF(COUNTIFS(Contacts!$A$3:$A$502,$A252,Contacts!$M$3:$M$502,"Yes",Contacts!$K$3:$K$502,"&lt;&gt;Yes",Contacts!$L$3:$L$502,"&lt;&gt;Yes")&gt;0,1,0)))))</f>
        <v/>
      </c>
      <c r="AE252" s="32" t="str">
        <f aca="false">IF($A252="","",IF(Z252="Yes","Do not contact",IF(AC252="","Research",IF(AND(AC252&gt;=S_FitHigh,AD252&gt;=S_AccessHigh),"Priority",IF(AC252&gt;=S_FitHigh,"Build a Path",IF(AD252&gt;=S_AccessHigh,"Quick Win","Low Priority"))))))</f>
        <v/>
      </c>
      <c r="AF252" s="33" t="str">
        <f aca="false">IF($A252="","",IF(_xlfn.MAXIFS(Interactions!$A$3:$A$502,Interactions!$B$3:$B$502,$A252)=0,"",_xlfn.MAXIFS(Interactions!$A$3:$A$502,Interactions!$B$3:$B$502,$A252)))</f>
        <v/>
      </c>
      <c r="AG252" s="32" t="str">
        <f aca="false">IF($A252="","",COUNTIFS(Opportunities!$A$3:$A$502,$A252,Opportunities!$X$3:$X$502,"Yes"))</f>
        <v/>
      </c>
      <c r="AH252" s="32" t="str">
        <f aca="false">IF($A252="","",_xlfn.TEXTJOIN(", ",TRUE(),IF(COUNTIF($A$3:$A$502,$A252)&gt;1,"Duplicate name",""),IF(OR(AND(G252=2,I252=""),AND(J252=2,L252=""),AND(M252=2,O252=""),AND(P252=2,R252="")),"Source missing for a 2",""),IF(F252="","No owner",IF(COUNTIFS(R_TeamName,F252,R_TeamActive,"No")&gt;0,"Needs new owner","")),IF(AND(V252="Yes",X252&lt;&gt;"",X252&lt;S_SemStart),"Path overdue",""),IF(AND(S252&lt;&gt;"",S252&lt;S_Today-365),"Stale research",""),IF(AND(AE252="Research",COUNTIF('Commercial Evidence'!$A$3:$A$502,$A252)=0),"Add commercial evidence","")))</f>
        <v/>
      </c>
      <c r="AI252" s="34" t="str">
        <f aca="false">IF(OR($A252="",Z252="Yes"),"",IF(AND(AE252="Priority",AG252=0,COUNTIFS(Opportunities!$A$3:$A$502,$A252,Opportunities!$Y$3:$Y$502,"Renewal due")=0),600000+(10-AC252)*1000+(4-AD252)*100+ROW()/100000,IF(V252="Yes",700000+IF(X252="",0,X252-40000)/10+ROW()/100000,IF(AND(AE252="Quick Win",U252&lt;&gt;"",AG252=0),800000+(10-AC252)*1000+ROW()/100000,IF(AND(AE252="Build a Path",COUNTIF($V$3:$V$502,"Yes")&lt;S_PathCap),900000+(10-AC252)*1000+(4-AD252)*100+ROW()/100000,"")))))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8"/>
      <c r="T253" s="27"/>
      <c r="U253" s="27"/>
      <c r="V253" s="27"/>
      <c r="W253" s="27"/>
      <c r="X253" s="28"/>
      <c r="Y253" s="27"/>
      <c r="Z253" s="27"/>
      <c r="AA253" s="27"/>
      <c r="AB253" s="32" t="str">
        <f aca="false">IF($A253="","",IF(COUNTIF('Commercial Evidence'!$A$3:$A$502,$A253)=0,"",IF(COUNTIFS('Commercial Evidence'!$A$3:$A$502,$A253,'Commercial Evidence'!$B$3:$B$502,"Previous CBS Talks spend")+COUNTIFS('Commercial Evidence'!$A$3:$A$502,$A253,'Commercial Evidence'!$B$3:$B$502,"Sponsors student organisations")&gt;0,2,IF(COUNTIFS('Commercial Evidence'!$A$3:$A$502,$A253,'Commercial Evidence'!$B$3:$B$502,"Sponsors university activities")+COUNTIFS('Commercial Evidence'!$A$3:$A$502,$A253,'Commercial Evidence'!$B$3:$B$502,"Sponsors similar events")+COUNTIFS('Commercial Evidence'!$A$3:$A$502,$A253,'Commercial Evidence'!$B$3:$B$502,"Previous CBS Talks partner")&gt;0,1,0))))</f>
        <v/>
      </c>
      <c r="AC253" s="32" t="str">
        <f aca="false">IF($A253="","",IF(COUNT(G253,J253,M253,P253,AB253)&lt;5,"",G253+J253+M253+P253+AB253))</f>
        <v/>
      </c>
      <c r="AD253" s="32" t="str">
        <f aca="false">IF($A253="","",IF(COUNTIFS(Contacts!$A$3:$A$502,$A253,Contacts!$E$3:$E$502,"Champion",Contacts!$K$3:$K$502,"&lt;&gt;Yes",Contacts!$L$3:$L$502,"&lt;&gt;Yes")+COUNTIFS(Opportunities!$A$3:$A$502,$A253,Opportunities!$C$3:$C$502,"Won",Opportunities!$Q$3:$Q$502,"Satisfied")&gt;0,4,IF(COUNTIFS(Interactions!$B$3:$B$502,$A253,Interactions!$I$3:$I$502,"Yes",Interactions!$A$3:$A$502,"&gt;="&amp;(S_Today-S_WarmDays))&gt;0,3,IF(T253&lt;&gt;"",2,IF(COUNTIFS(Contacts!$A$3:$A$502,$A253,Contacts!$M$3:$M$502,"Yes",Contacts!$K$3:$K$502,"&lt;&gt;Yes",Contacts!$L$3:$L$502,"&lt;&gt;Yes")&gt;0,1,0)))))</f>
        <v/>
      </c>
      <c r="AE253" s="32" t="str">
        <f aca="false">IF($A253="","",IF(Z253="Yes","Do not contact",IF(AC253="","Research",IF(AND(AC253&gt;=S_FitHigh,AD253&gt;=S_AccessHigh),"Priority",IF(AC253&gt;=S_FitHigh,"Build a Path",IF(AD253&gt;=S_AccessHigh,"Quick Win","Low Priority"))))))</f>
        <v/>
      </c>
      <c r="AF253" s="33" t="str">
        <f aca="false">IF($A253="","",IF(_xlfn.MAXIFS(Interactions!$A$3:$A$502,Interactions!$B$3:$B$502,$A253)=0,"",_xlfn.MAXIFS(Interactions!$A$3:$A$502,Interactions!$B$3:$B$502,$A253)))</f>
        <v/>
      </c>
      <c r="AG253" s="32" t="str">
        <f aca="false">IF($A253="","",COUNTIFS(Opportunities!$A$3:$A$502,$A253,Opportunities!$X$3:$X$502,"Yes"))</f>
        <v/>
      </c>
      <c r="AH253" s="32" t="str">
        <f aca="false">IF($A253="","",_xlfn.TEXTJOIN(", ",TRUE(),IF(COUNTIF($A$3:$A$502,$A253)&gt;1,"Duplicate name",""),IF(OR(AND(G253=2,I253=""),AND(J253=2,L253=""),AND(M253=2,O253=""),AND(P253=2,R253="")),"Source missing for a 2",""),IF(F253="","No owner",IF(COUNTIFS(R_TeamName,F253,R_TeamActive,"No")&gt;0,"Needs new owner","")),IF(AND(V253="Yes",X253&lt;&gt;"",X253&lt;S_SemStart),"Path overdue",""),IF(AND(S253&lt;&gt;"",S253&lt;S_Today-365),"Stale research",""),IF(AND(AE253="Research",COUNTIF('Commercial Evidence'!$A$3:$A$502,$A253)=0),"Add commercial evidence","")))</f>
        <v/>
      </c>
      <c r="AI253" s="34" t="str">
        <f aca="false">IF(OR($A253="",Z253="Yes"),"",IF(AND(AE253="Priority",AG253=0,COUNTIFS(Opportunities!$A$3:$A$502,$A253,Opportunities!$Y$3:$Y$502,"Renewal due")=0),600000+(10-AC253)*1000+(4-AD253)*100+ROW()/100000,IF(V253="Yes",700000+IF(X253="",0,X253-40000)/10+ROW()/100000,IF(AND(AE253="Quick Win",U253&lt;&gt;"",AG253=0),800000+(10-AC253)*1000+ROW()/100000,IF(AND(AE253="Build a Path",COUNTIF($V$3:$V$502,"Yes")&lt;S_PathCap),900000+(10-AC253)*1000+(4-AD253)*100+ROW()/100000,"")))))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8"/>
      <c r="T254" s="27"/>
      <c r="U254" s="27"/>
      <c r="V254" s="27"/>
      <c r="W254" s="27"/>
      <c r="X254" s="28"/>
      <c r="Y254" s="27"/>
      <c r="Z254" s="27"/>
      <c r="AA254" s="27"/>
      <c r="AB254" s="32" t="str">
        <f aca="false">IF($A254="","",IF(COUNTIF('Commercial Evidence'!$A$3:$A$502,$A254)=0,"",IF(COUNTIFS('Commercial Evidence'!$A$3:$A$502,$A254,'Commercial Evidence'!$B$3:$B$502,"Previous CBS Talks spend")+COUNTIFS('Commercial Evidence'!$A$3:$A$502,$A254,'Commercial Evidence'!$B$3:$B$502,"Sponsors student organisations")&gt;0,2,IF(COUNTIFS('Commercial Evidence'!$A$3:$A$502,$A254,'Commercial Evidence'!$B$3:$B$502,"Sponsors university activities")+COUNTIFS('Commercial Evidence'!$A$3:$A$502,$A254,'Commercial Evidence'!$B$3:$B$502,"Sponsors similar events")+COUNTIFS('Commercial Evidence'!$A$3:$A$502,$A254,'Commercial Evidence'!$B$3:$B$502,"Previous CBS Talks partner")&gt;0,1,0))))</f>
        <v/>
      </c>
      <c r="AC254" s="32" t="str">
        <f aca="false">IF($A254="","",IF(COUNT(G254,J254,M254,P254,AB254)&lt;5,"",G254+J254+M254+P254+AB254))</f>
        <v/>
      </c>
      <c r="AD254" s="32" t="str">
        <f aca="false">IF($A254="","",IF(COUNTIFS(Contacts!$A$3:$A$502,$A254,Contacts!$E$3:$E$502,"Champion",Contacts!$K$3:$K$502,"&lt;&gt;Yes",Contacts!$L$3:$L$502,"&lt;&gt;Yes")+COUNTIFS(Opportunities!$A$3:$A$502,$A254,Opportunities!$C$3:$C$502,"Won",Opportunities!$Q$3:$Q$502,"Satisfied")&gt;0,4,IF(COUNTIFS(Interactions!$B$3:$B$502,$A254,Interactions!$I$3:$I$502,"Yes",Interactions!$A$3:$A$502,"&gt;="&amp;(S_Today-S_WarmDays))&gt;0,3,IF(T254&lt;&gt;"",2,IF(COUNTIFS(Contacts!$A$3:$A$502,$A254,Contacts!$M$3:$M$502,"Yes",Contacts!$K$3:$K$502,"&lt;&gt;Yes",Contacts!$L$3:$L$502,"&lt;&gt;Yes")&gt;0,1,0)))))</f>
        <v/>
      </c>
      <c r="AE254" s="32" t="str">
        <f aca="false">IF($A254="","",IF(Z254="Yes","Do not contact",IF(AC254="","Research",IF(AND(AC254&gt;=S_FitHigh,AD254&gt;=S_AccessHigh),"Priority",IF(AC254&gt;=S_FitHigh,"Build a Path",IF(AD254&gt;=S_AccessHigh,"Quick Win","Low Priority"))))))</f>
        <v/>
      </c>
      <c r="AF254" s="33" t="str">
        <f aca="false">IF($A254="","",IF(_xlfn.MAXIFS(Interactions!$A$3:$A$502,Interactions!$B$3:$B$502,$A254)=0,"",_xlfn.MAXIFS(Interactions!$A$3:$A$502,Interactions!$B$3:$B$502,$A254)))</f>
        <v/>
      </c>
      <c r="AG254" s="32" t="str">
        <f aca="false">IF($A254="","",COUNTIFS(Opportunities!$A$3:$A$502,$A254,Opportunities!$X$3:$X$502,"Yes"))</f>
        <v/>
      </c>
      <c r="AH254" s="32" t="str">
        <f aca="false">IF($A254="","",_xlfn.TEXTJOIN(", ",TRUE(),IF(COUNTIF($A$3:$A$502,$A254)&gt;1,"Duplicate name",""),IF(OR(AND(G254=2,I254=""),AND(J254=2,L254=""),AND(M254=2,O254=""),AND(P254=2,R254="")),"Source missing for a 2",""),IF(F254="","No owner",IF(COUNTIFS(R_TeamName,F254,R_TeamActive,"No")&gt;0,"Needs new owner","")),IF(AND(V254="Yes",X254&lt;&gt;"",X254&lt;S_SemStart),"Path overdue",""),IF(AND(S254&lt;&gt;"",S254&lt;S_Today-365),"Stale research",""),IF(AND(AE254="Research",COUNTIF('Commercial Evidence'!$A$3:$A$502,$A254)=0),"Add commercial evidence","")))</f>
        <v/>
      </c>
      <c r="AI254" s="34" t="str">
        <f aca="false">IF(OR($A254="",Z254="Yes"),"",IF(AND(AE254="Priority",AG254=0,COUNTIFS(Opportunities!$A$3:$A$502,$A254,Opportunities!$Y$3:$Y$502,"Renewal due")=0),600000+(10-AC254)*1000+(4-AD254)*100+ROW()/100000,IF(V254="Yes",700000+IF(X254="",0,X254-40000)/10+ROW()/100000,IF(AND(AE254="Quick Win",U254&lt;&gt;"",AG254=0),800000+(10-AC254)*1000+ROW()/100000,IF(AND(AE254="Build a Path",COUNTIF($V$3:$V$502,"Yes")&lt;S_PathCap),900000+(10-AC254)*1000+(4-AD254)*100+ROW()/100000,"")))))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8"/>
      <c r="T255" s="27"/>
      <c r="U255" s="27"/>
      <c r="V255" s="27"/>
      <c r="W255" s="27"/>
      <c r="X255" s="28"/>
      <c r="Y255" s="27"/>
      <c r="Z255" s="27"/>
      <c r="AA255" s="27"/>
      <c r="AB255" s="32" t="str">
        <f aca="false">IF($A255="","",IF(COUNTIF('Commercial Evidence'!$A$3:$A$502,$A255)=0,"",IF(COUNTIFS('Commercial Evidence'!$A$3:$A$502,$A255,'Commercial Evidence'!$B$3:$B$502,"Previous CBS Talks spend")+COUNTIFS('Commercial Evidence'!$A$3:$A$502,$A255,'Commercial Evidence'!$B$3:$B$502,"Sponsors student organisations")&gt;0,2,IF(COUNTIFS('Commercial Evidence'!$A$3:$A$502,$A255,'Commercial Evidence'!$B$3:$B$502,"Sponsors university activities")+COUNTIFS('Commercial Evidence'!$A$3:$A$502,$A255,'Commercial Evidence'!$B$3:$B$502,"Sponsors similar events")+COUNTIFS('Commercial Evidence'!$A$3:$A$502,$A255,'Commercial Evidence'!$B$3:$B$502,"Previous CBS Talks partner")&gt;0,1,0))))</f>
        <v/>
      </c>
      <c r="AC255" s="32" t="str">
        <f aca="false">IF($A255="","",IF(COUNT(G255,J255,M255,P255,AB255)&lt;5,"",G255+J255+M255+P255+AB255))</f>
        <v/>
      </c>
      <c r="AD255" s="32" t="str">
        <f aca="false">IF($A255="","",IF(COUNTIFS(Contacts!$A$3:$A$502,$A255,Contacts!$E$3:$E$502,"Champion",Contacts!$K$3:$K$502,"&lt;&gt;Yes",Contacts!$L$3:$L$502,"&lt;&gt;Yes")+COUNTIFS(Opportunities!$A$3:$A$502,$A255,Opportunities!$C$3:$C$502,"Won",Opportunities!$Q$3:$Q$502,"Satisfied")&gt;0,4,IF(COUNTIFS(Interactions!$B$3:$B$502,$A255,Interactions!$I$3:$I$502,"Yes",Interactions!$A$3:$A$502,"&gt;="&amp;(S_Today-S_WarmDays))&gt;0,3,IF(T255&lt;&gt;"",2,IF(COUNTIFS(Contacts!$A$3:$A$502,$A255,Contacts!$M$3:$M$502,"Yes",Contacts!$K$3:$K$502,"&lt;&gt;Yes",Contacts!$L$3:$L$502,"&lt;&gt;Yes")&gt;0,1,0)))))</f>
        <v/>
      </c>
      <c r="AE255" s="32" t="str">
        <f aca="false">IF($A255="","",IF(Z255="Yes","Do not contact",IF(AC255="","Research",IF(AND(AC255&gt;=S_FitHigh,AD255&gt;=S_AccessHigh),"Priority",IF(AC255&gt;=S_FitHigh,"Build a Path",IF(AD255&gt;=S_AccessHigh,"Quick Win","Low Priority"))))))</f>
        <v/>
      </c>
      <c r="AF255" s="33" t="str">
        <f aca="false">IF($A255="","",IF(_xlfn.MAXIFS(Interactions!$A$3:$A$502,Interactions!$B$3:$B$502,$A255)=0,"",_xlfn.MAXIFS(Interactions!$A$3:$A$502,Interactions!$B$3:$B$502,$A255)))</f>
        <v/>
      </c>
      <c r="AG255" s="32" t="str">
        <f aca="false">IF($A255="","",COUNTIFS(Opportunities!$A$3:$A$502,$A255,Opportunities!$X$3:$X$502,"Yes"))</f>
        <v/>
      </c>
      <c r="AH255" s="32" t="str">
        <f aca="false">IF($A255="","",_xlfn.TEXTJOIN(", ",TRUE(),IF(COUNTIF($A$3:$A$502,$A255)&gt;1,"Duplicate name",""),IF(OR(AND(G255=2,I255=""),AND(J255=2,L255=""),AND(M255=2,O255=""),AND(P255=2,R255="")),"Source missing for a 2",""),IF(F255="","No owner",IF(COUNTIFS(R_TeamName,F255,R_TeamActive,"No")&gt;0,"Needs new owner","")),IF(AND(V255="Yes",X255&lt;&gt;"",X255&lt;S_SemStart),"Path overdue",""),IF(AND(S255&lt;&gt;"",S255&lt;S_Today-365),"Stale research",""),IF(AND(AE255="Research",COUNTIF('Commercial Evidence'!$A$3:$A$502,$A255)=0),"Add commercial evidence","")))</f>
        <v/>
      </c>
      <c r="AI255" s="34" t="str">
        <f aca="false">IF(OR($A255="",Z255="Yes"),"",IF(AND(AE255="Priority",AG255=0,COUNTIFS(Opportunities!$A$3:$A$502,$A255,Opportunities!$Y$3:$Y$502,"Renewal due")=0),600000+(10-AC255)*1000+(4-AD255)*100+ROW()/100000,IF(V255="Yes",700000+IF(X255="",0,X255-40000)/10+ROW()/100000,IF(AND(AE255="Quick Win",U255&lt;&gt;"",AG255=0),800000+(10-AC255)*1000+ROW()/100000,IF(AND(AE255="Build a Path",COUNTIF($V$3:$V$502,"Yes")&lt;S_PathCap),900000+(10-AC255)*1000+(4-AD255)*100+ROW()/100000,"")))))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8"/>
      <c r="T256" s="27"/>
      <c r="U256" s="27"/>
      <c r="V256" s="27"/>
      <c r="W256" s="27"/>
      <c r="X256" s="28"/>
      <c r="Y256" s="27"/>
      <c r="Z256" s="27"/>
      <c r="AA256" s="27"/>
      <c r="AB256" s="32" t="str">
        <f aca="false">IF($A256="","",IF(COUNTIF('Commercial Evidence'!$A$3:$A$502,$A256)=0,"",IF(COUNTIFS('Commercial Evidence'!$A$3:$A$502,$A256,'Commercial Evidence'!$B$3:$B$502,"Previous CBS Talks spend")+COUNTIFS('Commercial Evidence'!$A$3:$A$502,$A256,'Commercial Evidence'!$B$3:$B$502,"Sponsors student organisations")&gt;0,2,IF(COUNTIFS('Commercial Evidence'!$A$3:$A$502,$A256,'Commercial Evidence'!$B$3:$B$502,"Sponsors university activities")+COUNTIFS('Commercial Evidence'!$A$3:$A$502,$A256,'Commercial Evidence'!$B$3:$B$502,"Sponsors similar events")+COUNTIFS('Commercial Evidence'!$A$3:$A$502,$A256,'Commercial Evidence'!$B$3:$B$502,"Previous CBS Talks partner")&gt;0,1,0))))</f>
        <v/>
      </c>
      <c r="AC256" s="32" t="str">
        <f aca="false">IF($A256="","",IF(COUNT(G256,J256,M256,P256,AB256)&lt;5,"",G256+J256+M256+P256+AB256))</f>
        <v/>
      </c>
      <c r="AD256" s="32" t="str">
        <f aca="false">IF($A256="","",IF(COUNTIFS(Contacts!$A$3:$A$502,$A256,Contacts!$E$3:$E$502,"Champion",Contacts!$K$3:$K$502,"&lt;&gt;Yes",Contacts!$L$3:$L$502,"&lt;&gt;Yes")+COUNTIFS(Opportunities!$A$3:$A$502,$A256,Opportunities!$C$3:$C$502,"Won",Opportunities!$Q$3:$Q$502,"Satisfied")&gt;0,4,IF(COUNTIFS(Interactions!$B$3:$B$502,$A256,Interactions!$I$3:$I$502,"Yes",Interactions!$A$3:$A$502,"&gt;="&amp;(S_Today-S_WarmDays))&gt;0,3,IF(T256&lt;&gt;"",2,IF(COUNTIFS(Contacts!$A$3:$A$502,$A256,Contacts!$M$3:$M$502,"Yes",Contacts!$K$3:$K$502,"&lt;&gt;Yes",Contacts!$L$3:$L$502,"&lt;&gt;Yes")&gt;0,1,0)))))</f>
        <v/>
      </c>
      <c r="AE256" s="32" t="str">
        <f aca="false">IF($A256="","",IF(Z256="Yes","Do not contact",IF(AC256="","Research",IF(AND(AC256&gt;=S_FitHigh,AD256&gt;=S_AccessHigh),"Priority",IF(AC256&gt;=S_FitHigh,"Build a Path",IF(AD256&gt;=S_AccessHigh,"Quick Win","Low Priority"))))))</f>
        <v/>
      </c>
      <c r="AF256" s="33" t="str">
        <f aca="false">IF($A256="","",IF(_xlfn.MAXIFS(Interactions!$A$3:$A$502,Interactions!$B$3:$B$502,$A256)=0,"",_xlfn.MAXIFS(Interactions!$A$3:$A$502,Interactions!$B$3:$B$502,$A256)))</f>
        <v/>
      </c>
      <c r="AG256" s="32" t="str">
        <f aca="false">IF($A256="","",COUNTIFS(Opportunities!$A$3:$A$502,$A256,Opportunities!$X$3:$X$502,"Yes"))</f>
        <v/>
      </c>
      <c r="AH256" s="32" t="str">
        <f aca="false">IF($A256="","",_xlfn.TEXTJOIN(", ",TRUE(),IF(COUNTIF($A$3:$A$502,$A256)&gt;1,"Duplicate name",""),IF(OR(AND(G256=2,I256=""),AND(J256=2,L256=""),AND(M256=2,O256=""),AND(P256=2,R256="")),"Source missing for a 2",""),IF(F256="","No owner",IF(COUNTIFS(R_TeamName,F256,R_TeamActive,"No")&gt;0,"Needs new owner","")),IF(AND(V256="Yes",X256&lt;&gt;"",X256&lt;S_SemStart),"Path overdue",""),IF(AND(S256&lt;&gt;"",S256&lt;S_Today-365),"Stale research",""),IF(AND(AE256="Research",COUNTIF('Commercial Evidence'!$A$3:$A$502,$A256)=0),"Add commercial evidence","")))</f>
        <v/>
      </c>
      <c r="AI256" s="34" t="str">
        <f aca="false">IF(OR($A256="",Z256="Yes"),"",IF(AND(AE256="Priority",AG256=0,COUNTIFS(Opportunities!$A$3:$A$502,$A256,Opportunities!$Y$3:$Y$502,"Renewal due")=0),600000+(10-AC256)*1000+(4-AD256)*100+ROW()/100000,IF(V256="Yes",700000+IF(X256="",0,X256-40000)/10+ROW()/100000,IF(AND(AE256="Quick Win",U256&lt;&gt;"",AG256=0),800000+(10-AC256)*1000+ROW()/100000,IF(AND(AE256="Build a Path",COUNTIF($V$3:$V$502,"Yes")&lt;S_PathCap),900000+(10-AC256)*1000+(4-AD256)*100+ROW()/100000,"")))))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8"/>
      <c r="T257" s="27"/>
      <c r="U257" s="27"/>
      <c r="V257" s="27"/>
      <c r="W257" s="27"/>
      <c r="X257" s="28"/>
      <c r="Y257" s="27"/>
      <c r="Z257" s="27"/>
      <c r="AA257" s="27"/>
      <c r="AB257" s="32" t="str">
        <f aca="false">IF($A257="","",IF(COUNTIF('Commercial Evidence'!$A$3:$A$502,$A257)=0,"",IF(COUNTIFS('Commercial Evidence'!$A$3:$A$502,$A257,'Commercial Evidence'!$B$3:$B$502,"Previous CBS Talks spend")+COUNTIFS('Commercial Evidence'!$A$3:$A$502,$A257,'Commercial Evidence'!$B$3:$B$502,"Sponsors student organisations")&gt;0,2,IF(COUNTIFS('Commercial Evidence'!$A$3:$A$502,$A257,'Commercial Evidence'!$B$3:$B$502,"Sponsors university activities")+COUNTIFS('Commercial Evidence'!$A$3:$A$502,$A257,'Commercial Evidence'!$B$3:$B$502,"Sponsors similar events")+COUNTIFS('Commercial Evidence'!$A$3:$A$502,$A257,'Commercial Evidence'!$B$3:$B$502,"Previous CBS Talks partner")&gt;0,1,0))))</f>
        <v/>
      </c>
      <c r="AC257" s="32" t="str">
        <f aca="false">IF($A257="","",IF(COUNT(G257,J257,M257,P257,AB257)&lt;5,"",G257+J257+M257+P257+AB257))</f>
        <v/>
      </c>
      <c r="AD257" s="32" t="str">
        <f aca="false">IF($A257="","",IF(COUNTIFS(Contacts!$A$3:$A$502,$A257,Contacts!$E$3:$E$502,"Champion",Contacts!$K$3:$K$502,"&lt;&gt;Yes",Contacts!$L$3:$L$502,"&lt;&gt;Yes")+COUNTIFS(Opportunities!$A$3:$A$502,$A257,Opportunities!$C$3:$C$502,"Won",Opportunities!$Q$3:$Q$502,"Satisfied")&gt;0,4,IF(COUNTIFS(Interactions!$B$3:$B$502,$A257,Interactions!$I$3:$I$502,"Yes",Interactions!$A$3:$A$502,"&gt;="&amp;(S_Today-S_WarmDays))&gt;0,3,IF(T257&lt;&gt;"",2,IF(COUNTIFS(Contacts!$A$3:$A$502,$A257,Contacts!$M$3:$M$502,"Yes",Contacts!$K$3:$K$502,"&lt;&gt;Yes",Contacts!$L$3:$L$502,"&lt;&gt;Yes")&gt;0,1,0)))))</f>
        <v/>
      </c>
      <c r="AE257" s="32" t="str">
        <f aca="false">IF($A257="","",IF(Z257="Yes","Do not contact",IF(AC257="","Research",IF(AND(AC257&gt;=S_FitHigh,AD257&gt;=S_AccessHigh),"Priority",IF(AC257&gt;=S_FitHigh,"Build a Path",IF(AD257&gt;=S_AccessHigh,"Quick Win","Low Priority"))))))</f>
        <v/>
      </c>
      <c r="AF257" s="33" t="str">
        <f aca="false">IF($A257="","",IF(_xlfn.MAXIFS(Interactions!$A$3:$A$502,Interactions!$B$3:$B$502,$A257)=0,"",_xlfn.MAXIFS(Interactions!$A$3:$A$502,Interactions!$B$3:$B$502,$A257)))</f>
        <v/>
      </c>
      <c r="AG257" s="32" t="str">
        <f aca="false">IF($A257="","",COUNTIFS(Opportunities!$A$3:$A$502,$A257,Opportunities!$X$3:$X$502,"Yes"))</f>
        <v/>
      </c>
      <c r="AH257" s="32" t="str">
        <f aca="false">IF($A257="","",_xlfn.TEXTJOIN(", ",TRUE(),IF(COUNTIF($A$3:$A$502,$A257)&gt;1,"Duplicate name",""),IF(OR(AND(G257=2,I257=""),AND(J257=2,L257=""),AND(M257=2,O257=""),AND(P257=2,R257="")),"Source missing for a 2",""),IF(F257="","No owner",IF(COUNTIFS(R_TeamName,F257,R_TeamActive,"No")&gt;0,"Needs new owner","")),IF(AND(V257="Yes",X257&lt;&gt;"",X257&lt;S_SemStart),"Path overdue",""),IF(AND(S257&lt;&gt;"",S257&lt;S_Today-365),"Stale research",""),IF(AND(AE257="Research",COUNTIF('Commercial Evidence'!$A$3:$A$502,$A257)=0),"Add commercial evidence","")))</f>
        <v/>
      </c>
      <c r="AI257" s="34" t="str">
        <f aca="false">IF(OR($A257="",Z257="Yes"),"",IF(AND(AE257="Priority",AG257=0,COUNTIFS(Opportunities!$A$3:$A$502,$A257,Opportunities!$Y$3:$Y$502,"Renewal due")=0),600000+(10-AC257)*1000+(4-AD257)*100+ROW()/100000,IF(V257="Yes",700000+IF(X257="",0,X257-40000)/10+ROW()/100000,IF(AND(AE257="Quick Win",U257&lt;&gt;"",AG257=0),800000+(10-AC257)*1000+ROW()/100000,IF(AND(AE257="Build a Path",COUNTIF($V$3:$V$502,"Yes")&lt;S_PathCap),900000+(10-AC257)*1000+(4-AD257)*100+ROW()/100000,"")))))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8"/>
      <c r="T258" s="27"/>
      <c r="U258" s="27"/>
      <c r="V258" s="27"/>
      <c r="W258" s="27"/>
      <c r="X258" s="28"/>
      <c r="Y258" s="27"/>
      <c r="Z258" s="27"/>
      <c r="AA258" s="27"/>
      <c r="AB258" s="32" t="str">
        <f aca="false">IF($A258="","",IF(COUNTIF('Commercial Evidence'!$A$3:$A$502,$A258)=0,"",IF(COUNTIFS('Commercial Evidence'!$A$3:$A$502,$A258,'Commercial Evidence'!$B$3:$B$502,"Previous CBS Talks spend")+COUNTIFS('Commercial Evidence'!$A$3:$A$502,$A258,'Commercial Evidence'!$B$3:$B$502,"Sponsors student organisations")&gt;0,2,IF(COUNTIFS('Commercial Evidence'!$A$3:$A$502,$A258,'Commercial Evidence'!$B$3:$B$502,"Sponsors university activities")+COUNTIFS('Commercial Evidence'!$A$3:$A$502,$A258,'Commercial Evidence'!$B$3:$B$502,"Sponsors similar events")+COUNTIFS('Commercial Evidence'!$A$3:$A$502,$A258,'Commercial Evidence'!$B$3:$B$502,"Previous CBS Talks partner")&gt;0,1,0))))</f>
        <v/>
      </c>
      <c r="AC258" s="32" t="str">
        <f aca="false">IF($A258="","",IF(COUNT(G258,J258,M258,P258,AB258)&lt;5,"",G258+J258+M258+P258+AB258))</f>
        <v/>
      </c>
      <c r="AD258" s="32" t="str">
        <f aca="false">IF($A258="","",IF(COUNTIFS(Contacts!$A$3:$A$502,$A258,Contacts!$E$3:$E$502,"Champion",Contacts!$K$3:$K$502,"&lt;&gt;Yes",Contacts!$L$3:$L$502,"&lt;&gt;Yes")+COUNTIFS(Opportunities!$A$3:$A$502,$A258,Opportunities!$C$3:$C$502,"Won",Opportunities!$Q$3:$Q$502,"Satisfied")&gt;0,4,IF(COUNTIFS(Interactions!$B$3:$B$502,$A258,Interactions!$I$3:$I$502,"Yes",Interactions!$A$3:$A$502,"&gt;="&amp;(S_Today-S_WarmDays))&gt;0,3,IF(T258&lt;&gt;"",2,IF(COUNTIFS(Contacts!$A$3:$A$502,$A258,Contacts!$M$3:$M$502,"Yes",Contacts!$K$3:$K$502,"&lt;&gt;Yes",Contacts!$L$3:$L$502,"&lt;&gt;Yes")&gt;0,1,0)))))</f>
        <v/>
      </c>
      <c r="AE258" s="32" t="str">
        <f aca="false">IF($A258="","",IF(Z258="Yes","Do not contact",IF(AC258="","Research",IF(AND(AC258&gt;=S_FitHigh,AD258&gt;=S_AccessHigh),"Priority",IF(AC258&gt;=S_FitHigh,"Build a Path",IF(AD258&gt;=S_AccessHigh,"Quick Win","Low Priority"))))))</f>
        <v/>
      </c>
      <c r="AF258" s="33" t="str">
        <f aca="false">IF($A258="","",IF(_xlfn.MAXIFS(Interactions!$A$3:$A$502,Interactions!$B$3:$B$502,$A258)=0,"",_xlfn.MAXIFS(Interactions!$A$3:$A$502,Interactions!$B$3:$B$502,$A258)))</f>
        <v/>
      </c>
      <c r="AG258" s="32" t="str">
        <f aca="false">IF($A258="","",COUNTIFS(Opportunities!$A$3:$A$502,$A258,Opportunities!$X$3:$X$502,"Yes"))</f>
        <v/>
      </c>
      <c r="AH258" s="32" t="str">
        <f aca="false">IF($A258="","",_xlfn.TEXTJOIN(", ",TRUE(),IF(COUNTIF($A$3:$A$502,$A258)&gt;1,"Duplicate name",""),IF(OR(AND(G258=2,I258=""),AND(J258=2,L258=""),AND(M258=2,O258=""),AND(P258=2,R258="")),"Source missing for a 2",""),IF(F258="","No owner",IF(COUNTIFS(R_TeamName,F258,R_TeamActive,"No")&gt;0,"Needs new owner","")),IF(AND(V258="Yes",X258&lt;&gt;"",X258&lt;S_SemStart),"Path overdue",""),IF(AND(S258&lt;&gt;"",S258&lt;S_Today-365),"Stale research",""),IF(AND(AE258="Research",COUNTIF('Commercial Evidence'!$A$3:$A$502,$A258)=0),"Add commercial evidence","")))</f>
        <v/>
      </c>
      <c r="AI258" s="34" t="str">
        <f aca="false">IF(OR($A258="",Z258="Yes"),"",IF(AND(AE258="Priority",AG258=0,COUNTIFS(Opportunities!$A$3:$A$502,$A258,Opportunities!$Y$3:$Y$502,"Renewal due")=0),600000+(10-AC258)*1000+(4-AD258)*100+ROW()/100000,IF(V258="Yes",700000+IF(X258="",0,X258-40000)/10+ROW()/100000,IF(AND(AE258="Quick Win",U258&lt;&gt;"",AG258=0),800000+(10-AC258)*1000+ROW()/100000,IF(AND(AE258="Build a Path",COUNTIF($V$3:$V$502,"Yes")&lt;S_PathCap),900000+(10-AC258)*1000+(4-AD258)*100+ROW()/100000,"")))))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8"/>
      <c r="T259" s="27"/>
      <c r="U259" s="27"/>
      <c r="V259" s="27"/>
      <c r="W259" s="27"/>
      <c r="X259" s="28"/>
      <c r="Y259" s="27"/>
      <c r="Z259" s="27"/>
      <c r="AA259" s="27"/>
      <c r="AB259" s="32" t="str">
        <f aca="false">IF($A259="","",IF(COUNTIF('Commercial Evidence'!$A$3:$A$502,$A259)=0,"",IF(COUNTIFS('Commercial Evidence'!$A$3:$A$502,$A259,'Commercial Evidence'!$B$3:$B$502,"Previous CBS Talks spend")+COUNTIFS('Commercial Evidence'!$A$3:$A$502,$A259,'Commercial Evidence'!$B$3:$B$502,"Sponsors student organisations")&gt;0,2,IF(COUNTIFS('Commercial Evidence'!$A$3:$A$502,$A259,'Commercial Evidence'!$B$3:$B$502,"Sponsors university activities")+COUNTIFS('Commercial Evidence'!$A$3:$A$502,$A259,'Commercial Evidence'!$B$3:$B$502,"Sponsors similar events")+COUNTIFS('Commercial Evidence'!$A$3:$A$502,$A259,'Commercial Evidence'!$B$3:$B$502,"Previous CBS Talks partner")&gt;0,1,0))))</f>
        <v/>
      </c>
      <c r="AC259" s="32" t="str">
        <f aca="false">IF($A259="","",IF(COUNT(G259,J259,M259,P259,AB259)&lt;5,"",G259+J259+M259+P259+AB259))</f>
        <v/>
      </c>
      <c r="AD259" s="32" t="str">
        <f aca="false">IF($A259="","",IF(COUNTIFS(Contacts!$A$3:$A$502,$A259,Contacts!$E$3:$E$502,"Champion",Contacts!$K$3:$K$502,"&lt;&gt;Yes",Contacts!$L$3:$L$502,"&lt;&gt;Yes")+COUNTIFS(Opportunities!$A$3:$A$502,$A259,Opportunities!$C$3:$C$502,"Won",Opportunities!$Q$3:$Q$502,"Satisfied")&gt;0,4,IF(COUNTIFS(Interactions!$B$3:$B$502,$A259,Interactions!$I$3:$I$502,"Yes",Interactions!$A$3:$A$502,"&gt;="&amp;(S_Today-S_WarmDays))&gt;0,3,IF(T259&lt;&gt;"",2,IF(COUNTIFS(Contacts!$A$3:$A$502,$A259,Contacts!$M$3:$M$502,"Yes",Contacts!$K$3:$K$502,"&lt;&gt;Yes",Contacts!$L$3:$L$502,"&lt;&gt;Yes")&gt;0,1,0)))))</f>
        <v/>
      </c>
      <c r="AE259" s="32" t="str">
        <f aca="false">IF($A259="","",IF(Z259="Yes","Do not contact",IF(AC259="","Research",IF(AND(AC259&gt;=S_FitHigh,AD259&gt;=S_AccessHigh),"Priority",IF(AC259&gt;=S_FitHigh,"Build a Path",IF(AD259&gt;=S_AccessHigh,"Quick Win","Low Priority"))))))</f>
        <v/>
      </c>
      <c r="AF259" s="33" t="str">
        <f aca="false">IF($A259="","",IF(_xlfn.MAXIFS(Interactions!$A$3:$A$502,Interactions!$B$3:$B$502,$A259)=0,"",_xlfn.MAXIFS(Interactions!$A$3:$A$502,Interactions!$B$3:$B$502,$A259)))</f>
        <v/>
      </c>
      <c r="AG259" s="32" t="str">
        <f aca="false">IF($A259="","",COUNTIFS(Opportunities!$A$3:$A$502,$A259,Opportunities!$X$3:$X$502,"Yes"))</f>
        <v/>
      </c>
      <c r="AH259" s="32" t="str">
        <f aca="false">IF($A259="","",_xlfn.TEXTJOIN(", ",TRUE(),IF(COUNTIF($A$3:$A$502,$A259)&gt;1,"Duplicate name",""),IF(OR(AND(G259=2,I259=""),AND(J259=2,L259=""),AND(M259=2,O259=""),AND(P259=2,R259="")),"Source missing for a 2",""),IF(F259="","No owner",IF(COUNTIFS(R_TeamName,F259,R_TeamActive,"No")&gt;0,"Needs new owner","")),IF(AND(V259="Yes",X259&lt;&gt;"",X259&lt;S_SemStart),"Path overdue",""),IF(AND(S259&lt;&gt;"",S259&lt;S_Today-365),"Stale research",""),IF(AND(AE259="Research",COUNTIF('Commercial Evidence'!$A$3:$A$502,$A259)=0),"Add commercial evidence","")))</f>
        <v/>
      </c>
      <c r="AI259" s="34" t="str">
        <f aca="false">IF(OR($A259="",Z259="Yes"),"",IF(AND(AE259="Priority",AG259=0,COUNTIFS(Opportunities!$A$3:$A$502,$A259,Opportunities!$Y$3:$Y$502,"Renewal due")=0),600000+(10-AC259)*1000+(4-AD259)*100+ROW()/100000,IF(V259="Yes",700000+IF(X259="",0,X259-40000)/10+ROW()/100000,IF(AND(AE259="Quick Win",U259&lt;&gt;"",AG259=0),800000+(10-AC259)*1000+ROW()/100000,IF(AND(AE259="Build a Path",COUNTIF($V$3:$V$502,"Yes")&lt;S_PathCap),900000+(10-AC259)*1000+(4-AD259)*100+ROW()/100000,"")))))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8"/>
      <c r="T260" s="27"/>
      <c r="U260" s="27"/>
      <c r="V260" s="27"/>
      <c r="W260" s="27"/>
      <c r="X260" s="28"/>
      <c r="Y260" s="27"/>
      <c r="Z260" s="27"/>
      <c r="AA260" s="27"/>
      <c r="AB260" s="32" t="str">
        <f aca="false">IF($A260="","",IF(COUNTIF('Commercial Evidence'!$A$3:$A$502,$A260)=0,"",IF(COUNTIFS('Commercial Evidence'!$A$3:$A$502,$A260,'Commercial Evidence'!$B$3:$B$502,"Previous CBS Talks spend")+COUNTIFS('Commercial Evidence'!$A$3:$A$502,$A260,'Commercial Evidence'!$B$3:$B$502,"Sponsors student organisations")&gt;0,2,IF(COUNTIFS('Commercial Evidence'!$A$3:$A$502,$A260,'Commercial Evidence'!$B$3:$B$502,"Sponsors university activities")+COUNTIFS('Commercial Evidence'!$A$3:$A$502,$A260,'Commercial Evidence'!$B$3:$B$502,"Sponsors similar events")+COUNTIFS('Commercial Evidence'!$A$3:$A$502,$A260,'Commercial Evidence'!$B$3:$B$502,"Previous CBS Talks partner")&gt;0,1,0))))</f>
        <v/>
      </c>
      <c r="AC260" s="32" t="str">
        <f aca="false">IF($A260="","",IF(COUNT(G260,J260,M260,P260,AB260)&lt;5,"",G260+J260+M260+P260+AB260))</f>
        <v/>
      </c>
      <c r="AD260" s="32" t="str">
        <f aca="false">IF($A260="","",IF(COUNTIFS(Contacts!$A$3:$A$502,$A260,Contacts!$E$3:$E$502,"Champion",Contacts!$K$3:$K$502,"&lt;&gt;Yes",Contacts!$L$3:$L$502,"&lt;&gt;Yes")+COUNTIFS(Opportunities!$A$3:$A$502,$A260,Opportunities!$C$3:$C$502,"Won",Opportunities!$Q$3:$Q$502,"Satisfied")&gt;0,4,IF(COUNTIFS(Interactions!$B$3:$B$502,$A260,Interactions!$I$3:$I$502,"Yes",Interactions!$A$3:$A$502,"&gt;="&amp;(S_Today-S_WarmDays))&gt;0,3,IF(T260&lt;&gt;"",2,IF(COUNTIFS(Contacts!$A$3:$A$502,$A260,Contacts!$M$3:$M$502,"Yes",Contacts!$K$3:$K$502,"&lt;&gt;Yes",Contacts!$L$3:$L$502,"&lt;&gt;Yes")&gt;0,1,0)))))</f>
        <v/>
      </c>
      <c r="AE260" s="32" t="str">
        <f aca="false">IF($A260="","",IF(Z260="Yes","Do not contact",IF(AC260="","Research",IF(AND(AC260&gt;=S_FitHigh,AD260&gt;=S_AccessHigh),"Priority",IF(AC260&gt;=S_FitHigh,"Build a Path",IF(AD260&gt;=S_AccessHigh,"Quick Win","Low Priority"))))))</f>
        <v/>
      </c>
      <c r="AF260" s="33" t="str">
        <f aca="false">IF($A260="","",IF(_xlfn.MAXIFS(Interactions!$A$3:$A$502,Interactions!$B$3:$B$502,$A260)=0,"",_xlfn.MAXIFS(Interactions!$A$3:$A$502,Interactions!$B$3:$B$502,$A260)))</f>
        <v/>
      </c>
      <c r="AG260" s="32" t="str">
        <f aca="false">IF($A260="","",COUNTIFS(Opportunities!$A$3:$A$502,$A260,Opportunities!$X$3:$X$502,"Yes"))</f>
        <v/>
      </c>
      <c r="AH260" s="32" t="str">
        <f aca="false">IF($A260="","",_xlfn.TEXTJOIN(", ",TRUE(),IF(COUNTIF($A$3:$A$502,$A260)&gt;1,"Duplicate name",""),IF(OR(AND(G260=2,I260=""),AND(J260=2,L260=""),AND(M260=2,O260=""),AND(P260=2,R260="")),"Source missing for a 2",""),IF(F260="","No owner",IF(COUNTIFS(R_TeamName,F260,R_TeamActive,"No")&gt;0,"Needs new owner","")),IF(AND(V260="Yes",X260&lt;&gt;"",X260&lt;S_SemStart),"Path overdue",""),IF(AND(S260&lt;&gt;"",S260&lt;S_Today-365),"Stale research",""),IF(AND(AE260="Research",COUNTIF('Commercial Evidence'!$A$3:$A$502,$A260)=0),"Add commercial evidence","")))</f>
        <v/>
      </c>
      <c r="AI260" s="34" t="str">
        <f aca="false">IF(OR($A260="",Z260="Yes"),"",IF(AND(AE260="Priority",AG260=0,COUNTIFS(Opportunities!$A$3:$A$502,$A260,Opportunities!$Y$3:$Y$502,"Renewal due")=0),600000+(10-AC260)*1000+(4-AD260)*100+ROW()/100000,IF(V260="Yes",700000+IF(X260="",0,X260-40000)/10+ROW()/100000,IF(AND(AE260="Quick Win",U260&lt;&gt;"",AG260=0),800000+(10-AC260)*1000+ROW()/100000,IF(AND(AE260="Build a Path",COUNTIF($V$3:$V$502,"Yes")&lt;S_PathCap),900000+(10-AC260)*1000+(4-AD260)*100+ROW()/100000,"")))))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8"/>
      <c r="T261" s="27"/>
      <c r="U261" s="27"/>
      <c r="V261" s="27"/>
      <c r="W261" s="27"/>
      <c r="X261" s="28"/>
      <c r="Y261" s="27"/>
      <c r="Z261" s="27"/>
      <c r="AA261" s="27"/>
      <c r="AB261" s="32" t="str">
        <f aca="false">IF($A261="","",IF(COUNTIF('Commercial Evidence'!$A$3:$A$502,$A261)=0,"",IF(COUNTIFS('Commercial Evidence'!$A$3:$A$502,$A261,'Commercial Evidence'!$B$3:$B$502,"Previous CBS Talks spend")+COUNTIFS('Commercial Evidence'!$A$3:$A$502,$A261,'Commercial Evidence'!$B$3:$B$502,"Sponsors student organisations")&gt;0,2,IF(COUNTIFS('Commercial Evidence'!$A$3:$A$502,$A261,'Commercial Evidence'!$B$3:$B$502,"Sponsors university activities")+COUNTIFS('Commercial Evidence'!$A$3:$A$502,$A261,'Commercial Evidence'!$B$3:$B$502,"Sponsors similar events")+COUNTIFS('Commercial Evidence'!$A$3:$A$502,$A261,'Commercial Evidence'!$B$3:$B$502,"Previous CBS Talks partner")&gt;0,1,0))))</f>
        <v/>
      </c>
      <c r="AC261" s="32" t="str">
        <f aca="false">IF($A261="","",IF(COUNT(G261,J261,M261,P261,AB261)&lt;5,"",G261+J261+M261+P261+AB261))</f>
        <v/>
      </c>
      <c r="AD261" s="32" t="str">
        <f aca="false">IF($A261="","",IF(COUNTIFS(Contacts!$A$3:$A$502,$A261,Contacts!$E$3:$E$502,"Champion",Contacts!$K$3:$K$502,"&lt;&gt;Yes",Contacts!$L$3:$L$502,"&lt;&gt;Yes")+COUNTIFS(Opportunities!$A$3:$A$502,$A261,Opportunities!$C$3:$C$502,"Won",Opportunities!$Q$3:$Q$502,"Satisfied")&gt;0,4,IF(COUNTIFS(Interactions!$B$3:$B$502,$A261,Interactions!$I$3:$I$502,"Yes",Interactions!$A$3:$A$502,"&gt;="&amp;(S_Today-S_WarmDays))&gt;0,3,IF(T261&lt;&gt;"",2,IF(COUNTIFS(Contacts!$A$3:$A$502,$A261,Contacts!$M$3:$M$502,"Yes",Contacts!$K$3:$K$502,"&lt;&gt;Yes",Contacts!$L$3:$L$502,"&lt;&gt;Yes")&gt;0,1,0)))))</f>
        <v/>
      </c>
      <c r="AE261" s="32" t="str">
        <f aca="false">IF($A261="","",IF(Z261="Yes","Do not contact",IF(AC261="","Research",IF(AND(AC261&gt;=S_FitHigh,AD261&gt;=S_AccessHigh),"Priority",IF(AC261&gt;=S_FitHigh,"Build a Path",IF(AD261&gt;=S_AccessHigh,"Quick Win","Low Priority"))))))</f>
        <v/>
      </c>
      <c r="AF261" s="33" t="str">
        <f aca="false">IF($A261="","",IF(_xlfn.MAXIFS(Interactions!$A$3:$A$502,Interactions!$B$3:$B$502,$A261)=0,"",_xlfn.MAXIFS(Interactions!$A$3:$A$502,Interactions!$B$3:$B$502,$A261)))</f>
        <v/>
      </c>
      <c r="AG261" s="32" t="str">
        <f aca="false">IF($A261="","",COUNTIFS(Opportunities!$A$3:$A$502,$A261,Opportunities!$X$3:$X$502,"Yes"))</f>
        <v/>
      </c>
      <c r="AH261" s="32" t="str">
        <f aca="false">IF($A261="","",_xlfn.TEXTJOIN(", ",TRUE(),IF(COUNTIF($A$3:$A$502,$A261)&gt;1,"Duplicate name",""),IF(OR(AND(G261=2,I261=""),AND(J261=2,L261=""),AND(M261=2,O261=""),AND(P261=2,R261="")),"Source missing for a 2",""),IF(F261="","No owner",IF(COUNTIFS(R_TeamName,F261,R_TeamActive,"No")&gt;0,"Needs new owner","")),IF(AND(V261="Yes",X261&lt;&gt;"",X261&lt;S_SemStart),"Path overdue",""),IF(AND(S261&lt;&gt;"",S261&lt;S_Today-365),"Stale research",""),IF(AND(AE261="Research",COUNTIF('Commercial Evidence'!$A$3:$A$502,$A261)=0),"Add commercial evidence","")))</f>
        <v/>
      </c>
      <c r="AI261" s="34" t="str">
        <f aca="false">IF(OR($A261="",Z261="Yes"),"",IF(AND(AE261="Priority",AG261=0,COUNTIFS(Opportunities!$A$3:$A$502,$A261,Opportunities!$Y$3:$Y$502,"Renewal due")=0),600000+(10-AC261)*1000+(4-AD261)*100+ROW()/100000,IF(V261="Yes",700000+IF(X261="",0,X261-40000)/10+ROW()/100000,IF(AND(AE261="Quick Win",U261&lt;&gt;"",AG261=0),800000+(10-AC261)*1000+ROW()/100000,IF(AND(AE261="Build a Path",COUNTIF($V$3:$V$502,"Yes")&lt;S_PathCap),900000+(10-AC261)*1000+(4-AD261)*100+ROW()/100000,"")))))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8"/>
      <c r="T262" s="27"/>
      <c r="U262" s="27"/>
      <c r="V262" s="27"/>
      <c r="W262" s="27"/>
      <c r="X262" s="28"/>
      <c r="Y262" s="27"/>
      <c r="Z262" s="27"/>
      <c r="AA262" s="27"/>
      <c r="AB262" s="32" t="str">
        <f aca="false">IF($A262="","",IF(COUNTIF('Commercial Evidence'!$A$3:$A$502,$A262)=0,"",IF(COUNTIFS('Commercial Evidence'!$A$3:$A$502,$A262,'Commercial Evidence'!$B$3:$B$502,"Previous CBS Talks spend")+COUNTIFS('Commercial Evidence'!$A$3:$A$502,$A262,'Commercial Evidence'!$B$3:$B$502,"Sponsors student organisations")&gt;0,2,IF(COUNTIFS('Commercial Evidence'!$A$3:$A$502,$A262,'Commercial Evidence'!$B$3:$B$502,"Sponsors university activities")+COUNTIFS('Commercial Evidence'!$A$3:$A$502,$A262,'Commercial Evidence'!$B$3:$B$502,"Sponsors similar events")+COUNTIFS('Commercial Evidence'!$A$3:$A$502,$A262,'Commercial Evidence'!$B$3:$B$502,"Previous CBS Talks partner")&gt;0,1,0))))</f>
        <v/>
      </c>
      <c r="AC262" s="32" t="str">
        <f aca="false">IF($A262="","",IF(COUNT(G262,J262,M262,P262,AB262)&lt;5,"",G262+J262+M262+P262+AB262))</f>
        <v/>
      </c>
      <c r="AD262" s="32" t="str">
        <f aca="false">IF($A262="","",IF(COUNTIFS(Contacts!$A$3:$A$502,$A262,Contacts!$E$3:$E$502,"Champion",Contacts!$K$3:$K$502,"&lt;&gt;Yes",Contacts!$L$3:$L$502,"&lt;&gt;Yes")+COUNTIFS(Opportunities!$A$3:$A$502,$A262,Opportunities!$C$3:$C$502,"Won",Opportunities!$Q$3:$Q$502,"Satisfied")&gt;0,4,IF(COUNTIFS(Interactions!$B$3:$B$502,$A262,Interactions!$I$3:$I$502,"Yes",Interactions!$A$3:$A$502,"&gt;="&amp;(S_Today-S_WarmDays))&gt;0,3,IF(T262&lt;&gt;"",2,IF(COUNTIFS(Contacts!$A$3:$A$502,$A262,Contacts!$M$3:$M$502,"Yes",Contacts!$K$3:$K$502,"&lt;&gt;Yes",Contacts!$L$3:$L$502,"&lt;&gt;Yes")&gt;0,1,0)))))</f>
        <v/>
      </c>
      <c r="AE262" s="32" t="str">
        <f aca="false">IF($A262="","",IF(Z262="Yes","Do not contact",IF(AC262="","Research",IF(AND(AC262&gt;=S_FitHigh,AD262&gt;=S_AccessHigh),"Priority",IF(AC262&gt;=S_FitHigh,"Build a Path",IF(AD262&gt;=S_AccessHigh,"Quick Win","Low Priority"))))))</f>
        <v/>
      </c>
      <c r="AF262" s="33" t="str">
        <f aca="false">IF($A262="","",IF(_xlfn.MAXIFS(Interactions!$A$3:$A$502,Interactions!$B$3:$B$502,$A262)=0,"",_xlfn.MAXIFS(Interactions!$A$3:$A$502,Interactions!$B$3:$B$502,$A262)))</f>
        <v/>
      </c>
      <c r="AG262" s="32" t="str">
        <f aca="false">IF($A262="","",COUNTIFS(Opportunities!$A$3:$A$502,$A262,Opportunities!$X$3:$X$502,"Yes"))</f>
        <v/>
      </c>
      <c r="AH262" s="32" t="str">
        <f aca="false">IF($A262="","",_xlfn.TEXTJOIN(", ",TRUE(),IF(COUNTIF($A$3:$A$502,$A262)&gt;1,"Duplicate name",""),IF(OR(AND(G262=2,I262=""),AND(J262=2,L262=""),AND(M262=2,O262=""),AND(P262=2,R262="")),"Source missing for a 2",""),IF(F262="","No owner",IF(COUNTIFS(R_TeamName,F262,R_TeamActive,"No")&gt;0,"Needs new owner","")),IF(AND(V262="Yes",X262&lt;&gt;"",X262&lt;S_SemStart),"Path overdue",""),IF(AND(S262&lt;&gt;"",S262&lt;S_Today-365),"Stale research",""),IF(AND(AE262="Research",COUNTIF('Commercial Evidence'!$A$3:$A$502,$A262)=0),"Add commercial evidence","")))</f>
        <v/>
      </c>
      <c r="AI262" s="34" t="str">
        <f aca="false">IF(OR($A262="",Z262="Yes"),"",IF(AND(AE262="Priority",AG262=0,COUNTIFS(Opportunities!$A$3:$A$502,$A262,Opportunities!$Y$3:$Y$502,"Renewal due")=0),600000+(10-AC262)*1000+(4-AD262)*100+ROW()/100000,IF(V262="Yes",700000+IF(X262="",0,X262-40000)/10+ROW()/100000,IF(AND(AE262="Quick Win",U262&lt;&gt;"",AG262=0),800000+(10-AC262)*1000+ROW()/100000,IF(AND(AE262="Build a Path",COUNTIF($V$3:$V$502,"Yes")&lt;S_PathCap),900000+(10-AC262)*1000+(4-AD262)*100+ROW()/100000,"")))))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8"/>
      <c r="T263" s="27"/>
      <c r="U263" s="27"/>
      <c r="V263" s="27"/>
      <c r="W263" s="27"/>
      <c r="X263" s="28"/>
      <c r="Y263" s="27"/>
      <c r="Z263" s="27"/>
      <c r="AA263" s="27"/>
      <c r="AB263" s="32" t="str">
        <f aca="false">IF($A263="","",IF(COUNTIF('Commercial Evidence'!$A$3:$A$502,$A263)=0,"",IF(COUNTIFS('Commercial Evidence'!$A$3:$A$502,$A263,'Commercial Evidence'!$B$3:$B$502,"Previous CBS Talks spend")+COUNTIFS('Commercial Evidence'!$A$3:$A$502,$A263,'Commercial Evidence'!$B$3:$B$502,"Sponsors student organisations")&gt;0,2,IF(COUNTIFS('Commercial Evidence'!$A$3:$A$502,$A263,'Commercial Evidence'!$B$3:$B$502,"Sponsors university activities")+COUNTIFS('Commercial Evidence'!$A$3:$A$502,$A263,'Commercial Evidence'!$B$3:$B$502,"Sponsors similar events")+COUNTIFS('Commercial Evidence'!$A$3:$A$502,$A263,'Commercial Evidence'!$B$3:$B$502,"Previous CBS Talks partner")&gt;0,1,0))))</f>
        <v/>
      </c>
      <c r="AC263" s="32" t="str">
        <f aca="false">IF($A263="","",IF(COUNT(G263,J263,M263,P263,AB263)&lt;5,"",G263+J263+M263+P263+AB263))</f>
        <v/>
      </c>
      <c r="AD263" s="32" t="str">
        <f aca="false">IF($A263="","",IF(COUNTIFS(Contacts!$A$3:$A$502,$A263,Contacts!$E$3:$E$502,"Champion",Contacts!$K$3:$K$502,"&lt;&gt;Yes",Contacts!$L$3:$L$502,"&lt;&gt;Yes")+COUNTIFS(Opportunities!$A$3:$A$502,$A263,Opportunities!$C$3:$C$502,"Won",Opportunities!$Q$3:$Q$502,"Satisfied")&gt;0,4,IF(COUNTIFS(Interactions!$B$3:$B$502,$A263,Interactions!$I$3:$I$502,"Yes",Interactions!$A$3:$A$502,"&gt;="&amp;(S_Today-S_WarmDays))&gt;0,3,IF(T263&lt;&gt;"",2,IF(COUNTIFS(Contacts!$A$3:$A$502,$A263,Contacts!$M$3:$M$502,"Yes",Contacts!$K$3:$K$502,"&lt;&gt;Yes",Contacts!$L$3:$L$502,"&lt;&gt;Yes")&gt;0,1,0)))))</f>
        <v/>
      </c>
      <c r="AE263" s="32" t="str">
        <f aca="false">IF($A263="","",IF(Z263="Yes","Do not contact",IF(AC263="","Research",IF(AND(AC263&gt;=S_FitHigh,AD263&gt;=S_AccessHigh),"Priority",IF(AC263&gt;=S_FitHigh,"Build a Path",IF(AD263&gt;=S_AccessHigh,"Quick Win","Low Priority"))))))</f>
        <v/>
      </c>
      <c r="AF263" s="33" t="str">
        <f aca="false">IF($A263="","",IF(_xlfn.MAXIFS(Interactions!$A$3:$A$502,Interactions!$B$3:$B$502,$A263)=0,"",_xlfn.MAXIFS(Interactions!$A$3:$A$502,Interactions!$B$3:$B$502,$A263)))</f>
        <v/>
      </c>
      <c r="AG263" s="32" t="str">
        <f aca="false">IF($A263="","",COUNTIFS(Opportunities!$A$3:$A$502,$A263,Opportunities!$X$3:$X$502,"Yes"))</f>
        <v/>
      </c>
      <c r="AH263" s="32" t="str">
        <f aca="false">IF($A263="","",_xlfn.TEXTJOIN(", ",TRUE(),IF(COUNTIF($A$3:$A$502,$A263)&gt;1,"Duplicate name",""),IF(OR(AND(G263=2,I263=""),AND(J263=2,L263=""),AND(M263=2,O263=""),AND(P263=2,R263="")),"Source missing for a 2",""),IF(F263="","No owner",IF(COUNTIFS(R_TeamName,F263,R_TeamActive,"No")&gt;0,"Needs new owner","")),IF(AND(V263="Yes",X263&lt;&gt;"",X263&lt;S_SemStart),"Path overdue",""),IF(AND(S263&lt;&gt;"",S263&lt;S_Today-365),"Stale research",""),IF(AND(AE263="Research",COUNTIF('Commercial Evidence'!$A$3:$A$502,$A263)=0),"Add commercial evidence","")))</f>
        <v/>
      </c>
      <c r="AI263" s="34" t="str">
        <f aca="false">IF(OR($A263="",Z263="Yes"),"",IF(AND(AE263="Priority",AG263=0,COUNTIFS(Opportunities!$A$3:$A$502,$A263,Opportunities!$Y$3:$Y$502,"Renewal due")=0),600000+(10-AC263)*1000+(4-AD263)*100+ROW()/100000,IF(V263="Yes",700000+IF(X263="",0,X263-40000)/10+ROW()/100000,IF(AND(AE263="Quick Win",U263&lt;&gt;"",AG263=0),800000+(10-AC263)*1000+ROW()/100000,IF(AND(AE263="Build a Path",COUNTIF($V$3:$V$502,"Yes")&lt;S_PathCap),900000+(10-AC263)*1000+(4-AD263)*100+ROW()/100000,"")))))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8"/>
      <c r="T264" s="27"/>
      <c r="U264" s="27"/>
      <c r="V264" s="27"/>
      <c r="W264" s="27"/>
      <c r="X264" s="28"/>
      <c r="Y264" s="27"/>
      <c r="Z264" s="27"/>
      <c r="AA264" s="27"/>
      <c r="AB264" s="32" t="str">
        <f aca="false">IF($A264="","",IF(COUNTIF('Commercial Evidence'!$A$3:$A$502,$A264)=0,"",IF(COUNTIFS('Commercial Evidence'!$A$3:$A$502,$A264,'Commercial Evidence'!$B$3:$B$502,"Previous CBS Talks spend")+COUNTIFS('Commercial Evidence'!$A$3:$A$502,$A264,'Commercial Evidence'!$B$3:$B$502,"Sponsors student organisations")&gt;0,2,IF(COUNTIFS('Commercial Evidence'!$A$3:$A$502,$A264,'Commercial Evidence'!$B$3:$B$502,"Sponsors university activities")+COUNTIFS('Commercial Evidence'!$A$3:$A$502,$A264,'Commercial Evidence'!$B$3:$B$502,"Sponsors similar events")+COUNTIFS('Commercial Evidence'!$A$3:$A$502,$A264,'Commercial Evidence'!$B$3:$B$502,"Previous CBS Talks partner")&gt;0,1,0))))</f>
        <v/>
      </c>
      <c r="AC264" s="32" t="str">
        <f aca="false">IF($A264="","",IF(COUNT(G264,J264,M264,P264,AB264)&lt;5,"",G264+J264+M264+P264+AB264))</f>
        <v/>
      </c>
      <c r="AD264" s="32" t="str">
        <f aca="false">IF($A264="","",IF(COUNTIFS(Contacts!$A$3:$A$502,$A264,Contacts!$E$3:$E$502,"Champion",Contacts!$K$3:$K$502,"&lt;&gt;Yes",Contacts!$L$3:$L$502,"&lt;&gt;Yes")+COUNTIFS(Opportunities!$A$3:$A$502,$A264,Opportunities!$C$3:$C$502,"Won",Opportunities!$Q$3:$Q$502,"Satisfied")&gt;0,4,IF(COUNTIFS(Interactions!$B$3:$B$502,$A264,Interactions!$I$3:$I$502,"Yes",Interactions!$A$3:$A$502,"&gt;="&amp;(S_Today-S_WarmDays))&gt;0,3,IF(T264&lt;&gt;"",2,IF(COUNTIFS(Contacts!$A$3:$A$502,$A264,Contacts!$M$3:$M$502,"Yes",Contacts!$K$3:$K$502,"&lt;&gt;Yes",Contacts!$L$3:$L$502,"&lt;&gt;Yes")&gt;0,1,0)))))</f>
        <v/>
      </c>
      <c r="AE264" s="32" t="str">
        <f aca="false">IF($A264="","",IF(Z264="Yes","Do not contact",IF(AC264="","Research",IF(AND(AC264&gt;=S_FitHigh,AD264&gt;=S_AccessHigh),"Priority",IF(AC264&gt;=S_FitHigh,"Build a Path",IF(AD264&gt;=S_AccessHigh,"Quick Win","Low Priority"))))))</f>
        <v/>
      </c>
      <c r="AF264" s="33" t="str">
        <f aca="false">IF($A264="","",IF(_xlfn.MAXIFS(Interactions!$A$3:$A$502,Interactions!$B$3:$B$502,$A264)=0,"",_xlfn.MAXIFS(Interactions!$A$3:$A$502,Interactions!$B$3:$B$502,$A264)))</f>
        <v/>
      </c>
      <c r="AG264" s="32" t="str">
        <f aca="false">IF($A264="","",COUNTIFS(Opportunities!$A$3:$A$502,$A264,Opportunities!$X$3:$X$502,"Yes"))</f>
        <v/>
      </c>
      <c r="AH264" s="32" t="str">
        <f aca="false">IF($A264="","",_xlfn.TEXTJOIN(", ",TRUE(),IF(COUNTIF($A$3:$A$502,$A264)&gt;1,"Duplicate name",""),IF(OR(AND(G264=2,I264=""),AND(J264=2,L264=""),AND(M264=2,O264=""),AND(P264=2,R264="")),"Source missing for a 2",""),IF(F264="","No owner",IF(COUNTIFS(R_TeamName,F264,R_TeamActive,"No")&gt;0,"Needs new owner","")),IF(AND(V264="Yes",X264&lt;&gt;"",X264&lt;S_SemStart),"Path overdue",""),IF(AND(S264&lt;&gt;"",S264&lt;S_Today-365),"Stale research",""),IF(AND(AE264="Research",COUNTIF('Commercial Evidence'!$A$3:$A$502,$A264)=0),"Add commercial evidence","")))</f>
        <v/>
      </c>
      <c r="AI264" s="34" t="str">
        <f aca="false">IF(OR($A264="",Z264="Yes"),"",IF(AND(AE264="Priority",AG264=0,COUNTIFS(Opportunities!$A$3:$A$502,$A264,Opportunities!$Y$3:$Y$502,"Renewal due")=0),600000+(10-AC264)*1000+(4-AD264)*100+ROW()/100000,IF(V264="Yes",700000+IF(X264="",0,X264-40000)/10+ROW()/100000,IF(AND(AE264="Quick Win",U264&lt;&gt;"",AG264=0),800000+(10-AC264)*1000+ROW()/100000,IF(AND(AE264="Build a Path",COUNTIF($V$3:$V$502,"Yes")&lt;S_PathCap),900000+(10-AC264)*1000+(4-AD264)*100+ROW()/100000,"")))))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8"/>
      <c r="T265" s="27"/>
      <c r="U265" s="27"/>
      <c r="V265" s="27"/>
      <c r="W265" s="27"/>
      <c r="X265" s="28"/>
      <c r="Y265" s="27"/>
      <c r="Z265" s="27"/>
      <c r="AA265" s="27"/>
      <c r="AB265" s="32" t="str">
        <f aca="false">IF($A265="","",IF(COUNTIF('Commercial Evidence'!$A$3:$A$502,$A265)=0,"",IF(COUNTIFS('Commercial Evidence'!$A$3:$A$502,$A265,'Commercial Evidence'!$B$3:$B$502,"Previous CBS Talks spend")+COUNTIFS('Commercial Evidence'!$A$3:$A$502,$A265,'Commercial Evidence'!$B$3:$B$502,"Sponsors student organisations")&gt;0,2,IF(COUNTIFS('Commercial Evidence'!$A$3:$A$502,$A265,'Commercial Evidence'!$B$3:$B$502,"Sponsors university activities")+COUNTIFS('Commercial Evidence'!$A$3:$A$502,$A265,'Commercial Evidence'!$B$3:$B$502,"Sponsors similar events")+COUNTIFS('Commercial Evidence'!$A$3:$A$502,$A265,'Commercial Evidence'!$B$3:$B$502,"Previous CBS Talks partner")&gt;0,1,0))))</f>
        <v/>
      </c>
      <c r="AC265" s="32" t="str">
        <f aca="false">IF($A265="","",IF(COUNT(G265,J265,M265,P265,AB265)&lt;5,"",G265+J265+M265+P265+AB265))</f>
        <v/>
      </c>
      <c r="AD265" s="32" t="str">
        <f aca="false">IF($A265="","",IF(COUNTIFS(Contacts!$A$3:$A$502,$A265,Contacts!$E$3:$E$502,"Champion",Contacts!$K$3:$K$502,"&lt;&gt;Yes",Contacts!$L$3:$L$502,"&lt;&gt;Yes")+COUNTIFS(Opportunities!$A$3:$A$502,$A265,Opportunities!$C$3:$C$502,"Won",Opportunities!$Q$3:$Q$502,"Satisfied")&gt;0,4,IF(COUNTIFS(Interactions!$B$3:$B$502,$A265,Interactions!$I$3:$I$502,"Yes",Interactions!$A$3:$A$502,"&gt;="&amp;(S_Today-S_WarmDays))&gt;0,3,IF(T265&lt;&gt;"",2,IF(COUNTIFS(Contacts!$A$3:$A$502,$A265,Contacts!$M$3:$M$502,"Yes",Contacts!$K$3:$K$502,"&lt;&gt;Yes",Contacts!$L$3:$L$502,"&lt;&gt;Yes")&gt;0,1,0)))))</f>
        <v/>
      </c>
      <c r="AE265" s="32" t="str">
        <f aca="false">IF($A265="","",IF(Z265="Yes","Do not contact",IF(AC265="","Research",IF(AND(AC265&gt;=S_FitHigh,AD265&gt;=S_AccessHigh),"Priority",IF(AC265&gt;=S_FitHigh,"Build a Path",IF(AD265&gt;=S_AccessHigh,"Quick Win","Low Priority"))))))</f>
        <v/>
      </c>
      <c r="AF265" s="33" t="str">
        <f aca="false">IF($A265="","",IF(_xlfn.MAXIFS(Interactions!$A$3:$A$502,Interactions!$B$3:$B$502,$A265)=0,"",_xlfn.MAXIFS(Interactions!$A$3:$A$502,Interactions!$B$3:$B$502,$A265)))</f>
        <v/>
      </c>
      <c r="AG265" s="32" t="str">
        <f aca="false">IF($A265="","",COUNTIFS(Opportunities!$A$3:$A$502,$A265,Opportunities!$X$3:$X$502,"Yes"))</f>
        <v/>
      </c>
      <c r="AH265" s="32" t="str">
        <f aca="false">IF($A265="","",_xlfn.TEXTJOIN(", ",TRUE(),IF(COUNTIF($A$3:$A$502,$A265)&gt;1,"Duplicate name",""),IF(OR(AND(G265=2,I265=""),AND(J265=2,L265=""),AND(M265=2,O265=""),AND(P265=2,R265="")),"Source missing for a 2",""),IF(F265="","No owner",IF(COUNTIFS(R_TeamName,F265,R_TeamActive,"No")&gt;0,"Needs new owner","")),IF(AND(V265="Yes",X265&lt;&gt;"",X265&lt;S_SemStart),"Path overdue",""),IF(AND(S265&lt;&gt;"",S265&lt;S_Today-365),"Stale research",""),IF(AND(AE265="Research",COUNTIF('Commercial Evidence'!$A$3:$A$502,$A265)=0),"Add commercial evidence","")))</f>
        <v/>
      </c>
      <c r="AI265" s="34" t="str">
        <f aca="false">IF(OR($A265="",Z265="Yes"),"",IF(AND(AE265="Priority",AG265=0,COUNTIFS(Opportunities!$A$3:$A$502,$A265,Opportunities!$Y$3:$Y$502,"Renewal due")=0),600000+(10-AC265)*1000+(4-AD265)*100+ROW()/100000,IF(V265="Yes",700000+IF(X265="",0,X265-40000)/10+ROW()/100000,IF(AND(AE265="Quick Win",U265&lt;&gt;"",AG265=0),800000+(10-AC265)*1000+ROW()/100000,IF(AND(AE265="Build a Path",COUNTIF($V$3:$V$502,"Yes")&lt;S_PathCap),900000+(10-AC265)*1000+(4-AD265)*100+ROW()/100000,"")))))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8"/>
      <c r="T266" s="27"/>
      <c r="U266" s="27"/>
      <c r="V266" s="27"/>
      <c r="W266" s="27"/>
      <c r="X266" s="28"/>
      <c r="Y266" s="27"/>
      <c r="Z266" s="27"/>
      <c r="AA266" s="27"/>
      <c r="AB266" s="32" t="str">
        <f aca="false">IF($A266="","",IF(COUNTIF('Commercial Evidence'!$A$3:$A$502,$A266)=0,"",IF(COUNTIFS('Commercial Evidence'!$A$3:$A$502,$A266,'Commercial Evidence'!$B$3:$B$502,"Previous CBS Talks spend")+COUNTIFS('Commercial Evidence'!$A$3:$A$502,$A266,'Commercial Evidence'!$B$3:$B$502,"Sponsors student organisations")&gt;0,2,IF(COUNTIFS('Commercial Evidence'!$A$3:$A$502,$A266,'Commercial Evidence'!$B$3:$B$502,"Sponsors university activities")+COUNTIFS('Commercial Evidence'!$A$3:$A$502,$A266,'Commercial Evidence'!$B$3:$B$502,"Sponsors similar events")+COUNTIFS('Commercial Evidence'!$A$3:$A$502,$A266,'Commercial Evidence'!$B$3:$B$502,"Previous CBS Talks partner")&gt;0,1,0))))</f>
        <v/>
      </c>
      <c r="AC266" s="32" t="str">
        <f aca="false">IF($A266="","",IF(COUNT(G266,J266,M266,P266,AB266)&lt;5,"",G266+J266+M266+P266+AB266))</f>
        <v/>
      </c>
      <c r="AD266" s="32" t="str">
        <f aca="false">IF($A266="","",IF(COUNTIFS(Contacts!$A$3:$A$502,$A266,Contacts!$E$3:$E$502,"Champion",Contacts!$K$3:$K$502,"&lt;&gt;Yes",Contacts!$L$3:$L$502,"&lt;&gt;Yes")+COUNTIFS(Opportunities!$A$3:$A$502,$A266,Opportunities!$C$3:$C$502,"Won",Opportunities!$Q$3:$Q$502,"Satisfied")&gt;0,4,IF(COUNTIFS(Interactions!$B$3:$B$502,$A266,Interactions!$I$3:$I$502,"Yes",Interactions!$A$3:$A$502,"&gt;="&amp;(S_Today-S_WarmDays))&gt;0,3,IF(T266&lt;&gt;"",2,IF(COUNTIFS(Contacts!$A$3:$A$502,$A266,Contacts!$M$3:$M$502,"Yes",Contacts!$K$3:$K$502,"&lt;&gt;Yes",Contacts!$L$3:$L$502,"&lt;&gt;Yes")&gt;0,1,0)))))</f>
        <v/>
      </c>
      <c r="AE266" s="32" t="str">
        <f aca="false">IF($A266="","",IF(Z266="Yes","Do not contact",IF(AC266="","Research",IF(AND(AC266&gt;=S_FitHigh,AD266&gt;=S_AccessHigh),"Priority",IF(AC266&gt;=S_FitHigh,"Build a Path",IF(AD266&gt;=S_AccessHigh,"Quick Win","Low Priority"))))))</f>
        <v/>
      </c>
      <c r="AF266" s="33" t="str">
        <f aca="false">IF($A266="","",IF(_xlfn.MAXIFS(Interactions!$A$3:$A$502,Interactions!$B$3:$B$502,$A266)=0,"",_xlfn.MAXIFS(Interactions!$A$3:$A$502,Interactions!$B$3:$B$502,$A266)))</f>
        <v/>
      </c>
      <c r="AG266" s="32" t="str">
        <f aca="false">IF($A266="","",COUNTIFS(Opportunities!$A$3:$A$502,$A266,Opportunities!$X$3:$X$502,"Yes"))</f>
        <v/>
      </c>
      <c r="AH266" s="32" t="str">
        <f aca="false">IF($A266="","",_xlfn.TEXTJOIN(", ",TRUE(),IF(COUNTIF($A$3:$A$502,$A266)&gt;1,"Duplicate name",""),IF(OR(AND(G266=2,I266=""),AND(J266=2,L266=""),AND(M266=2,O266=""),AND(P266=2,R266="")),"Source missing for a 2",""),IF(F266="","No owner",IF(COUNTIFS(R_TeamName,F266,R_TeamActive,"No")&gt;0,"Needs new owner","")),IF(AND(V266="Yes",X266&lt;&gt;"",X266&lt;S_SemStart),"Path overdue",""),IF(AND(S266&lt;&gt;"",S266&lt;S_Today-365),"Stale research",""),IF(AND(AE266="Research",COUNTIF('Commercial Evidence'!$A$3:$A$502,$A266)=0),"Add commercial evidence","")))</f>
        <v/>
      </c>
      <c r="AI266" s="34" t="str">
        <f aca="false">IF(OR($A266="",Z266="Yes"),"",IF(AND(AE266="Priority",AG266=0,COUNTIFS(Opportunities!$A$3:$A$502,$A266,Opportunities!$Y$3:$Y$502,"Renewal due")=0),600000+(10-AC266)*1000+(4-AD266)*100+ROW()/100000,IF(V266="Yes",700000+IF(X266="",0,X266-40000)/10+ROW()/100000,IF(AND(AE266="Quick Win",U266&lt;&gt;"",AG266=0),800000+(10-AC266)*1000+ROW()/100000,IF(AND(AE266="Build a Path",COUNTIF($V$3:$V$502,"Yes")&lt;S_PathCap),900000+(10-AC266)*1000+(4-AD266)*100+ROW()/100000,"")))))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8"/>
      <c r="T267" s="27"/>
      <c r="U267" s="27"/>
      <c r="V267" s="27"/>
      <c r="W267" s="27"/>
      <c r="X267" s="28"/>
      <c r="Y267" s="27"/>
      <c r="Z267" s="27"/>
      <c r="AA267" s="27"/>
      <c r="AB267" s="32" t="str">
        <f aca="false">IF($A267="","",IF(COUNTIF('Commercial Evidence'!$A$3:$A$502,$A267)=0,"",IF(COUNTIFS('Commercial Evidence'!$A$3:$A$502,$A267,'Commercial Evidence'!$B$3:$B$502,"Previous CBS Talks spend")+COUNTIFS('Commercial Evidence'!$A$3:$A$502,$A267,'Commercial Evidence'!$B$3:$B$502,"Sponsors student organisations")&gt;0,2,IF(COUNTIFS('Commercial Evidence'!$A$3:$A$502,$A267,'Commercial Evidence'!$B$3:$B$502,"Sponsors university activities")+COUNTIFS('Commercial Evidence'!$A$3:$A$502,$A267,'Commercial Evidence'!$B$3:$B$502,"Sponsors similar events")+COUNTIFS('Commercial Evidence'!$A$3:$A$502,$A267,'Commercial Evidence'!$B$3:$B$502,"Previous CBS Talks partner")&gt;0,1,0))))</f>
        <v/>
      </c>
      <c r="AC267" s="32" t="str">
        <f aca="false">IF($A267="","",IF(COUNT(G267,J267,M267,P267,AB267)&lt;5,"",G267+J267+M267+P267+AB267))</f>
        <v/>
      </c>
      <c r="AD267" s="32" t="str">
        <f aca="false">IF($A267="","",IF(COUNTIFS(Contacts!$A$3:$A$502,$A267,Contacts!$E$3:$E$502,"Champion",Contacts!$K$3:$K$502,"&lt;&gt;Yes",Contacts!$L$3:$L$502,"&lt;&gt;Yes")+COUNTIFS(Opportunities!$A$3:$A$502,$A267,Opportunities!$C$3:$C$502,"Won",Opportunities!$Q$3:$Q$502,"Satisfied")&gt;0,4,IF(COUNTIFS(Interactions!$B$3:$B$502,$A267,Interactions!$I$3:$I$502,"Yes",Interactions!$A$3:$A$502,"&gt;="&amp;(S_Today-S_WarmDays))&gt;0,3,IF(T267&lt;&gt;"",2,IF(COUNTIFS(Contacts!$A$3:$A$502,$A267,Contacts!$M$3:$M$502,"Yes",Contacts!$K$3:$K$502,"&lt;&gt;Yes",Contacts!$L$3:$L$502,"&lt;&gt;Yes")&gt;0,1,0)))))</f>
        <v/>
      </c>
      <c r="AE267" s="32" t="str">
        <f aca="false">IF($A267="","",IF(Z267="Yes","Do not contact",IF(AC267="","Research",IF(AND(AC267&gt;=S_FitHigh,AD267&gt;=S_AccessHigh),"Priority",IF(AC267&gt;=S_FitHigh,"Build a Path",IF(AD267&gt;=S_AccessHigh,"Quick Win","Low Priority"))))))</f>
        <v/>
      </c>
      <c r="AF267" s="33" t="str">
        <f aca="false">IF($A267="","",IF(_xlfn.MAXIFS(Interactions!$A$3:$A$502,Interactions!$B$3:$B$502,$A267)=0,"",_xlfn.MAXIFS(Interactions!$A$3:$A$502,Interactions!$B$3:$B$502,$A267)))</f>
        <v/>
      </c>
      <c r="AG267" s="32" t="str">
        <f aca="false">IF($A267="","",COUNTIFS(Opportunities!$A$3:$A$502,$A267,Opportunities!$X$3:$X$502,"Yes"))</f>
        <v/>
      </c>
      <c r="AH267" s="32" t="str">
        <f aca="false">IF($A267="","",_xlfn.TEXTJOIN(", ",TRUE(),IF(COUNTIF($A$3:$A$502,$A267)&gt;1,"Duplicate name",""),IF(OR(AND(G267=2,I267=""),AND(J267=2,L267=""),AND(M267=2,O267=""),AND(P267=2,R267="")),"Source missing for a 2",""),IF(F267="","No owner",IF(COUNTIFS(R_TeamName,F267,R_TeamActive,"No")&gt;0,"Needs new owner","")),IF(AND(V267="Yes",X267&lt;&gt;"",X267&lt;S_SemStart),"Path overdue",""),IF(AND(S267&lt;&gt;"",S267&lt;S_Today-365),"Stale research",""),IF(AND(AE267="Research",COUNTIF('Commercial Evidence'!$A$3:$A$502,$A267)=0),"Add commercial evidence","")))</f>
        <v/>
      </c>
      <c r="AI267" s="34" t="str">
        <f aca="false">IF(OR($A267="",Z267="Yes"),"",IF(AND(AE267="Priority",AG267=0,COUNTIFS(Opportunities!$A$3:$A$502,$A267,Opportunities!$Y$3:$Y$502,"Renewal due")=0),600000+(10-AC267)*1000+(4-AD267)*100+ROW()/100000,IF(V267="Yes",700000+IF(X267="",0,X267-40000)/10+ROW()/100000,IF(AND(AE267="Quick Win",U267&lt;&gt;"",AG267=0),800000+(10-AC267)*1000+ROW()/100000,IF(AND(AE267="Build a Path",COUNTIF($V$3:$V$502,"Yes")&lt;S_PathCap),900000+(10-AC267)*1000+(4-AD267)*100+ROW()/100000,"")))))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8"/>
      <c r="T268" s="27"/>
      <c r="U268" s="27"/>
      <c r="V268" s="27"/>
      <c r="W268" s="27"/>
      <c r="X268" s="28"/>
      <c r="Y268" s="27"/>
      <c r="Z268" s="27"/>
      <c r="AA268" s="27"/>
      <c r="AB268" s="32" t="str">
        <f aca="false">IF($A268="","",IF(COUNTIF('Commercial Evidence'!$A$3:$A$502,$A268)=0,"",IF(COUNTIFS('Commercial Evidence'!$A$3:$A$502,$A268,'Commercial Evidence'!$B$3:$B$502,"Previous CBS Talks spend")+COUNTIFS('Commercial Evidence'!$A$3:$A$502,$A268,'Commercial Evidence'!$B$3:$B$502,"Sponsors student organisations")&gt;0,2,IF(COUNTIFS('Commercial Evidence'!$A$3:$A$502,$A268,'Commercial Evidence'!$B$3:$B$502,"Sponsors university activities")+COUNTIFS('Commercial Evidence'!$A$3:$A$502,$A268,'Commercial Evidence'!$B$3:$B$502,"Sponsors similar events")+COUNTIFS('Commercial Evidence'!$A$3:$A$502,$A268,'Commercial Evidence'!$B$3:$B$502,"Previous CBS Talks partner")&gt;0,1,0))))</f>
        <v/>
      </c>
      <c r="AC268" s="32" t="str">
        <f aca="false">IF($A268="","",IF(COUNT(G268,J268,M268,P268,AB268)&lt;5,"",G268+J268+M268+P268+AB268))</f>
        <v/>
      </c>
      <c r="AD268" s="32" t="str">
        <f aca="false">IF($A268="","",IF(COUNTIFS(Contacts!$A$3:$A$502,$A268,Contacts!$E$3:$E$502,"Champion",Contacts!$K$3:$K$502,"&lt;&gt;Yes",Contacts!$L$3:$L$502,"&lt;&gt;Yes")+COUNTIFS(Opportunities!$A$3:$A$502,$A268,Opportunities!$C$3:$C$502,"Won",Opportunities!$Q$3:$Q$502,"Satisfied")&gt;0,4,IF(COUNTIFS(Interactions!$B$3:$B$502,$A268,Interactions!$I$3:$I$502,"Yes",Interactions!$A$3:$A$502,"&gt;="&amp;(S_Today-S_WarmDays))&gt;0,3,IF(T268&lt;&gt;"",2,IF(COUNTIFS(Contacts!$A$3:$A$502,$A268,Contacts!$M$3:$M$502,"Yes",Contacts!$K$3:$K$502,"&lt;&gt;Yes",Contacts!$L$3:$L$502,"&lt;&gt;Yes")&gt;0,1,0)))))</f>
        <v/>
      </c>
      <c r="AE268" s="32" t="str">
        <f aca="false">IF($A268="","",IF(Z268="Yes","Do not contact",IF(AC268="","Research",IF(AND(AC268&gt;=S_FitHigh,AD268&gt;=S_AccessHigh),"Priority",IF(AC268&gt;=S_FitHigh,"Build a Path",IF(AD268&gt;=S_AccessHigh,"Quick Win","Low Priority"))))))</f>
        <v/>
      </c>
      <c r="AF268" s="33" t="str">
        <f aca="false">IF($A268="","",IF(_xlfn.MAXIFS(Interactions!$A$3:$A$502,Interactions!$B$3:$B$502,$A268)=0,"",_xlfn.MAXIFS(Interactions!$A$3:$A$502,Interactions!$B$3:$B$502,$A268)))</f>
        <v/>
      </c>
      <c r="AG268" s="32" t="str">
        <f aca="false">IF($A268="","",COUNTIFS(Opportunities!$A$3:$A$502,$A268,Opportunities!$X$3:$X$502,"Yes"))</f>
        <v/>
      </c>
      <c r="AH268" s="32" t="str">
        <f aca="false">IF($A268="","",_xlfn.TEXTJOIN(", ",TRUE(),IF(COUNTIF($A$3:$A$502,$A268)&gt;1,"Duplicate name",""),IF(OR(AND(G268=2,I268=""),AND(J268=2,L268=""),AND(M268=2,O268=""),AND(P268=2,R268="")),"Source missing for a 2",""),IF(F268="","No owner",IF(COUNTIFS(R_TeamName,F268,R_TeamActive,"No")&gt;0,"Needs new owner","")),IF(AND(V268="Yes",X268&lt;&gt;"",X268&lt;S_SemStart),"Path overdue",""),IF(AND(S268&lt;&gt;"",S268&lt;S_Today-365),"Stale research",""),IF(AND(AE268="Research",COUNTIF('Commercial Evidence'!$A$3:$A$502,$A268)=0),"Add commercial evidence","")))</f>
        <v/>
      </c>
      <c r="AI268" s="34" t="str">
        <f aca="false">IF(OR($A268="",Z268="Yes"),"",IF(AND(AE268="Priority",AG268=0,COUNTIFS(Opportunities!$A$3:$A$502,$A268,Opportunities!$Y$3:$Y$502,"Renewal due")=0),600000+(10-AC268)*1000+(4-AD268)*100+ROW()/100000,IF(V268="Yes",700000+IF(X268="",0,X268-40000)/10+ROW()/100000,IF(AND(AE268="Quick Win",U268&lt;&gt;"",AG268=0),800000+(10-AC268)*1000+ROW()/100000,IF(AND(AE268="Build a Path",COUNTIF($V$3:$V$502,"Yes")&lt;S_PathCap),900000+(10-AC268)*1000+(4-AD268)*100+ROW()/100000,"")))))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8"/>
      <c r="T269" s="27"/>
      <c r="U269" s="27"/>
      <c r="V269" s="27"/>
      <c r="W269" s="27"/>
      <c r="X269" s="28"/>
      <c r="Y269" s="27"/>
      <c r="Z269" s="27"/>
      <c r="AA269" s="27"/>
      <c r="AB269" s="32" t="str">
        <f aca="false">IF($A269="","",IF(COUNTIF('Commercial Evidence'!$A$3:$A$502,$A269)=0,"",IF(COUNTIFS('Commercial Evidence'!$A$3:$A$502,$A269,'Commercial Evidence'!$B$3:$B$502,"Previous CBS Talks spend")+COUNTIFS('Commercial Evidence'!$A$3:$A$502,$A269,'Commercial Evidence'!$B$3:$B$502,"Sponsors student organisations")&gt;0,2,IF(COUNTIFS('Commercial Evidence'!$A$3:$A$502,$A269,'Commercial Evidence'!$B$3:$B$502,"Sponsors university activities")+COUNTIFS('Commercial Evidence'!$A$3:$A$502,$A269,'Commercial Evidence'!$B$3:$B$502,"Sponsors similar events")+COUNTIFS('Commercial Evidence'!$A$3:$A$502,$A269,'Commercial Evidence'!$B$3:$B$502,"Previous CBS Talks partner")&gt;0,1,0))))</f>
        <v/>
      </c>
      <c r="AC269" s="32" t="str">
        <f aca="false">IF($A269="","",IF(COUNT(G269,J269,M269,P269,AB269)&lt;5,"",G269+J269+M269+P269+AB269))</f>
        <v/>
      </c>
      <c r="AD269" s="32" t="str">
        <f aca="false">IF($A269="","",IF(COUNTIFS(Contacts!$A$3:$A$502,$A269,Contacts!$E$3:$E$502,"Champion",Contacts!$K$3:$K$502,"&lt;&gt;Yes",Contacts!$L$3:$L$502,"&lt;&gt;Yes")+COUNTIFS(Opportunities!$A$3:$A$502,$A269,Opportunities!$C$3:$C$502,"Won",Opportunities!$Q$3:$Q$502,"Satisfied")&gt;0,4,IF(COUNTIFS(Interactions!$B$3:$B$502,$A269,Interactions!$I$3:$I$502,"Yes",Interactions!$A$3:$A$502,"&gt;="&amp;(S_Today-S_WarmDays))&gt;0,3,IF(T269&lt;&gt;"",2,IF(COUNTIFS(Contacts!$A$3:$A$502,$A269,Contacts!$M$3:$M$502,"Yes",Contacts!$K$3:$K$502,"&lt;&gt;Yes",Contacts!$L$3:$L$502,"&lt;&gt;Yes")&gt;0,1,0)))))</f>
        <v/>
      </c>
      <c r="AE269" s="32" t="str">
        <f aca="false">IF($A269="","",IF(Z269="Yes","Do not contact",IF(AC269="","Research",IF(AND(AC269&gt;=S_FitHigh,AD269&gt;=S_AccessHigh),"Priority",IF(AC269&gt;=S_FitHigh,"Build a Path",IF(AD269&gt;=S_AccessHigh,"Quick Win","Low Priority"))))))</f>
        <v/>
      </c>
      <c r="AF269" s="33" t="str">
        <f aca="false">IF($A269="","",IF(_xlfn.MAXIFS(Interactions!$A$3:$A$502,Interactions!$B$3:$B$502,$A269)=0,"",_xlfn.MAXIFS(Interactions!$A$3:$A$502,Interactions!$B$3:$B$502,$A269)))</f>
        <v/>
      </c>
      <c r="AG269" s="32" t="str">
        <f aca="false">IF($A269="","",COUNTIFS(Opportunities!$A$3:$A$502,$A269,Opportunities!$X$3:$X$502,"Yes"))</f>
        <v/>
      </c>
      <c r="AH269" s="32" t="str">
        <f aca="false">IF($A269="","",_xlfn.TEXTJOIN(", ",TRUE(),IF(COUNTIF($A$3:$A$502,$A269)&gt;1,"Duplicate name",""),IF(OR(AND(G269=2,I269=""),AND(J269=2,L269=""),AND(M269=2,O269=""),AND(P269=2,R269="")),"Source missing for a 2",""),IF(F269="","No owner",IF(COUNTIFS(R_TeamName,F269,R_TeamActive,"No")&gt;0,"Needs new owner","")),IF(AND(V269="Yes",X269&lt;&gt;"",X269&lt;S_SemStart),"Path overdue",""),IF(AND(S269&lt;&gt;"",S269&lt;S_Today-365),"Stale research",""),IF(AND(AE269="Research",COUNTIF('Commercial Evidence'!$A$3:$A$502,$A269)=0),"Add commercial evidence","")))</f>
        <v/>
      </c>
      <c r="AI269" s="34" t="str">
        <f aca="false">IF(OR($A269="",Z269="Yes"),"",IF(AND(AE269="Priority",AG269=0,COUNTIFS(Opportunities!$A$3:$A$502,$A269,Opportunities!$Y$3:$Y$502,"Renewal due")=0),600000+(10-AC269)*1000+(4-AD269)*100+ROW()/100000,IF(V269="Yes",700000+IF(X269="",0,X269-40000)/10+ROW()/100000,IF(AND(AE269="Quick Win",U269&lt;&gt;"",AG269=0),800000+(10-AC269)*1000+ROW()/100000,IF(AND(AE269="Build a Path",COUNTIF($V$3:$V$502,"Yes")&lt;S_PathCap),900000+(10-AC269)*1000+(4-AD269)*100+ROW()/100000,"")))))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8"/>
      <c r="T270" s="27"/>
      <c r="U270" s="27"/>
      <c r="V270" s="27"/>
      <c r="W270" s="27"/>
      <c r="X270" s="28"/>
      <c r="Y270" s="27"/>
      <c r="Z270" s="27"/>
      <c r="AA270" s="27"/>
      <c r="AB270" s="32" t="str">
        <f aca="false">IF($A270="","",IF(COUNTIF('Commercial Evidence'!$A$3:$A$502,$A270)=0,"",IF(COUNTIFS('Commercial Evidence'!$A$3:$A$502,$A270,'Commercial Evidence'!$B$3:$B$502,"Previous CBS Talks spend")+COUNTIFS('Commercial Evidence'!$A$3:$A$502,$A270,'Commercial Evidence'!$B$3:$B$502,"Sponsors student organisations")&gt;0,2,IF(COUNTIFS('Commercial Evidence'!$A$3:$A$502,$A270,'Commercial Evidence'!$B$3:$B$502,"Sponsors university activities")+COUNTIFS('Commercial Evidence'!$A$3:$A$502,$A270,'Commercial Evidence'!$B$3:$B$502,"Sponsors similar events")+COUNTIFS('Commercial Evidence'!$A$3:$A$502,$A270,'Commercial Evidence'!$B$3:$B$502,"Previous CBS Talks partner")&gt;0,1,0))))</f>
        <v/>
      </c>
      <c r="AC270" s="32" t="str">
        <f aca="false">IF($A270="","",IF(COUNT(G270,J270,M270,P270,AB270)&lt;5,"",G270+J270+M270+P270+AB270))</f>
        <v/>
      </c>
      <c r="AD270" s="32" t="str">
        <f aca="false">IF($A270="","",IF(COUNTIFS(Contacts!$A$3:$A$502,$A270,Contacts!$E$3:$E$502,"Champion",Contacts!$K$3:$K$502,"&lt;&gt;Yes",Contacts!$L$3:$L$502,"&lt;&gt;Yes")+COUNTIFS(Opportunities!$A$3:$A$502,$A270,Opportunities!$C$3:$C$502,"Won",Opportunities!$Q$3:$Q$502,"Satisfied")&gt;0,4,IF(COUNTIFS(Interactions!$B$3:$B$502,$A270,Interactions!$I$3:$I$502,"Yes",Interactions!$A$3:$A$502,"&gt;="&amp;(S_Today-S_WarmDays))&gt;0,3,IF(T270&lt;&gt;"",2,IF(COUNTIFS(Contacts!$A$3:$A$502,$A270,Contacts!$M$3:$M$502,"Yes",Contacts!$K$3:$K$502,"&lt;&gt;Yes",Contacts!$L$3:$L$502,"&lt;&gt;Yes")&gt;0,1,0)))))</f>
        <v/>
      </c>
      <c r="AE270" s="32" t="str">
        <f aca="false">IF($A270="","",IF(Z270="Yes","Do not contact",IF(AC270="","Research",IF(AND(AC270&gt;=S_FitHigh,AD270&gt;=S_AccessHigh),"Priority",IF(AC270&gt;=S_FitHigh,"Build a Path",IF(AD270&gt;=S_AccessHigh,"Quick Win","Low Priority"))))))</f>
        <v/>
      </c>
      <c r="AF270" s="33" t="str">
        <f aca="false">IF($A270="","",IF(_xlfn.MAXIFS(Interactions!$A$3:$A$502,Interactions!$B$3:$B$502,$A270)=0,"",_xlfn.MAXIFS(Interactions!$A$3:$A$502,Interactions!$B$3:$B$502,$A270)))</f>
        <v/>
      </c>
      <c r="AG270" s="32" t="str">
        <f aca="false">IF($A270="","",COUNTIFS(Opportunities!$A$3:$A$502,$A270,Opportunities!$X$3:$X$502,"Yes"))</f>
        <v/>
      </c>
      <c r="AH270" s="32" t="str">
        <f aca="false">IF($A270="","",_xlfn.TEXTJOIN(", ",TRUE(),IF(COUNTIF($A$3:$A$502,$A270)&gt;1,"Duplicate name",""),IF(OR(AND(G270=2,I270=""),AND(J270=2,L270=""),AND(M270=2,O270=""),AND(P270=2,R270="")),"Source missing for a 2",""),IF(F270="","No owner",IF(COUNTIFS(R_TeamName,F270,R_TeamActive,"No")&gt;0,"Needs new owner","")),IF(AND(V270="Yes",X270&lt;&gt;"",X270&lt;S_SemStart),"Path overdue",""),IF(AND(S270&lt;&gt;"",S270&lt;S_Today-365),"Stale research",""),IF(AND(AE270="Research",COUNTIF('Commercial Evidence'!$A$3:$A$502,$A270)=0),"Add commercial evidence","")))</f>
        <v/>
      </c>
      <c r="AI270" s="34" t="str">
        <f aca="false">IF(OR($A270="",Z270="Yes"),"",IF(AND(AE270="Priority",AG270=0,COUNTIFS(Opportunities!$A$3:$A$502,$A270,Opportunities!$Y$3:$Y$502,"Renewal due")=0),600000+(10-AC270)*1000+(4-AD270)*100+ROW()/100000,IF(V270="Yes",700000+IF(X270="",0,X270-40000)/10+ROW()/100000,IF(AND(AE270="Quick Win",U270&lt;&gt;"",AG270=0),800000+(10-AC270)*1000+ROW()/100000,IF(AND(AE270="Build a Path",COUNTIF($V$3:$V$502,"Yes")&lt;S_PathCap),900000+(10-AC270)*1000+(4-AD270)*100+ROW()/100000,"")))))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8"/>
      <c r="T271" s="27"/>
      <c r="U271" s="27"/>
      <c r="V271" s="27"/>
      <c r="W271" s="27"/>
      <c r="X271" s="28"/>
      <c r="Y271" s="27"/>
      <c r="Z271" s="27"/>
      <c r="AA271" s="27"/>
      <c r="AB271" s="32" t="str">
        <f aca="false">IF($A271="","",IF(COUNTIF('Commercial Evidence'!$A$3:$A$502,$A271)=0,"",IF(COUNTIFS('Commercial Evidence'!$A$3:$A$502,$A271,'Commercial Evidence'!$B$3:$B$502,"Previous CBS Talks spend")+COUNTIFS('Commercial Evidence'!$A$3:$A$502,$A271,'Commercial Evidence'!$B$3:$B$502,"Sponsors student organisations")&gt;0,2,IF(COUNTIFS('Commercial Evidence'!$A$3:$A$502,$A271,'Commercial Evidence'!$B$3:$B$502,"Sponsors university activities")+COUNTIFS('Commercial Evidence'!$A$3:$A$502,$A271,'Commercial Evidence'!$B$3:$B$502,"Sponsors similar events")+COUNTIFS('Commercial Evidence'!$A$3:$A$502,$A271,'Commercial Evidence'!$B$3:$B$502,"Previous CBS Talks partner")&gt;0,1,0))))</f>
        <v/>
      </c>
      <c r="AC271" s="32" t="str">
        <f aca="false">IF($A271="","",IF(COUNT(G271,J271,M271,P271,AB271)&lt;5,"",G271+J271+M271+P271+AB271))</f>
        <v/>
      </c>
      <c r="AD271" s="32" t="str">
        <f aca="false">IF($A271="","",IF(COUNTIFS(Contacts!$A$3:$A$502,$A271,Contacts!$E$3:$E$502,"Champion",Contacts!$K$3:$K$502,"&lt;&gt;Yes",Contacts!$L$3:$L$502,"&lt;&gt;Yes")+COUNTIFS(Opportunities!$A$3:$A$502,$A271,Opportunities!$C$3:$C$502,"Won",Opportunities!$Q$3:$Q$502,"Satisfied")&gt;0,4,IF(COUNTIFS(Interactions!$B$3:$B$502,$A271,Interactions!$I$3:$I$502,"Yes",Interactions!$A$3:$A$502,"&gt;="&amp;(S_Today-S_WarmDays))&gt;0,3,IF(T271&lt;&gt;"",2,IF(COUNTIFS(Contacts!$A$3:$A$502,$A271,Contacts!$M$3:$M$502,"Yes",Contacts!$K$3:$K$502,"&lt;&gt;Yes",Contacts!$L$3:$L$502,"&lt;&gt;Yes")&gt;0,1,0)))))</f>
        <v/>
      </c>
      <c r="AE271" s="32" t="str">
        <f aca="false">IF($A271="","",IF(Z271="Yes","Do not contact",IF(AC271="","Research",IF(AND(AC271&gt;=S_FitHigh,AD271&gt;=S_AccessHigh),"Priority",IF(AC271&gt;=S_FitHigh,"Build a Path",IF(AD271&gt;=S_AccessHigh,"Quick Win","Low Priority"))))))</f>
        <v/>
      </c>
      <c r="AF271" s="33" t="str">
        <f aca="false">IF($A271="","",IF(_xlfn.MAXIFS(Interactions!$A$3:$A$502,Interactions!$B$3:$B$502,$A271)=0,"",_xlfn.MAXIFS(Interactions!$A$3:$A$502,Interactions!$B$3:$B$502,$A271)))</f>
        <v/>
      </c>
      <c r="AG271" s="32" t="str">
        <f aca="false">IF($A271="","",COUNTIFS(Opportunities!$A$3:$A$502,$A271,Opportunities!$X$3:$X$502,"Yes"))</f>
        <v/>
      </c>
      <c r="AH271" s="32" t="str">
        <f aca="false">IF($A271="","",_xlfn.TEXTJOIN(", ",TRUE(),IF(COUNTIF($A$3:$A$502,$A271)&gt;1,"Duplicate name",""),IF(OR(AND(G271=2,I271=""),AND(J271=2,L271=""),AND(M271=2,O271=""),AND(P271=2,R271="")),"Source missing for a 2",""),IF(F271="","No owner",IF(COUNTIFS(R_TeamName,F271,R_TeamActive,"No")&gt;0,"Needs new owner","")),IF(AND(V271="Yes",X271&lt;&gt;"",X271&lt;S_SemStart),"Path overdue",""),IF(AND(S271&lt;&gt;"",S271&lt;S_Today-365),"Stale research",""),IF(AND(AE271="Research",COUNTIF('Commercial Evidence'!$A$3:$A$502,$A271)=0),"Add commercial evidence","")))</f>
        <v/>
      </c>
      <c r="AI271" s="34" t="str">
        <f aca="false">IF(OR($A271="",Z271="Yes"),"",IF(AND(AE271="Priority",AG271=0,COUNTIFS(Opportunities!$A$3:$A$502,$A271,Opportunities!$Y$3:$Y$502,"Renewal due")=0),600000+(10-AC271)*1000+(4-AD271)*100+ROW()/100000,IF(V271="Yes",700000+IF(X271="",0,X271-40000)/10+ROW()/100000,IF(AND(AE271="Quick Win",U271&lt;&gt;"",AG271=0),800000+(10-AC271)*1000+ROW()/100000,IF(AND(AE271="Build a Path",COUNTIF($V$3:$V$502,"Yes")&lt;S_PathCap),900000+(10-AC271)*1000+(4-AD271)*100+ROW()/100000,"")))))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8"/>
      <c r="T272" s="27"/>
      <c r="U272" s="27"/>
      <c r="V272" s="27"/>
      <c r="W272" s="27"/>
      <c r="X272" s="28"/>
      <c r="Y272" s="27"/>
      <c r="Z272" s="27"/>
      <c r="AA272" s="27"/>
      <c r="AB272" s="32" t="str">
        <f aca="false">IF($A272="","",IF(COUNTIF('Commercial Evidence'!$A$3:$A$502,$A272)=0,"",IF(COUNTIFS('Commercial Evidence'!$A$3:$A$502,$A272,'Commercial Evidence'!$B$3:$B$502,"Previous CBS Talks spend")+COUNTIFS('Commercial Evidence'!$A$3:$A$502,$A272,'Commercial Evidence'!$B$3:$B$502,"Sponsors student organisations")&gt;0,2,IF(COUNTIFS('Commercial Evidence'!$A$3:$A$502,$A272,'Commercial Evidence'!$B$3:$B$502,"Sponsors university activities")+COUNTIFS('Commercial Evidence'!$A$3:$A$502,$A272,'Commercial Evidence'!$B$3:$B$502,"Sponsors similar events")+COUNTIFS('Commercial Evidence'!$A$3:$A$502,$A272,'Commercial Evidence'!$B$3:$B$502,"Previous CBS Talks partner")&gt;0,1,0))))</f>
        <v/>
      </c>
      <c r="AC272" s="32" t="str">
        <f aca="false">IF($A272="","",IF(COUNT(G272,J272,M272,P272,AB272)&lt;5,"",G272+J272+M272+P272+AB272))</f>
        <v/>
      </c>
      <c r="AD272" s="32" t="str">
        <f aca="false">IF($A272="","",IF(COUNTIFS(Contacts!$A$3:$A$502,$A272,Contacts!$E$3:$E$502,"Champion",Contacts!$K$3:$K$502,"&lt;&gt;Yes",Contacts!$L$3:$L$502,"&lt;&gt;Yes")+COUNTIFS(Opportunities!$A$3:$A$502,$A272,Opportunities!$C$3:$C$502,"Won",Opportunities!$Q$3:$Q$502,"Satisfied")&gt;0,4,IF(COUNTIFS(Interactions!$B$3:$B$502,$A272,Interactions!$I$3:$I$502,"Yes",Interactions!$A$3:$A$502,"&gt;="&amp;(S_Today-S_WarmDays))&gt;0,3,IF(T272&lt;&gt;"",2,IF(COUNTIFS(Contacts!$A$3:$A$502,$A272,Contacts!$M$3:$M$502,"Yes",Contacts!$K$3:$K$502,"&lt;&gt;Yes",Contacts!$L$3:$L$502,"&lt;&gt;Yes")&gt;0,1,0)))))</f>
        <v/>
      </c>
      <c r="AE272" s="32" t="str">
        <f aca="false">IF($A272="","",IF(Z272="Yes","Do not contact",IF(AC272="","Research",IF(AND(AC272&gt;=S_FitHigh,AD272&gt;=S_AccessHigh),"Priority",IF(AC272&gt;=S_FitHigh,"Build a Path",IF(AD272&gt;=S_AccessHigh,"Quick Win","Low Priority"))))))</f>
        <v/>
      </c>
      <c r="AF272" s="33" t="str">
        <f aca="false">IF($A272="","",IF(_xlfn.MAXIFS(Interactions!$A$3:$A$502,Interactions!$B$3:$B$502,$A272)=0,"",_xlfn.MAXIFS(Interactions!$A$3:$A$502,Interactions!$B$3:$B$502,$A272)))</f>
        <v/>
      </c>
      <c r="AG272" s="32" t="str">
        <f aca="false">IF($A272="","",COUNTIFS(Opportunities!$A$3:$A$502,$A272,Opportunities!$X$3:$X$502,"Yes"))</f>
        <v/>
      </c>
      <c r="AH272" s="32" t="str">
        <f aca="false">IF($A272="","",_xlfn.TEXTJOIN(", ",TRUE(),IF(COUNTIF($A$3:$A$502,$A272)&gt;1,"Duplicate name",""),IF(OR(AND(G272=2,I272=""),AND(J272=2,L272=""),AND(M272=2,O272=""),AND(P272=2,R272="")),"Source missing for a 2",""),IF(F272="","No owner",IF(COUNTIFS(R_TeamName,F272,R_TeamActive,"No")&gt;0,"Needs new owner","")),IF(AND(V272="Yes",X272&lt;&gt;"",X272&lt;S_SemStart),"Path overdue",""),IF(AND(S272&lt;&gt;"",S272&lt;S_Today-365),"Stale research",""),IF(AND(AE272="Research",COUNTIF('Commercial Evidence'!$A$3:$A$502,$A272)=0),"Add commercial evidence","")))</f>
        <v/>
      </c>
      <c r="AI272" s="34" t="str">
        <f aca="false">IF(OR($A272="",Z272="Yes"),"",IF(AND(AE272="Priority",AG272=0,COUNTIFS(Opportunities!$A$3:$A$502,$A272,Opportunities!$Y$3:$Y$502,"Renewal due")=0),600000+(10-AC272)*1000+(4-AD272)*100+ROW()/100000,IF(V272="Yes",700000+IF(X272="",0,X272-40000)/10+ROW()/100000,IF(AND(AE272="Quick Win",U272&lt;&gt;"",AG272=0),800000+(10-AC272)*1000+ROW()/100000,IF(AND(AE272="Build a Path",COUNTIF($V$3:$V$502,"Yes")&lt;S_PathCap),900000+(10-AC272)*1000+(4-AD272)*100+ROW()/100000,"")))))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8"/>
      <c r="T273" s="27"/>
      <c r="U273" s="27"/>
      <c r="V273" s="27"/>
      <c r="W273" s="27"/>
      <c r="X273" s="28"/>
      <c r="Y273" s="27"/>
      <c r="Z273" s="27"/>
      <c r="AA273" s="27"/>
      <c r="AB273" s="32" t="str">
        <f aca="false">IF($A273="","",IF(COUNTIF('Commercial Evidence'!$A$3:$A$502,$A273)=0,"",IF(COUNTIFS('Commercial Evidence'!$A$3:$A$502,$A273,'Commercial Evidence'!$B$3:$B$502,"Previous CBS Talks spend")+COUNTIFS('Commercial Evidence'!$A$3:$A$502,$A273,'Commercial Evidence'!$B$3:$B$502,"Sponsors student organisations")&gt;0,2,IF(COUNTIFS('Commercial Evidence'!$A$3:$A$502,$A273,'Commercial Evidence'!$B$3:$B$502,"Sponsors university activities")+COUNTIFS('Commercial Evidence'!$A$3:$A$502,$A273,'Commercial Evidence'!$B$3:$B$502,"Sponsors similar events")+COUNTIFS('Commercial Evidence'!$A$3:$A$502,$A273,'Commercial Evidence'!$B$3:$B$502,"Previous CBS Talks partner")&gt;0,1,0))))</f>
        <v/>
      </c>
      <c r="AC273" s="32" t="str">
        <f aca="false">IF($A273="","",IF(COUNT(G273,J273,M273,P273,AB273)&lt;5,"",G273+J273+M273+P273+AB273))</f>
        <v/>
      </c>
      <c r="AD273" s="32" t="str">
        <f aca="false">IF($A273="","",IF(COUNTIFS(Contacts!$A$3:$A$502,$A273,Contacts!$E$3:$E$502,"Champion",Contacts!$K$3:$K$502,"&lt;&gt;Yes",Contacts!$L$3:$L$502,"&lt;&gt;Yes")+COUNTIFS(Opportunities!$A$3:$A$502,$A273,Opportunities!$C$3:$C$502,"Won",Opportunities!$Q$3:$Q$502,"Satisfied")&gt;0,4,IF(COUNTIFS(Interactions!$B$3:$B$502,$A273,Interactions!$I$3:$I$502,"Yes",Interactions!$A$3:$A$502,"&gt;="&amp;(S_Today-S_WarmDays))&gt;0,3,IF(T273&lt;&gt;"",2,IF(COUNTIFS(Contacts!$A$3:$A$502,$A273,Contacts!$M$3:$M$502,"Yes",Contacts!$K$3:$K$502,"&lt;&gt;Yes",Contacts!$L$3:$L$502,"&lt;&gt;Yes")&gt;0,1,0)))))</f>
        <v/>
      </c>
      <c r="AE273" s="32" t="str">
        <f aca="false">IF($A273="","",IF(Z273="Yes","Do not contact",IF(AC273="","Research",IF(AND(AC273&gt;=S_FitHigh,AD273&gt;=S_AccessHigh),"Priority",IF(AC273&gt;=S_FitHigh,"Build a Path",IF(AD273&gt;=S_AccessHigh,"Quick Win","Low Priority"))))))</f>
        <v/>
      </c>
      <c r="AF273" s="33" t="str">
        <f aca="false">IF($A273="","",IF(_xlfn.MAXIFS(Interactions!$A$3:$A$502,Interactions!$B$3:$B$502,$A273)=0,"",_xlfn.MAXIFS(Interactions!$A$3:$A$502,Interactions!$B$3:$B$502,$A273)))</f>
        <v/>
      </c>
      <c r="AG273" s="32" t="str">
        <f aca="false">IF($A273="","",COUNTIFS(Opportunities!$A$3:$A$502,$A273,Opportunities!$X$3:$X$502,"Yes"))</f>
        <v/>
      </c>
      <c r="AH273" s="32" t="str">
        <f aca="false">IF($A273="","",_xlfn.TEXTJOIN(", ",TRUE(),IF(COUNTIF($A$3:$A$502,$A273)&gt;1,"Duplicate name",""),IF(OR(AND(G273=2,I273=""),AND(J273=2,L273=""),AND(M273=2,O273=""),AND(P273=2,R273="")),"Source missing for a 2",""),IF(F273="","No owner",IF(COUNTIFS(R_TeamName,F273,R_TeamActive,"No")&gt;0,"Needs new owner","")),IF(AND(V273="Yes",X273&lt;&gt;"",X273&lt;S_SemStart),"Path overdue",""),IF(AND(S273&lt;&gt;"",S273&lt;S_Today-365),"Stale research",""),IF(AND(AE273="Research",COUNTIF('Commercial Evidence'!$A$3:$A$502,$A273)=0),"Add commercial evidence","")))</f>
        <v/>
      </c>
      <c r="AI273" s="34" t="str">
        <f aca="false">IF(OR($A273="",Z273="Yes"),"",IF(AND(AE273="Priority",AG273=0,COUNTIFS(Opportunities!$A$3:$A$502,$A273,Opportunities!$Y$3:$Y$502,"Renewal due")=0),600000+(10-AC273)*1000+(4-AD273)*100+ROW()/100000,IF(V273="Yes",700000+IF(X273="",0,X273-40000)/10+ROW()/100000,IF(AND(AE273="Quick Win",U273&lt;&gt;"",AG273=0),800000+(10-AC273)*1000+ROW()/100000,IF(AND(AE273="Build a Path",COUNTIF($V$3:$V$502,"Yes")&lt;S_PathCap),900000+(10-AC273)*1000+(4-AD273)*100+ROW()/100000,"")))))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8"/>
      <c r="T274" s="27"/>
      <c r="U274" s="27"/>
      <c r="V274" s="27"/>
      <c r="W274" s="27"/>
      <c r="X274" s="28"/>
      <c r="Y274" s="27"/>
      <c r="Z274" s="27"/>
      <c r="AA274" s="27"/>
      <c r="AB274" s="32" t="str">
        <f aca="false">IF($A274="","",IF(COUNTIF('Commercial Evidence'!$A$3:$A$502,$A274)=0,"",IF(COUNTIFS('Commercial Evidence'!$A$3:$A$502,$A274,'Commercial Evidence'!$B$3:$B$502,"Previous CBS Talks spend")+COUNTIFS('Commercial Evidence'!$A$3:$A$502,$A274,'Commercial Evidence'!$B$3:$B$502,"Sponsors student organisations")&gt;0,2,IF(COUNTIFS('Commercial Evidence'!$A$3:$A$502,$A274,'Commercial Evidence'!$B$3:$B$502,"Sponsors university activities")+COUNTIFS('Commercial Evidence'!$A$3:$A$502,$A274,'Commercial Evidence'!$B$3:$B$502,"Sponsors similar events")+COUNTIFS('Commercial Evidence'!$A$3:$A$502,$A274,'Commercial Evidence'!$B$3:$B$502,"Previous CBS Talks partner")&gt;0,1,0))))</f>
        <v/>
      </c>
      <c r="AC274" s="32" t="str">
        <f aca="false">IF($A274="","",IF(COUNT(G274,J274,M274,P274,AB274)&lt;5,"",G274+J274+M274+P274+AB274))</f>
        <v/>
      </c>
      <c r="AD274" s="32" t="str">
        <f aca="false">IF($A274="","",IF(COUNTIFS(Contacts!$A$3:$A$502,$A274,Contacts!$E$3:$E$502,"Champion",Contacts!$K$3:$K$502,"&lt;&gt;Yes",Contacts!$L$3:$L$502,"&lt;&gt;Yes")+COUNTIFS(Opportunities!$A$3:$A$502,$A274,Opportunities!$C$3:$C$502,"Won",Opportunities!$Q$3:$Q$502,"Satisfied")&gt;0,4,IF(COUNTIFS(Interactions!$B$3:$B$502,$A274,Interactions!$I$3:$I$502,"Yes",Interactions!$A$3:$A$502,"&gt;="&amp;(S_Today-S_WarmDays))&gt;0,3,IF(T274&lt;&gt;"",2,IF(COUNTIFS(Contacts!$A$3:$A$502,$A274,Contacts!$M$3:$M$502,"Yes",Contacts!$K$3:$K$502,"&lt;&gt;Yes",Contacts!$L$3:$L$502,"&lt;&gt;Yes")&gt;0,1,0)))))</f>
        <v/>
      </c>
      <c r="AE274" s="32" t="str">
        <f aca="false">IF($A274="","",IF(Z274="Yes","Do not contact",IF(AC274="","Research",IF(AND(AC274&gt;=S_FitHigh,AD274&gt;=S_AccessHigh),"Priority",IF(AC274&gt;=S_FitHigh,"Build a Path",IF(AD274&gt;=S_AccessHigh,"Quick Win","Low Priority"))))))</f>
        <v/>
      </c>
      <c r="AF274" s="33" t="str">
        <f aca="false">IF($A274="","",IF(_xlfn.MAXIFS(Interactions!$A$3:$A$502,Interactions!$B$3:$B$502,$A274)=0,"",_xlfn.MAXIFS(Interactions!$A$3:$A$502,Interactions!$B$3:$B$502,$A274)))</f>
        <v/>
      </c>
      <c r="AG274" s="32" t="str">
        <f aca="false">IF($A274="","",COUNTIFS(Opportunities!$A$3:$A$502,$A274,Opportunities!$X$3:$X$502,"Yes"))</f>
        <v/>
      </c>
      <c r="AH274" s="32" t="str">
        <f aca="false">IF($A274="","",_xlfn.TEXTJOIN(", ",TRUE(),IF(COUNTIF($A$3:$A$502,$A274)&gt;1,"Duplicate name",""),IF(OR(AND(G274=2,I274=""),AND(J274=2,L274=""),AND(M274=2,O274=""),AND(P274=2,R274="")),"Source missing for a 2",""),IF(F274="","No owner",IF(COUNTIFS(R_TeamName,F274,R_TeamActive,"No")&gt;0,"Needs new owner","")),IF(AND(V274="Yes",X274&lt;&gt;"",X274&lt;S_SemStart),"Path overdue",""),IF(AND(S274&lt;&gt;"",S274&lt;S_Today-365),"Stale research",""),IF(AND(AE274="Research",COUNTIF('Commercial Evidence'!$A$3:$A$502,$A274)=0),"Add commercial evidence","")))</f>
        <v/>
      </c>
      <c r="AI274" s="34" t="str">
        <f aca="false">IF(OR($A274="",Z274="Yes"),"",IF(AND(AE274="Priority",AG274=0,COUNTIFS(Opportunities!$A$3:$A$502,$A274,Opportunities!$Y$3:$Y$502,"Renewal due")=0),600000+(10-AC274)*1000+(4-AD274)*100+ROW()/100000,IF(V274="Yes",700000+IF(X274="",0,X274-40000)/10+ROW()/100000,IF(AND(AE274="Quick Win",U274&lt;&gt;"",AG274=0),800000+(10-AC274)*1000+ROW()/100000,IF(AND(AE274="Build a Path",COUNTIF($V$3:$V$502,"Yes")&lt;S_PathCap),900000+(10-AC274)*1000+(4-AD274)*100+ROW()/100000,"")))))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8"/>
      <c r="T275" s="27"/>
      <c r="U275" s="27"/>
      <c r="V275" s="27"/>
      <c r="W275" s="27"/>
      <c r="X275" s="28"/>
      <c r="Y275" s="27"/>
      <c r="Z275" s="27"/>
      <c r="AA275" s="27"/>
      <c r="AB275" s="32" t="str">
        <f aca="false">IF($A275="","",IF(COUNTIF('Commercial Evidence'!$A$3:$A$502,$A275)=0,"",IF(COUNTIFS('Commercial Evidence'!$A$3:$A$502,$A275,'Commercial Evidence'!$B$3:$B$502,"Previous CBS Talks spend")+COUNTIFS('Commercial Evidence'!$A$3:$A$502,$A275,'Commercial Evidence'!$B$3:$B$502,"Sponsors student organisations")&gt;0,2,IF(COUNTIFS('Commercial Evidence'!$A$3:$A$502,$A275,'Commercial Evidence'!$B$3:$B$502,"Sponsors university activities")+COUNTIFS('Commercial Evidence'!$A$3:$A$502,$A275,'Commercial Evidence'!$B$3:$B$502,"Sponsors similar events")+COUNTIFS('Commercial Evidence'!$A$3:$A$502,$A275,'Commercial Evidence'!$B$3:$B$502,"Previous CBS Talks partner")&gt;0,1,0))))</f>
        <v/>
      </c>
      <c r="AC275" s="32" t="str">
        <f aca="false">IF($A275="","",IF(COUNT(G275,J275,M275,P275,AB275)&lt;5,"",G275+J275+M275+P275+AB275))</f>
        <v/>
      </c>
      <c r="AD275" s="32" t="str">
        <f aca="false">IF($A275="","",IF(COUNTIFS(Contacts!$A$3:$A$502,$A275,Contacts!$E$3:$E$502,"Champion",Contacts!$K$3:$K$502,"&lt;&gt;Yes",Contacts!$L$3:$L$502,"&lt;&gt;Yes")+COUNTIFS(Opportunities!$A$3:$A$502,$A275,Opportunities!$C$3:$C$502,"Won",Opportunities!$Q$3:$Q$502,"Satisfied")&gt;0,4,IF(COUNTIFS(Interactions!$B$3:$B$502,$A275,Interactions!$I$3:$I$502,"Yes",Interactions!$A$3:$A$502,"&gt;="&amp;(S_Today-S_WarmDays))&gt;0,3,IF(T275&lt;&gt;"",2,IF(COUNTIFS(Contacts!$A$3:$A$502,$A275,Contacts!$M$3:$M$502,"Yes",Contacts!$K$3:$K$502,"&lt;&gt;Yes",Contacts!$L$3:$L$502,"&lt;&gt;Yes")&gt;0,1,0)))))</f>
        <v/>
      </c>
      <c r="AE275" s="32" t="str">
        <f aca="false">IF($A275="","",IF(Z275="Yes","Do not contact",IF(AC275="","Research",IF(AND(AC275&gt;=S_FitHigh,AD275&gt;=S_AccessHigh),"Priority",IF(AC275&gt;=S_FitHigh,"Build a Path",IF(AD275&gt;=S_AccessHigh,"Quick Win","Low Priority"))))))</f>
        <v/>
      </c>
      <c r="AF275" s="33" t="str">
        <f aca="false">IF($A275="","",IF(_xlfn.MAXIFS(Interactions!$A$3:$A$502,Interactions!$B$3:$B$502,$A275)=0,"",_xlfn.MAXIFS(Interactions!$A$3:$A$502,Interactions!$B$3:$B$502,$A275)))</f>
        <v/>
      </c>
      <c r="AG275" s="32" t="str">
        <f aca="false">IF($A275="","",COUNTIFS(Opportunities!$A$3:$A$502,$A275,Opportunities!$X$3:$X$502,"Yes"))</f>
        <v/>
      </c>
      <c r="AH275" s="32" t="str">
        <f aca="false">IF($A275="","",_xlfn.TEXTJOIN(", ",TRUE(),IF(COUNTIF($A$3:$A$502,$A275)&gt;1,"Duplicate name",""),IF(OR(AND(G275=2,I275=""),AND(J275=2,L275=""),AND(M275=2,O275=""),AND(P275=2,R275="")),"Source missing for a 2",""),IF(F275="","No owner",IF(COUNTIFS(R_TeamName,F275,R_TeamActive,"No")&gt;0,"Needs new owner","")),IF(AND(V275="Yes",X275&lt;&gt;"",X275&lt;S_SemStart),"Path overdue",""),IF(AND(S275&lt;&gt;"",S275&lt;S_Today-365),"Stale research",""),IF(AND(AE275="Research",COUNTIF('Commercial Evidence'!$A$3:$A$502,$A275)=0),"Add commercial evidence","")))</f>
        <v/>
      </c>
      <c r="AI275" s="34" t="str">
        <f aca="false">IF(OR($A275="",Z275="Yes"),"",IF(AND(AE275="Priority",AG275=0,COUNTIFS(Opportunities!$A$3:$A$502,$A275,Opportunities!$Y$3:$Y$502,"Renewal due")=0),600000+(10-AC275)*1000+(4-AD275)*100+ROW()/100000,IF(V275="Yes",700000+IF(X275="",0,X275-40000)/10+ROW()/100000,IF(AND(AE275="Quick Win",U275&lt;&gt;"",AG275=0),800000+(10-AC275)*1000+ROW()/100000,IF(AND(AE275="Build a Path",COUNTIF($V$3:$V$502,"Yes")&lt;S_PathCap),900000+(10-AC275)*1000+(4-AD275)*100+ROW()/100000,"")))))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8"/>
      <c r="T276" s="27"/>
      <c r="U276" s="27"/>
      <c r="V276" s="27"/>
      <c r="W276" s="27"/>
      <c r="X276" s="28"/>
      <c r="Y276" s="27"/>
      <c r="Z276" s="27"/>
      <c r="AA276" s="27"/>
      <c r="AB276" s="32" t="str">
        <f aca="false">IF($A276="","",IF(COUNTIF('Commercial Evidence'!$A$3:$A$502,$A276)=0,"",IF(COUNTIFS('Commercial Evidence'!$A$3:$A$502,$A276,'Commercial Evidence'!$B$3:$B$502,"Previous CBS Talks spend")+COUNTIFS('Commercial Evidence'!$A$3:$A$502,$A276,'Commercial Evidence'!$B$3:$B$502,"Sponsors student organisations")&gt;0,2,IF(COUNTIFS('Commercial Evidence'!$A$3:$A$502,$A276,'Commercial Evidence'!$B$3:$B$502,"Sponsors university activities")+COUNTIFS('Commercial Evidence'!$A$3:$A$502,$A276,'Commercial Evidence'!$B$3:$B$502,"Sponsors similar events")+COUNTIFS('Commercial Evidence'!$A$3:$A$502,$A276,'Commercial Evidence'!$B$3:$B$502,"Previous CBS Talks partner")&gt;0,1,0))))</f>
        <v/>
      </c>
      <c r="AC276" s="32" t="str">
        <f aca="false">IF($A276="","",IF(COUNT(G276,J276,M276,P276,AB276)&lt;5,"",G276+J276+M276+P276+AB276))</f>
        <v/>
      </c>
      <c r="AD276" s="32" t="str">
        <f aca="false">IF($A276="","",IF(COUNTIFS(Contacts!$A$3:$A$502,$A276,Contacts!$E$3:$E$502,"Champion",Contacts!$K$3:$K$502,"&lt;&gt;Yes",Contacts!$L$3:$L$502,"&lt;&gt;Yes")+COUNTIFS(Opportunities!$A$3:$A$502,$A276,Opportunities!$C$3:$C$502,"Won",Opportunities!$Q$3:$Q$502,"Satisfied")&gt;0,4,IF(COUNTIFS(Interactions!$B$3:$B$502,$A276,Interactions!$I$3:$I$502,"Yes",Interactions!$A$3:$A$502,"&gt;="&amp;(S_Today-S_WarmDays))&gt;0,3,IF(T276&lt;&gt;"",2,IF(COUNTIFS(Contacts!$A$3:$A$502,$A276,Contacts!$M$3:$M$502,"Yes",Contacts!$K$3:$K$502,"&lt;&gt;Yes",Contacts!$L$3:$L$502,"&lt;&gt;Yes")&gt;0,1,0)))))</f>
        <v/>
      </c>
      <c r="AE276" s="32" t="str">
        <f aca="false">IF($A276="","",IF(Z276="Yes","Do not contact",IF(AC276="","Research",IF(AND(AC276&gt;=S_FitHigh,AD276&gt;=S_AccessHigh),"Priority",IF(AC276&gt;=S_FitHigh,"Build a Path",IF(AD276&gt;=S_AccessHigh,"Quick Win","Low Priority"))))))</f>
        <v/>
      </c>
      <c r="AF276" s="33" t="str">
        <f aca="false">IF($A276="","",IF(_xlfn.MAXIFS(Interactions!$A$3:$A$502,Interactions!$B$3:$B$502,$A276)=0,"",_xlfn.MAXIFS(Interactions!$A$3:$A$502,Interactions!$B$3:$B$502,$A276)))</f>
        <v/>
      </c>
      <c r="AG276" s="32" t="str">
        <f aca="false">IF($A276="","",COUNTIFS(Opportunities!$A$3:$A$502,$A276,Opportunities!$X$3:$X$502,"Yes"))</f>
        <v/>
      </c>
      <c r="AH276" s="32" t="str">
        <f aca="false">IF($A276="","",_xlfn.TEXTJOIN(", ",TRUE(),IF(COUNTIF($A$3:$A$502,$A276)&gt;1,"Duplicate name",""),IF(OR(AND(G276=2,I276=""),AND(J276=2,L276=""),AND(M276=2,O276=""),AND(P276=2,R276="")),"Source missing for a 2",""),IF(F276="","No owner",IF(COUNTIFS(R_TeamName,F276,R_TeamActive,"No")&gt;0,"Needs new owner","")),IF(AND(V276="Yes",X276&lt;&gt;"",X276&lt;S_SemStart),"Path overdue",""),IF(AND(S276&lt;&gt;"",S276&lt;S_Today-365),"Stale research",""),IF(AND(AE276="Research",COUNTIF('Commercial Evidence'!$A$3:$A$502,$A276)=0),"Add commercial evidence","")))</f>
        <v/>
      </c>
      <c r="AI276" s="34" t="str">
        <f aca="false">IF(OR($A276="",Z276="Yes"),"",IF(AND(AE276="Priority",AG276=0,COUNTIFS(Opportunities!$A$3:$A$502,$A276,Opportunities!$Y$3:$Y$502,"Renewal due")=0),600000+(10-AC276)*1000+(4-AD276)*100+ROW()/100000,IF(V276="Yes",700000+IF(X276="",0,X276-40000)/10+ROW()/100000,IF(AND(AE276="Quick Win",U276&lt;&gt;"",AG276=0),800000+(10-AC276)*1000+ROW()/100000,IF(AND(AE276="Build a Path",COUNTIF($V$3:$V$502,"Yes")&lt;S_PathCap),900000+(10-AC276)*1000+(4-AD276)*100+ROW()/100000,"")))))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8"/>
      <c r="T277" s="27"/>
      <c r="U277" s="27"/>
      <c r="V277" s="27"/>
      <c r="W277" s="27"/>
      <c r="X277" s="28"/>
      <c r="Y277" s="27"/>
      <c r="Z277" s="27"/>
      <c r="AA277" s="27"/>
      <c r="AB277" s="32" t="str">
        <f aca="false">IF($A277="","",IF(COUNTIF('Commercial Evidence'!$A$3:$A$502,$A277)=0,"",IF(COUNTIFS('Commercial Evidence'!$A$3:$A$502,$A277,'Commercial Evidence'!$B$3:$B$502,"Previous CBS Talks spend")+COUNTIFS('Commercial Evidence'!$A$3:$A$502,$A277,'Commercial Evidence'!$B$3:$B$502,"Sponsors student organisations")&gt;0,2,IF(COUNTIFS('Commercial Evidence'!$A$3:$A$502,$A277,'Commercial Evidence'!$B$3:$B$502,"Sponsors university activities")+COUNTIFS('Commercial Evidence'!$A$3:$A$502,$A277,'Commercial Evidence'!$B$3:$B$502,"Sponsors similar events")+COUNTIFS('Commercial Evidence'!$A$3:$A$502,$A277,'Commercial Evidence'!$B$3:$B$502,"Previous CBS Talks partner")&gt;0,1,0))))</f>
        <v/>
      </c>
      <c r="AC277" s="32" t="str">
        <f aca="false">IF($A277="","",IF(COUNT(G277,J277,M277,P277,AB277)&lt;5,"",G277+J277+M277+P277+AB277))</f>
        <v/>
      </c>
      <c r="AD277" s="32" t="str">
        <f aca="false">IF($A277="","",IF(COUNTIFS(Contacts!$A$3:$A$502,$A277,Contacts!$E$3:$E$502,"Champion",Contacts!$K$3:$K$502,"&lt;&gt;Yes",Contacts!$L$3:$L$502,"&lt;&gt;Yes")+COUNTIFS(Opportunities!$A$3:$A$502,$A277,Opportunities!$C$3:$C$502,"Won",Opportunities!$Q$3:$Q$502,"Satisfied")&gt;0,4,IF(COUNTIFS(Interactions!$B$3:$B$502,$A277,Interactions!$I$3:$I$502,"Yes",Interactions!$A$3:$A$502,"&gt;="&amp;(S_Today-S_WarmDays))&gt;0,3,IF(T277&lt;&gt;"",2,IF(COUNTIFS(Contacts!$A$3:$A$502,$A277,Contacts!$M$3:$M$502,"Yes",Contacts!$K$3:$K$502,"&lt;&gt;Yes",Contacts!$L$3:$L$502,"&lt;&gt;Yes")&gt;0,1,0)))))</f>
        <v/>
      </c>
      <c r="AE277" s="32" t="str">
        <f aca="false">IF($A277="","",IF(Z277="Yes","Do not contact",IF(AC277="","Research",IF(AND(AC277&gt;=S_FitHigh,AD277&gt;=S_AccessHigh),"Priority",IF(AC277&gt;=S_FitHigh,"Build a Path",IF(AD277&gt;=S_AccessHigh,"Quick Win","Low Priority"))))))</f>
        <v/>
      </c>
      <c r="AF277" s="33" t="str">
        <f aca="false">IF($A277="","",IF(_xlfn.MAXIFS(Interactions!$A$3:$A$502,Interactions!$B$3:$B$502,$A277)=0,"",_xlfn.MAXIFS(Interactions!$A$3:$A$502,Interactions!$B$3:$B$502,$A277)))</f>
        <v/>
      </c>
      <c r="AG277" s="32" t="str">
        <f aca="false">IF($A277="","",COUNTIFS(Opportunities!$A$3:$A$502,$A277,Opportunities!$X$3:$X$502,"Yes"))</f>
        <v/>
      </c>
      <c r="AH277" s="32" t="str">
        <f aca="false">IF($A277="","",_xlfn.TEXTJOIN(", ",TRUE(),IF(COUNTIF($A$3:$A$502,$A277)&gt;1,"Duplicate name",""),IF(OR(AND(G277=2,I277=""),AND(J277=2,L277=""),AND(M277=2,O277=""),AND(P277=2,R277="")),"Source missing for a 2",""),IF(F277="","No owner",IF(COUNTIFS(R_TeamName,F277,R_TeamActive,"No")&gt;0,"Needs new owner","")),IF(AND(V277="Yes",X277&lt;&gt;"",X277&lt;S_SemStart),"Path overdue",""),IF(AND(S277&lt;&gt;"",S277&lt;S_Today-365),"Stale research",""),IF(AND(AE277="Research",COUNTIF('Commercial Evidence'!$A$3:$A$502,$A277)=0),"Add commercial evidence","")))</f>
        <v/>
      </c>
      <c r="AI277" s="34" t="str">
        <f aca="false">IF(OR($A277="",Z277="Yes"),"",IF(AND(AE277="Priority",AG277=0,COUNTIFS(Opportunities!$A$3:$A$502,$A277,Opportunities!$Y$3:$Y$502,"Renewal due")=0),600000+(10-AC277)*1000+(4-AD277)*100+ROW()/100000,IF(V277="Yes",700000+IF(X277="",0,X277-40000)/10+ROW()/100000,IF(AND(AE277="Quick Win",U277&lt;&gt;"",AG277=0),800000+(10-AC277)*1000+ROW()/100000,IF(AND(AE277="Build a Path",COUNTIF($V$3:$V$502,"Yes")&lt;S_PathCap),900000+(10-AC277)*1000+(4-AD277)*100+ROW()/100000,"")))))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8"/>
      <c r="T278" s="27"/>
      <c r="U278" s="27"/>
      <c r="V278" s="27"/>
      <c r="W278" s="27"/>
      <c r="X278" s="28"/>
      <c r="Y278" s="27"/>
      <c r="Z278" s="27"/>
      <c r="AA278" s="27"/>
      <c r="AB278" s="32" t="str">
        <f aca="false">IF($A278="","",IF(COUNTIF('Commercial Evidence'!$A$3:$A$502,$A278)=0,"",IF(COUNTIFS('Commercial Evidence'!$A$3:$A$502,$A278,'Commercial Evidence'!$B$3:$B$502,"Previous CBS Talks spend")+COUNTIFS('Commercial Evidence'!$A$3:$A$502,$A278,'Commercial Evidence'!$B$3:$B$502,"Sponsors student organisations")&gt;0,2,IF(COUNTIFS('Commercial Evidence'!$A$3:$A$502,$A278,'Commercial Evidence'!$B$3:$B$502,"Sponsors university activities")+COUNTIFS('Commercial Evidence'!$A$3:$A$502,$A278,'Commercial Evidence'!$B$3:$B$502,"Sponsors similar events")+COUNTIFS('Commercial Evidence'!$A$3:$A$502,$A278,'Commercial Evidence'!$B$3:$B$502,"Previous CBS Talks partner")&gt;0,1,0))))</f>
        <v/>
      </c>
      <c r="AC278" s="32" t="str">
        <f aca="false">IF($A278="","",IF(COUNT(G278,J278,M278,P278,AB278)&lt;5,"",G278+J278+M278+P278+AB278))</f>
        <v/>
      </c>
      <c r="AD278" s="32" t="str">
        <f aca="false">IF($A278="","",IF(COUNTIFS(Contacts!$A$3:$A$502,$A278,Contacts!$E$3:$E$502,"Champion",Contacts!$K$3:$K$502,"&lt;&gt;Yes",Contacts!$L$3:$L$502,"&lt;&gt;Yes")+COUNTIFS(Opportunities!$A$3:$A$502,$A278,Opportunities!$C$3:$C$502,"Won",Opportunities!$Q$3:$Q$502,"Satisfied")&gt;0,4,IF(COUNTIFS(Interactions!$B$3:$B$502,$A278,Interactions!$I$3:$I$502,"Yes",Interactions!$A$3:$A$502,"&gt;="&amp;(S_Today-S_WarmDays))&gt;0,3,IF(T278&lt;&gt;"",2,IF(COUNTIFS(Contacts!$A$3:$A$502,$A278,Contacts!$M$3:$M$502,"Yes",Contacts!$K$3:$K$502,"&lt;&gt;Yes",Contacts!$L$3:$L$502,"&lt;&gt;Yes")&gt;0,1,0)))))</f>
        <v/>
      </c>
      <c r="AE278" s="32" t="str">
        <f aca="false">IF($A278="","",IF(Z278="Yes","Do not contact",IF(AC278="","Research",IF(AND(AC278&gt;=S_FitHigh,AD278&gt;=S_AccessHigh),"Priority",IF(AC278&gt;=S_FitHigh,"Build a Path",IF(AD278&gt;=S_AccessHigh,"Quick Win","Low Priority"))))))</f>
        <v/>
      </c>
      <c r="AF278" s="33" t="str">
        <f aca="false">IF($A278="","",IF(_xlfn.MAXIFS(Interactions!$A$3:$A$502,Interactions!$B$3:$B$502,$A278)=0,"",_xlfn.MAXIFS(Interactions!$A$3:$A$502,Interactions!$B$3:$B$502,$A278)))</f>
        <v/>
      </c>
      <c r="AG278" s="32" t="str">
        <f aca="false">IF($A278="","",COUNTIFS(Opportunities!$A$3:$A$502,$A278,Opportunities!$X$3:$X$502,"Yes"))</f>
        <v/>
      </c>
      <c r="AH278" s="32" t="str">
        <f aca="false">IF($A278="","",_xlfn.TEXTJOIN(", ",TRUE(),IF(COUNTIF($A$3:$A$502,$A278)&gt;1,"Duplicate name",""),IF(OR(AND(G278=2,I278=""),AND(J278=2,L278=""),AND(M278=2,O278=""),AND(P278=2,R278="")),"Source missing for a 2",""),IF(F278="","No owner",IF(COUNTIFS(R_TeamName,F278,R_TeamActive,"No")&gt;0,"Needs new owner","")),IF(AND(V278="Yes",X278&lt;&gt;"",X278&lt;S_SemStart),"Path overdue",""),IF(AND(S278&lt;&gt;"",S278&lt;S_Today-365),"Stale research",""),IF(AND(AE278="Research",COUNTIF('Commercial Evidence'!$A$3:$A$502,$A278)=0),"Add commercial evidence","")))</f>
        <v/>
      </c>
      <c r="AI278" s="34" t="str">
        <f aca="false">IF(OR($A278="",Z278="Yes"),"",IF(AND(AE278="Priority",AG278=0,COUNTIFS(Opportunities!$A$3:$A$502,$A278,Opportunities!$Y$3:$Y$502,"Renewal due")=0),600000+(10-AC278)*1000+(4-AD278)*100+ROW()/100000,IF(V278="Yes",700000+IF(X278="",0,X278-40000)/10+ROW()/100000,IF(AND(AE278="Quick Win",U278&lt;&gt;"",AG278=0),800000+(10-AC278)*1000+ROW()/100000,IF(AND(AE278="Build a Path",COUNTIF($V$3:$V$502,"Yes")&lt;S_PathCap),900000+(10-AC278)*1000+(4-AD278)*100+ROW()/100000,"")))))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8"/>
      <c r="T279" s="27"/>
      <c r="U279" s="27"/>
      <c r="V279" s="27"/>
      <c r="W279" s="27"/>
      <c r="X279" s="28"/>
      <c r="Y279" s="27"/>
      <c r="Z279" s="27"/>
      <c r="AA279" s="27"/>
      <c r="AB279" s="32" t="str">
        <f aca="false">IF($A279="","",IF(COUNTIF('Commercial Evidence'!$A$3:$A$502,$A279)=0,"",IF(COUNTIFS('Commercial Evidence'!$A$3:$A$502,$A279,'Commercial Evidence'!$B$3:$B$502,"Previous CBS Talks spend")+COUNTIFS('Commercial Evidence'!$A$3:$A$502,$A279,'Commercial Evidence'!$B$3:$B$502,"Sponsors student organisations")&gt;0,2,IF(COUNTIFS('Commercial Evidence'!$A$3:$A$502,$A279,'Commercial Evidence'!$B$3:$B$502,"Sponsors university activities")+COUNTIFS('Commercial Evidence'!$A$3:$A$502,$A279,'Commercial Evidence'!$B$3:$B$502,"Sponsors similar events")+COUNTIFS('Commercial Evidence'!$A$3:$A$502,$A279,'Commercial Evidence'!$B$3:$B$502,"Previous CBS Talks partner")&gt;0,1,0))))</f>
        <v/>
      </c>
      <c r="AC279" s="32" t="str">
        <f aca="false">IF($A279="","",IF(COUNT(G279,J279,M279,P279,AB279)&lt;5,"",G279+J279+M279+P279+AB279))</f>
        <v/>
      </c>
      <c r="AD279" s="32" t="str">
        <f aca="false">IF($A279="","",IF(COUNTIFS(Contacts!$A$3:$A$502,$A279,Contacts!$E$3:$E$502,"Champion",Contacts!$K$3:$K$502,"&lt;&gt;Yes",Contacts!$L$3:$L$502,"&lt;&gt;Yes")+COUNTIFS(Opportunities!$A$3:$A$502,$A279,Opportunities!$C$3:$C$502,"Won",Opportunities!$Q$3:$Q$502,"Satisfied")&gt;0,4,IF(COUNTIFS(Interactions!$B$3:$B$502,$A279,Interactions!$I$3:$I$502,"Yes",Interactions!$A$3:$A$502,"&gt;="&amp;(S_Today-S_WarmDays))&gt;0,3,IF(T279&lt;&gt;"",2,IF(COUNTIFS(Contacts!$A$3:$A$502,$A279,Contacts!$M$3:$M$502,"Yes",Contacts!$K$3:$K$502,"&lt;&gt;Yes",Contacts!$L$3:$L$502,"&lt;&gt;Yes")&gt;0,1,0)))))</f>
        <v/>
      </c>
      <c r="AE279" s="32" t="str">
        <f aca="false">IF($A279="","",IF(Z279="Yes","Do not contact",IF(AC279="","Research",IF(AND(AC279&gt;=S_FitHigh,AD279&gt;=S_AccessHigh),"Priority",IF(AC279&gt;=S_FitHigh,"Build a Path",IF(AD279&gt;=S_AccessHigh,"Quick Win","Low Priority"))))))</f>
        <v/>
      </c>
      <c r="AF279" s="33" t="str">
        <f aca="false">IF($A279="","",IF(_xlfn.MAXIFS(Interactions!$A$3:$A$502,Interactions!$B$3:$B$502,$A279)=0,"",_xlfn.MAXIFS(Interactions!$A$3:$A$502,Interactions!$B$3:$B$502,$A279)))</f>
        <v/>
      </c>
      <c r="AG279" s="32" t="str">
        <f aca="false">IF($A279="","",COUNTIFS(Opportunities!$A$3:$A$502,$A279,Opportunities!$X$3:$X$502,"Yes"))</f>
        <v/>
      </c>
      <c r="AH279" s="32" t="str">
        <f aca="false">IF($A279="","",_xlfn.TEXTJOIN(", ",TRUE(),IF(COUNTIF($A$3:$A$502,$A279)&gt;1,"Duplicate name",""),IF(OR(AND(G279=2,I279=""),AND(J279=2,L279=""),AND(M279=2,O279=""),AND(P279=2,R279="")),"Source missing for a 2",""),IF(F279="","No owner",IF(COUNTIFS(R_TeamName,F279,R_TeamActive,"No")&gt;0,"Needs new owner","")),IF(AND(V279="Yes",X279&lt;&gt;"",X279&lt;S_SemStart),"Path overdue",""),IF(AND(S279&lt;&gt;"",S279&lt;S_Today-365),"Stale research",""),IF(AND(AE279="Research",COUNTIF('Commercial Evidence'!$A$3:$A$502,$A279)=0),"Add commercial evidence","")))</f>
        <v/>
      </c>
      <c r="AI279" s="34" t="str">
        <f aca="false">IF(OR($A279="",Z279="Yes"),"",IF(AND(AE279="Priority",AG279=0,COUNTIFS(Opportunities!$A$3:$A$502,$A279,Opportunities!$Y$3:$Y$502,"Renewal due")=0),600000+(10-AC279)*1000+(4-AD279)*100+ROW()/100000,IF(V279="Yes",700000+IF(X279="",0,X279-40000)/10+ROW()/100000,IF(AND(AE279="Quick Win",U279&lt;&gt;"",AG279=0),800000+(10-AC279)*1000+ROW()/100000,IF(AND(AE279="Build a Path",COUNTIF($V$3:$V$502,"Yes")&lt;S_PathCap),900000+(10-AC279)*1000+(4-AD279)*100+ROW()/100000,"")))))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8"/>
      <c r="T280" s="27"/>
      <c r="U280" s="27"/>
      <c r="V280" s="27"/>
      <c r="W280" s="27"/>
      <c r="X280" s="28"/>
      <c r="Y280" s="27"/>
      <c r="Z280" s="27"/>
      <c r="AA280" s="27"/>
      <c r="AB280" s="32" t="str">
        <f aca="false">IF($A280="","",IF(COUNTIF('Commercial Evidence'!$A$3:$A$502,$A280)=0,"",IF(COUNTIFS('Commercial Evidence'!$A$3:$A$502,$A280,'Commercial Evidence'!$B$3:$B$502,"Previous CBS Talks spend")+COUNTIFS('Commercial Evidence'!$A$3:$A$502,$A280,'Commercial Evidence'!$B$3:$B$502,"Sponsors student organisations")&gt;0,2,IF(COUNTIFS('Commercial Evidence'!$A$3:$A$502,$A280,'Commercial Evidence'!$B$3:$B$502,"Sponsors university activities")+COUNTIFS('Commercial Evidence'!$A$3:$A$502,$A280,'Commercial Evidence'!$B$3:$B$502,"Sponsors similar events")+COUNTIFS('Commercial Evidence'!$A$3:$A$502,$A280,'Commercial Evidence'!$B$3:$B$502,"Previous CBS Talks partner")&gt;0,1,0))))</f>
        <v/>
      </c>
      <c r="AC280" s="32" t="str">
        <f aca="false">IF($A280="","",IF(COUNT(G280,J280,M280,P280,AB280)&lt;5,"",G280+J280+M280+P280+AB280))</f>
        <v/>
      </c>
      <c r="AD280" s="32" t="str">
        <f aca="false">IF($A280="","",IF(COUNTIFS(Contacts!$A$3:$A$502,$A280,Contacts!$E$3:$E$502,"Champion",Contacts!$K$3:$K$502,"&lt;&gt;Yes",Contacts!$L$3:$L$502,"&lt;&gt;Yes")+COUNTIFS(Opportunities!$A$3:$A$502,$A280,Opportunities!$C$3:$C$502,"Won",Opportunities!$Q$3:$Q$502,"Satisfied")&gt;0,4,IF(COUNTIFS(Interactions!$B$3:$B$502,$A280,Interactions!$I$3:$I$502,"Yes",Interactions!$A$3:$A$502,"&gt;="&amp;(S_Today-S_WarmDays))&gt;0,3,IF(T280&lt;&gt;"",2,IF(COUNTIFS(Contacts!$A$3:$A$502,$A280,Contacts!$M$3:$M$502,"Yes",Contacts!$K$3:$K$502,"&lt;&gt;Yes",Contacts!$L$3:$L$502,"&lt;&gt;Yes")&gt;0,1,0)))))</f>
        <v/>
      </c>
      <c r="AE280" s="32" t="str">
        <f aca="false">IF($A280="","",IF(Z280="Yes","Do not contact",IF(AC280="","Research",IF(AND(AC280&gt;=S_FitHigh,AD280&gt;=S_AccessHigh),"Priority",IF(AC280&gt;=S_FitHigh,"Build a Path",IF(AD280&gt;=S_AccessHigh,"Quick Win","Low Priority"))))))</f>
        <v/>
      </c>
      <c r="AF280" s="33" t="str">
        <f aca="false">IF($A280="","",IF(_xlfn.MAXIFS(Interactions!$A$3:$A$502,Interactions!$B$3:$B$502,$A280)=0,"",_xlfn.MAXIFS(Interactions!$A$3:$A$502,Interactions!$B$3:$B$502,$A280)))</f>
        <v/>
      </c>
      <c r="AG280" s="32" t="str">
        <f aca="false">IF($A280="","",COUNTIFS(Opportunities!$A$3:$A$502,$A280,Opportunities!$X$3:$X$502,"Yes"))</f>
        <v/>
      </c>
      <c r="AH280" s="32" t="str">
        <f aca="false">IF($A280="","",_xlfn.TEXTJOIN(", ",TRUE(),IF(COUNTIF($A$3:$A$502,$A280)&gt;1,"Duplicate name",""),IF(OR(AND(G280=2,I280=""),AND(J280=2,L280=""),AND(M280=2,O280=""),AND(P280=2,R280="")),"Source missing for a 2",""),IF(F280="","No owner",IF(COUNTIFS(R_TeamName,F280,R_TeamActive,"No")&gt;0,"Needs new owner","")),IF(AND(V280="Yes",X280&lt;&gt;"",X280&lt;S_SemStart),"Path overdue",""),IF(AND(S280&lt;&gt;"",S280&lt;S_Today-365),"Stale research",""),IF(AND(AE280="Research",COUNTIF('Commercial Evidence'!$A$3:$A$502,$A280)=0),"Add commercial evidence","")))</f>
        <v/>
      </c>
      <c r="AI280" s="34" t="str">
        <f aca="false">IF(OR($A280="",Z280="Yes"),"",IF(AND(AE280="Priority",AG280=0,COUNTIFS(Opportunities!$A$3:$A$502,$A280,Opportunities!$Y$3:$Y$502,"Renewal due")=0),600000+(10-AC280)*1000+(4-AD280)*100+ROW()/100000,IF(V280="Yes",700000+IF(X280="",0,X280-40000)/10+ROW()/100000,IF(AND(AE280="Quick Win",U280&lt;&gt;"",AG280=0),800000+(10-AC280)*1000+ROW()/100000,IF(AND(AE280="Build a Path",COUNTIF($V$3:$V$502,"Yes")&lt;S_PathCap),900000+(10-AC280)*1000+(4-AD280)*100+ROW()/100000,"")))))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8"/>
      <c r="T281" s="27"/>
      <c r="U281" s="27"/>
      <c r="V281" s="27"/>
      <c r="W281" s="27"/>
      <c r="X281" s="28"/>
      <c r="Y281" s="27"/>
      <c r="Z281" s="27"/>
      <c r="AA281" s="27"/>
      <c r="AB281" s="32" t="str">
        <f aca="false">IF($A281="","",IF(COUNTIF('Commercial Evidence'!$A$3:$A$502,$A281)=0,"",IF(COUNTIFS('Commercial Evidence'!$A$3:$A$502,$A281,'Commercial Evidence'!$B$3:$B$502,"Previous CBS Talks spend")+COUNTIFS('Commercial Evidence'!$A$3:$A$502,$A281,'Commercial Evidence'!$B$3:$B$502,"Sponsors student organisations")&gt;0,2,IF(COUNTIFS('Commercial Evidence'!$A$3:$A$502,$A281,'Commercial Evidence'!$B$3:$B$502,"Sponsors university activities")+COUNTIFS('Commercial Evidence'!$A$3:$A$502,$A281,'Commercial Evidence'!$B$3:$B$502,"Sponsors similar events")+COUNTIFS('Commercial Evidence'!$A$3:$A$502,$A281,'Commercial Evidence'!$B$3:$B$502,"Previous CBS Talks partner")&gt;0,1,0))))</f>
        <v/>
      </c>
      <c r="AC281" s="32" t="str">
        <f aca="false">IF($A281="","",IF(COUNT(G281,J281,M281,P281,AB281)&lt;5,"",G281+J281+M281+P281+AB281))</f>
        <v/>
      </c>
      <c r="AD281" s="32" t="str">
        <f aca="false">IF($A281="","",IF(COUNTIFS(Contacts!$A$3:$A$502,$A281,Contacts!$E$3:$E$502,"Champion",Contacts!$K$3:$K$502,"&lt;&gt;Yes",Contacts!$L$3:$L$502,"&lt;&gt;Yes")+COUNTIFS(Opportunities!$A$3:$A$502,$A281,Opportunities!$C$3:$C$502,"Won",Opportunities!$Q$3:$Q$502,"Satisfied")&gt;0,4,IF(COUNTIFS(Interactions!$B$3:$B$502,$A281,Interactions!$I$3:$I$502,"Yes",Interactions!$A$3:$A$502,"&gt;="&amp;(S_Today-S_WarmDays))&gt;0,3,IF(T281&lt;&gt;"",2,IF(COUNTIFS(Contacts!$A$3:$A$502,$A281,Contacts!$M$3:$M$502,"Yes",Contacts!$K$3:$K$502,"&lt;&gt;Yes",Contacts!$L$3:$L$502,"&lt;&gt;Yes")&gt;0,1,0)))))</f>
        <v/>
      </c>
      <c r="AE281" s="32" t="str">
        <f aca="false">IF($A281="","",IF(Z281="Yes","Do not contact",IF(AC281="","Research",IF(AND(AC281&gt;=S_FitHigh,AD281&gt;=S_AccessHigh),"Priority",IF(AC281&gt;=S_FitHigh,"Build a Path",IF(AD281&gt;=S_AccessHigh,"Quick Win","Low Priority"))))))</f>
        <v/>
      </c>
      <c r="AF281" s="33" t="str">
        <f aca="false">IF($A281="","",IF(_xlfn.MAXIFS(Interactions!$A$3:$A$502,Interactions!$B$3:$B$502,$A281)=0,"",_xlfn.MAXIFS(Interactions!$A$3:$A$502,Interactions!$B$3:$B$502,$A281)))</f>
        <v/>
      </c>
      <c r="AG281" s="32" t="str">
        <f aca="false">IF($A281="","",COUNTIFS(Opportunities!$A$3:$A$502,$A281,Opportunities!$X$3:$X$502,"Yes"))</f>
        <v/>
      </c>
      <c r="AH281" s="32" t="str">
        <f aca="false">IF($A281="","",_xlfn.TEXTJOIN(", ",TRUE(),IF(COUNTIF($A$3:$A$502,$A281)&gt;1,"Duplicate name",""),IF(OR(AND(G281=2,I281=""),AND(J281=2,L281=""),AND(M281=2,O281=""),AND(P281=2,R281="")),"Source missing for a 2",""),IF(F281="","No owner",IF(COUNTIFS(R_TeamName,F281,R_TeamActive,"No")&gt;0,"Needs new owner","")),IF(AND(V281="Yes",X281&lt;&gt;"",X281&lt;S_SemStart),"Path overdue",""),IF(AND(S281&lt;&gt;"",S281&lt;S_Today-365),"Stale research",""),IF(AND(AE281="Research",COUNTIF('Commercial Evidence'!$A$3:$A$502,$A281)=0),"Add commercial evidence","")))</f>
        <v/>
      </c>
      <c r="AI281" s="34" t="str">
        <f aca="false">IF(OR($A281="",Z281="Yes"),"",IF(AND(AE281="Priority",AG281=0,COUNTIFS(Opportunities!$A$3:$A$502,$A281,Opportunities!$Y$3:$Y$502,"Renewal due")=0),600000+(10-AC281)*1000+(4-AD281)*100+ROW()/100000,IF(V281="Yes",700000+IF(X281="",0,X281-40000)/10+ROW()/100000,IF(AND(AE281="Quick Win",U281&lt;&gt;"",AG281=0),800000+(10-AC281)*1000+ROW()/100000,IF(AND(AE281="Build a Path",COUNTIF($V$3:$V$502,"Yes")&lt;S_PathCap),900000+(10-AC281)*1000+(4-AD281)*100+ROW()/100000,"")))))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8"/>
      <c r="T282" s="27"/>
      <c r="U282" s="27"/>
      <c r="V282" s="27"/>
      <c r="W282" s="27"/>
      <c r="X282" s="28"/>
      <c r="Y282" s="27"/>
      <c r="Z282" s="27"/>
      <c r="AA282" s="27"/>
      <c r="AB282" s="32" t="str">
        <f aca="false">IF($A282="","",IF(COUNTIF('Commercial Evidence'!$A$3:$A$502,$A282)=0,"",IF(COUNTIFS('Commercial Evidence'!$A$3:$A$502,$A282,'Commercial Evidence'!$B$3:$B$502,"Previous CBS Talks spend")+COUNTIFS('Commercial Evidence'!$A$3:$A$502,$A282,'Commercial Evidence'!$B$3:$B$502,"Sponsors student organisations")&gt;0,2,IF(COUNTIFS('Commercial Evidence'!$A$3:$A$502,$A282,'Commercial Evidence'!$B$3:$B$502,"Sponsors university activities")+COUNTIFS('Commercial Evidence'!$A$3:$A$502,$A282,'Commercial Evidence'!$B$3:$B$502,"Sponsors similar events")+COUNTIFS('Commercial Evidence'!$A$3:$A$502,$A282,'Commercial Evidence'!$B$3:$B$502,"Previous CBS Talks partner")&gt;0,1,0))))</f>
        <v/>
      </c>
      <c r="AC282" s="32" t="str">
        <f aca="false">IF($A282="","",IF(COUNT(G282,J282,M282,P282,AB282)&lt;5,"",G282+J282+M282+P282+AB282))</f>
        <v/>
      </c>
      <c r="AD282" s="32" t="str">
        <f aca="false">IF($A282="","",IF(COUNTIFS(Contacts!$A$3:$A$502,$A282,Contacts!$E$3:$E$502,"Champion",Contacts!$K$3:$K$502,"&lt;&gt;Yes",Contacts!$L$3:$L$502,"&lt;&gt;Yes")+COUNTIFS(Opportunities!$A$3:$A$502,$A282,Opportunities!$C$3:$C$502,"Won",Opportunities!$Q$3:$Q$502,"Satisfied")&gt;0,4,IF(COUNTIFS(Interactions!$B$3:$B$502,$A282,Interactions!$I$3:$I$502,"Yes",Interactions!$A$3:$A$502,"&gt;="&amp;(S_Today-S_WarmDays))&gt;0,3,IF(T282&lt;&gt;"",2,IF(COUNTIFS(Contacts!$A$3:$A$502,$A282,Contacts!$M$3:$M$502,"Yes",Contacts!$K$3:$K$502,"&lt;&gt;Yes",Contacts!$L$3:$L$502,"&lt;&gt;Yes")&gt;0,1,0)))))</f>
        <v/>
      </c>
      <c r="AE282" s="32" t="str">
        <f aca="false">IF($A282="","",IF(Z282="Yes","Do not contact",IF(AC282="","Research",IF(AND(AC282&gt;=S_FitHigh,AD282&gt;=S_AccessHigh),"Priority",IF(AC282&gt;=S_FitHigh,"Build a Path",IF(AD282&gt;=S_AccessHigh,"Quick Win","Low Priority"))))))</f>
        <v/>
      </c>
      <c r="AF282" s="33" t="str">
        <f aca="false">IF($A282="","",IF(_xlfn.MAXIFS(Interactions!$A$3:$A$502,Interactions!$B$3:$B$502,$A282)=0,"",_xlfn.MAXIFS(Interactions!$A$3:$A$502,Interactions!$B$3:$B$502,$A282)))</f>
        <v/>
      </c>
      <c r="AG282" s="32" t="str">
        <f aca="false">IF($A282="","",COUNTIFS(Opportunities!$A$3:$A$502,$A282,Opportunities!$X$3:$X$502,"Yes"))</f>
        <v/>
      </c>
      <c r="AH282" s="32" t="str">
        <f aca="false">IF($A282="","",_xlfn.TEXTJOIN(", ",TRUE(),IF(COUNTIF($A$3:$A$502,$A282)&gt;1,"Duplicate name",""),IF(OR(AND(G282=2,I282=""),AND(J282=2,L282=""),AND(M282=2,O282=""),AND(P282=2,R282="")),"Source missing for a 2",""),IF(F282="","No owner",IF(COUNTIFS(R_TeamName,F282,R_TeamActive,"No")&gt;0,"Needs new owner","")),IF(AND(V282="Yes",X282&lt;&gt;"",X282&lt;S_SemStart),"Path overdue",""),IF(AND(S282&lt;&gt;"",S282&lt;S_Today-365),"Stale research",""),IF(AND(AE282="Research",COUNTIF('Commercial Evidence'!$A$3:$A$502,$A282)=0),"Add commercial evidence","")))</f>
        <v/>
      </c>
      <c r="AI282" s="34" t="str">
        <f aca="false">IF(OR($A282="",Z282="Yes"),"",IF(AND(AE282="Priority",AG282=0,COUNTIFS(Opportunities!$A$3:$A$502,$A282,Opportunities!$Y$3:$Y$502,"Renewal due")=0),600000+(10-AC282)*1000+(4-AD282)*100+ROW()/100000,IF(V282="Yes",700000+IF(X282="",0,X282-40000)/10+ROW()/100000,IF(AND(AE282="Quick Win",U282&lt;&gt;"",AG282=0),800000+(10-AC282)*1000+ROW()/100000,IF(AND(AE282="Build a Path",COUNTIF($V$3:$V$502,"Yes")&lt;S_PathCap),900000+(10-AC282)*1000+(4-AD282)*100+ROW()/100000,"")))))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8"/>
      <c r="T283" s="27"/>
      <c r="U283" s="27"/>
      <c r="V283" s="27"/>
      <c r="W283" s="27"/>
      <c r="X283" s="28"/>
      <c r="Y283" s="27"/>
      <c r="Z283" s="27"/>
      <c r="AA283" s="27"/>
      <c r="AB283" s="32" t="str">
        <f aca="false">IF($A283="","",IF(COUNTIF('Commercial Evidence'!$A$3:$A$502,$A283)=0,"",IF(COUNTIFS('Commercial Evidence'!$A$3:$A$502,$A283,'Commercial Evidence'!$B$3:$B$502,"Previous CBS Talks spend")+COUNTIFS('Commercial Evidence'!$A$3:$A$502,$A283,'Commercial Evidence'!$B$3:$B$502,"Sponsors student organisations")&gt;0,2,IF(COUNTIFS('Commercial Evidence'!$A$3:$A$502,$A283,'Commercial Evidence'!$B$3:$B$502,"Sponsors university activities")+COUNTIFS('Commercial Evidence'!$A$3:$A$502,$A283,'Commercial Evidence'!$B$3:$B$502,"Sponsors similar events")+COUNTIFS('Commercial Evidence'!$A$3:$A$502,$A283,'Commercial Evidence'!$B$3:$B$502,"Previous CBS Talks partner")&gt;0,1,0))))</f>
        <v/>
      </c>
      <c r="AC283" s="32" t="str">
        <f aca="false">IF($A283="","",IF(COUNT(G283,J283,M283,P283,AB283)&lt;5,"",G283+J283+M283+P283+AB283))</f>
        <v/>
      </c>
      <c r="AD283" s="32" t="str">
        <f aca="false">IF($A283="","",IF(COUNTIFS(Contacts!$A$3:$A$502,$A283,Contacts!$E$3:$E$502,"Champion",Contacts!$K$3:$K$502,"&lt;&gt;Yes",Contacts!$L$3:$L$502,"&lt;&gt;Yes")+COUNTIFS(Opportunities!$A$3:$A$502,$A283,Opportunities!$C$3:$C$502,"Won",Opportunities!$Q$3:$Q$502,"Satisfied")&gt;0,4,IF(COUNTIFS(Interactions!$B$3:$B$502,$A283,Interactions!$I$3:$I$502,"Yes",Interactions!$A$3:$A$502,"&gt;="&amp;(S_Today-S_WarmDays))&gt;0,3,IF(T283&lt;&gt;"",2,IF(COUNTIFS(Contacts!$A$3:$A$502,$A283,Contacts!$M$3:$M$502,"Yes",Contacts!$K$3:$K$502,"&lt;&gt;Yes",Contacts!$L$3:$L$502,"&lt;&gt;Yes")&gt;0,1,0)))))</f>
        <v/>
      </c>
      <c r="AE283" s="32" t="str">
        <f aca="false">IF($A283="","",IF(Z283="Yes","Do not contact",IF(AC283="","Research",IF(AND(AC283&gt;=S_FitHigh,AD283&gt;=S_AccessHigh),"Priority",IF(AC283&gt;=S_FitHigh,"Build a Path",IF(AD283&gt;=S_AccessHigh,"Quick Win","Low Priority"))))))</f>
        <v/>
      </c>
      <c r="AF283" s="33" t="str">
        <f aca="false">IF($A283="","",IF(_xlfn.MAXIFS(Interactions!$A$3:$A$502,Interactions!$B$3:$B$502,$A283)=0,"",_xlfn.MAXIFS(Interactions!$A$3:$A$502,Interactions!$B$3:$B$502,$A283)))</f>
        <v/>
      </c>
      <c r="AG283" s="32" t="str">
        <f aca="false">IF($A283="","",COUNTIFS(Opportunities!$A$3:$A$502,$A283,Opportunities!$X$3:$X$502,"Yes"))</f>
        <v/>
      </c>
      <c r="AH283" s="32" t="str">
        <f aca="false">IF($A283="","",_xlfn.TEXTJOIN(", ",TRUE(),IF(COUNTIF($A$3:$A$502,$A283)&gt;1,"Duplicate name",""),IF(OR(AND(G283=2,I283=""),AND(J283=2,L283=""),AND(M283=2,O283=""),AND(P283=2,R283="")),"Source missing for a 2",""),IF(F283="","No owner",IF(COUNTIFS(R_TeamName,F283,R_TeamActive,"No")&gt;0,"Needs new owner","")),IF(AND(V283="Yes",X283&lt;&gt;"",X283&lt;S_SemStart),"Path overdue",""),IF(AND(S283&lt;&gt;"",S283&lt;S_Today-365),"Stale research",""),IF(AND(AE283="Research",COUNTIF('Commercial Evidence'!$A$3:$A$502,$A283)=0),"Add commercial evidence","")))</f>
        <v/>
      </c>
      <c r="AI283" s="34" t="str">
        <f aca="false">IF(OR($A283="",Z283="Yes"),"",IF(AND(AE283="Priority",AG283=0,COUNTIFS(Opportunities!$A$3:$A$502,$A283,Opportunities!$Y$3:$Y$502,"Renewal due")=0),600000+(10-AC283)*1000+(4-AD283)*100+ROW()/100000,IF(V283="Yes",700000+IF(X283="",0,X283-40000)/10+ROW()/100000,IF(AND(AE283="Quick Win",U283&lt;&gt;"",AG283=0),800000+(10-AC283)*1000+ROW()/100000,IF(AND(AE283="Build a Path",COUNTIF($V$3:$V$502,"Yes")&lt;S_PathCap),900000+(10-AC283)*1000+(4-AD283)*100+ROW()/100000,"")))))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8"/>
      <c r="T284" s="27"/>
      <c r="U284" s="27"/>
      <c r="V284" s="27"/>
      <c r="W284" s="27"/>
      <c r="X284" s="28"/>
      <c r="Y284" s="27"/>
      <c r="Z284" s="27"/>
      <c r="AA284" s="27"/>
      <c r="AB284" s="32" t="str">
        <f aca="false">IF($A284="","",IF(COUNTIF('Commercial Evidence'!$A$3:$A$502,$A284)=0,"",IF(COUNTIFS('Commercial Evidence'!$A$3:$A$502,$A284,'Commercial Evidence'!$B$3:$B$502,"Previous CBS Talks spend")+COUNTIFS('Commercial Evidence'!$A$3:$A$502,$A284,'Commercial Evidence'!$B$3:$B$502,"Sponsors student organisations")&gt;0,2,IF(COUNTIFS('Commercial Evidence'!$A$3:$A$502,$A284,'Commercial Evidence'!$B$3:$B$502,"Sponsors university activities")+COUNTIFS('Commercial Evidence'!$A$3:$A$502,$A284,'Commercial Evidence'!$B$3:$B$502,"Sponsors similar events")+COUNTIFS('Commercial Evidence'!$A$3:$A$502,$A284,'Commercial Evidence'!$B$3:$B$502,"Previous CBS Talks partner")&gt;0,1,0))))</f>
        <v/>
      </c>
      <c r="AC284" s="32" t="str">
        <f aca="false">IF($A284="","",IF(COUNT(G284,J284,M284,P284,AB284)&lt;5,"",G284+J284+M284+P284+AB284))</f>
        <v/>
      </c>
      <c r="AD284" s="32" t="str">
        <f aca="false">IF($A284="","",IF(COUNTIFS(Contacts!$A$3:$A$502,$A284,Contacts!$E$3:$E$502,"Champion",Contacts!$K$3:$K$502,"&lt;&gt;Yes",Contacts!$L$3:$L$502,"&lt;&gt;Yes")+COUNTIFS(Opportunities!$A$3:$A$502,$A284,Opportunities!$C$3:$C$502,"Won",Opportunities!$Q$3:$Q$502,"Satisfied")&gt;0,4,IF(COUNTIFS(Interactions!$B$3:$B$502,$A284,Interactions!$I$3:$I$502,"Yes",Interactions!$A$3:$A$502,"&gt;="&amp;(S_Today-S_WarmDays))&gt;0,3,IF(T284&lt;&gt;"",2,IF(COUNTIFS(Contacts!$A$3:$A$502,$A284,Contacts!$M$3:$M$502,"Yes",Contacts!$K$3:$K$502,"&lt;&gt;Yes",Contacts!$L$3:$L$502,"&lt;&gt;Yes")&gt;0,1,0)))))</f>
        <v/>
      </c>
      <c r="AE284" s="32" t="str">
        <f aca="false">IF($A284="","",IF(Z284="Yes","Do not contact",IF(AC284="","Research",IF(AND(AC284&gt;=S_FitHigh,AD284&gt;=S_AccessHigh),"Priority",IF(AC284&gt;=S_FitHigh,"Build a Path",IF(AD284&gt;=S_AccessHigh,"Quick Win","Low Priority"))))))</f>
        <v/>
      </c>
      <c r="AF284" s="33" t="str">
        <f aca="false">IF($A284="","",IF(_xlfn.MAXIFS(Interactions!$A$3:$A$502,Interactions!$B$3:$B$502,$A284)=0,"",_xlfn.MAXIFS(Interactions!$A$3:$A$502,Interactions!$B$3:$B$502,$A284)))</f>
        <v/>
      </c>
      <c r="AG284" s="32" t="str">
        <f aca="false">IF($A284="","",COUNTIFS(Opportunities!$A$3:$A$502,$A284,Opportunities!$X$3:$X$502,"Yes"))</f>
        <v/>
      </c>
      <c r="AH284" s="32" t="str">
        <f aca="false">IF($A284="","",_xlfn.TEXTJOIN(", ",TRUE(),IF(COUNTIF($A$3:$A$502,$A284)&gt;1,"Duplicate name",""),IF(OR(AND(G284=2,I284=""),AND(J284=2,L284=""),AND(M284=2,O284=""),AND(P284=2,R284="")),"Source missing for a 2",""),IF(F284="","No owner",IF(COUNTIFS(R_TeamName,F284,R_TeamActive,"No")&gt;0,"Needs new owner","")),IF(AND(V284="Yes",X284&lt;&gt;"",X284&lt;S_SemStart),"Path overdue",""),IF(AND(S284&lt;&gt;"",S284&lt;S_Today-365),"Stale research",""),IF(AND(AE284="Research",COUNTIF('Commercial Evidence'!$A$3:$A$502,$A284)=0),"Add commercial evidence","")))</f>
        <v/>
      </c>
      <c r="AI284" s="34" t="str">
        <f aca="false">IF(OR($A284="",Z284="Yes"),"",IF(AND(AE284="Priority",AG284=0,COUNTIFS(Opportunities!$A$3:$A$502,$A284,Opportunities!$Y$3:$Y$502,"Renewal due")=0),600000+(10-AC284)*1000+(4-AD284)*100+ROW()/100000,IF(V284="Yes",700000+IF(X284="",0,X284-40000)/10+ROW()/100000,IF(AND(AE284="Quick Win",U284&lt;&gt;"",AG284=0),800000+(10-AC284)*1000+ROW()/100000,IF(AND(AE284="Build a Path",COUNTIF($V$3:$V$502,"Yes")&lt;S_PathCap),900000+(10-AC284)*1000+(4-AD284)*100+ROW()/100000,"")))))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8"/>
      <c r="T285" s="27"/>
      <c r="U285" s="27"/>
      <c r="V285" s="27"/>
      <c r="W285" s="27"/>
      <c r="X285" s="28"/>
      <c r="Y285" s="27"/>
      <c r="Z285" s="27"/>
      <c r="AA285" s="27"/>
      <c r="AB285" s="32" t="str">
        <f aca="false">IF($A285="","",IF(COUNTIF('Commercial Evidence'!$A$3:$A$502,$A285)=0,"",IF(COUNTIFS('Commercial Evidence'!$A$3:$A$502,$A285,'Commercial Evidence'!$B$3:$B$502,"Previous CBS Talks spend")+COUNTIFS('Commercial Evidence'!$A$3:$A$502,$A285,'Commercial Evidence'!$B$3:$B$502,"Sponsors student organisations")&gt;0,2,IF(COUNTIFS('Commercial Evidence'!$A$3:$A$502,$A285,'Commercial Evidence'!$B$3:$B$502,"Sponsors university activities")+COUNTIFS('Commercial Evidence'!$A$3:$A$502,$A285,'Commercial Evidence'!$B$3:$B$502,"Sponsors similar events")+COUNTIFS('Commercial Evidence'!$A$3:$A$502,$A285,'Commercial Evidence'!$B$3:$B$502,"Previous CBS Talks partner")&gt;0,1,0))))</f>
        <v/>
      </c>
      <c r="AC285" s="32" t="str">
        <f aca="false">IF($A285="","",IF(COUNT(G285,J285,M285,P285,AB285)&lt;5,"",G285+J285+M285+P285+AB285))</f>
        <v/>
      </c>
      <c r="AD285" s="32" t="str">
        <f aca="false">IF($A285="","",IF(COUNTIFS(Contacts!$A$3:$A$502,$A285,Contacts!$E$3:$E$502,"Champion",Contacts!$K$3:$K$502,"&lt;&gt;Yes",Contacts!$L$3:$L$502,"&lt;&gt;Yes")+COUNTIFS(Opportunities!$A$3:$A$502,$A285,Opportunities!$C$3:$C$502,"Won",Opportunities!$Q$3:$Q$502,"Satisfied")&gt;0,4,IF(COUNTIFS(Interactions!$B$3:$B$502,$A285,Interactions!$I$3:$I$502,"Yes",Interactions!$A$3:$A$502,"&gt;="&amp;(S_Today-S_WarmDays))&gt;0,3,IF(T285&lt;&gt;"",2,IF(COUNTIFS(Contacts!$A$3:$A$502,$A285,Contacts!$M$3:$M$502,"Yes",Contacts!$K$3:$K$502,"&lt;&gt;Yes",Contacts!$L$3:$L$502,"&lt;&gt;Yes")&gt;0,1,0)))))</f>
        <v/>
      </c>
      <c r="AE285" s="32" t="str">
        <f aca="false">IF($A285="","",IF(Z285="Yes","Do not contact",IF(AC285="","Research",IF(AND(AC285&gt;=S_FitHigh,AD285&gt;=S_AccessHigh),"Priority",IF(AC285&gt;=S_FitHigh,"Build a Path",IF(AD285&gt;=S_AccessHigh,"Quick Win","Low Priority"))))))</f>
        <v/>
      </c>
      <c r="AF285" s="33" t="str">
        <f aca="false">IF($A285="","",IF(_xlfn.MAXIFS(Interactions!$A$3:$A$502,Interactions!$B$3:$B$502,$A285)=0,"",_xlfn.MAXIFS(Interactions!$A$3:$A$502,Interactions!$B$3:$B$502,$A285)))</f>
        <v/>
      </c>
      <c r="AG285" s="32" t="str">
        <f aca="false">IF($A285="","",COUNTIFS(Opportunities!$A$3:$A$502,$A285,Opportunities!$X$3:$X$502,"Yes"))</f>
        <v/>
      </c>
      <c r="AH285" s="32" t="str">
        <f aca="false">IF($A285="","",_xlfn.TEXTJOIN(", ",TRUE(),IF(COUNTIF($A$3:$A$502,$A285)&gt;1,"Duplicate name",""),IF(OR(AND(G285=2,I285=""),AND(J285=2,L285=""),AND(M285=2,O285=""),AND(P285=2,R285="")),"Source missing for a 2",""),IF(F285="","No owner",IF(COUNTIFS(R_TeamName,F285,R_TeamActive,"No")&gt;0,"Needs new owner","")),IF(AND(V285="Yes",X285&lt;&gt;"",X285&lt;S_SemStart),"Path overdue",""),IF(AND(S285&lt;&gt;"",S285&lt;S_Today-365),"Stale research",""),IF(AND(AE285="Research",COUNTIF('Commercial Evidence'!$A$3:$A$502,$A285)=0),"Add commercial evidence","")))</f>
        <v/>
      </c>
      <c r="AI285" s="34" t="str">
        <f aca="false">IF(OR($A285="",Z285="Yes"),"",IF(AND(AE285="Priority",AG285=0,COUNTIFS(Opportunities!$A$3:$A$502,$A285,Opportunities!$Y$3:$Y$502,"Renewal due")=0),600000+(10-AC285)*1000+(4-AD285)*100+ROW()/100000,IF(V285="Yes",700000+IF(X285="",0,X285-40000)/10+ROW()/100000,IF(AND(AE285="Quick Win",U285&lt;&gt;"",AG285=0),800000+(10-AC285)*1000+ROW()/100000,IF(AND(AE285="Build a Path",COUNTIF($V$3:$V$502,"Yes")&lt;S_PathCap),900000+(10-AC285)*1000+(4-AD285)*100+ROW()/100000,"")))))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8"/>
      <c r="T286" s="27"/>
      <c r="U286" s="27"/>
      <c r="V286" s="27"/>
      <c r="W286" s="27"/>
      <c r="X286" s="28"/>
      <c r="Y286" s="27"/>
      <c r="Z286" s="27"/>
      <c r="AA286" s="27"/>
      <c r="AB286" s="32" t="str">
        <f aca="false">IF($A286="","",IF(COUNTIF('Commercial Evidence'!$A$3:$A$502,$A286)=0,"",IF(COUNTIFS('Commercial Evidence'!$A$3:$A$502,$A286,'Commercial Evidence'!$B$3:$B$502,"Previous CBS Talks spend")+COUNTIFS('Commercial Evidence'!$A$3:$A$502,$A286,'Commercial Evidence'!$B$3:$B$502,"Sponsors student organisations")&gt;0,2,IF(COUNTIFS('Commercial Evidence'!$A$3:$A$502,$A286,'Commercial Evidence'!$B$3:$B$502,"Sponsors university activities")+COUNTIFS('Commercial Evidence'!$A$3:$A$502,$A286,'Commercial Evidence'!$B$3:$B$502,"Sponsors similar events")+COUNTIFS('Commercial Evidence'!$A$3:$A$502,$A286,'Commercial Evidence'!$B$3:$B$502,"Previous CBS Talks partner")&gt;0,1,0))))</f>
        <v/>
      </c>
      <c r="AC286" s="32" t="str">
        <f aca="false">IF($A286="","",IF(COUNT(G286,J286,M286,P286,AB286)&lt;5,"",G286+J286+M286+P286+AB286))</f>
        <v/>
      </c>
      <c r="AD286" s="32" t="str">
        <f aca="false">IF($A286="","",IF(COUNTIFS(Contacts!$A$3:$A$502,$A286,Contacts!$E$3:$E$502,"Champion",Contacts!$K$3:$K$502,"&lt;&gt;Yes",Contacts!$L$3:$L$502,"&lt;&gt;Yes")+COUNTIFS(Opportunities!$A$3:$A$502,$A286,Opportunities!$C$3:$C$502,"Won",Opportunities!$Q$3:$Q$502,"Satisfied")&gt;0,4,IF(COUNTIFS(Interactions!$B$3:$B$502,$A286,Interactions!$I$3:$I$502,"Yes",Interactions!$A$3:$A$502,"&gt;="&amp;(S_Today-S_WarmDays))&gt;0,3,IF(T286&lt;&gt;"",2,IF(COUNTIFS(Contacts!$A$3:$A$502,$A286,Contacts!$M$3:$M$502,"Yes",Contacts!$K$3:$K$502,"&lt;&gt;Yes",Contacts!$L$3:$L$502,"&lt;&gt;Yes")&gt;0,1,0)))))</f>
        <v/>
      </c>
      <c r="AE286" s="32" t="str">
        <f aca="false">IF($A286="","",IF(Z286="Yes","Do not contact",IF(AC286="","Research",IF(AND(AC286&gt;=S_FitHigh,AD286&gt;=S_AccessHigh),"Priority",IF(AC286&gt;=S_FitHigh,"Build a Path",IF(AD286&gt;=S_AccessHigh,"Quick Win","Low Priority"))))))</f>
        <v/>
      </c>
      <c r="AF286" s="33" t="str">
        <f aca="false">IF($A286="","",IF(_xlfn.MAXIFS(Interactions!$A$3:$A$502,Interactions!$B$3:$B$502,$A286)=0,"",_xlfn.MAXIFS(Interactions!$A$3:$A$502,Interactions!$B$3:$B$502,$A286)))</f>
        <v/>
      </c>
      <c r="AG286" s="32" t="str">
        <f aca="false">IF($A286="","",COUNTIFS(Opportunities!$A$3:$A$502,$A286,Opportunities!$X$3:$X$502,"Yes"))</f>
        <v/>
      </c>
      <c r="AH286" s="32" t="str">
        <f aca="false">IF($A286="","",_xlfn.TEXTJOIN(", ",TRUE(),IF(COUNTIF($A$3:$A$502,$A286)&gt;1,"Duplicate name",""),IF(OR(AND(G286=2,I286=""),AND(J286=2,L286=""),AND(M286=2,O286=""),AND(P286=2,R286="")),"Source missing for a 2",""),IF(F286="","No owner",IF(COUNTIFS(R_TeamName,F286,R_TeamActive,"No")&gt;0,"Needs new owner","")),IF(AND(V286="Yes",X286&lt;&gt;"",X286&lt;S_SemStart),"Path overdue",""),IF(AND(S286&lt;&gt;"",S286&lt;S_Today-365),"Stale research",""),IF(AND(AE286="Research",COUNTIF('Commercial Evidence'!$A$3:$A$502,$A286)=0),"Add commercial evidence","")))</f>
        <v/>
      </c>
      <c r="AI286" s="34" t="str">
        <f aca="false">IF(OR($A286="",Z286="Yes"),"",IF(AND(AE286="Priority",AG286=0,COUNTIFS(Opportunities!$A$3:$A$502,$A286,Opportunities!$Y$3:$Y$502,"Renewal due")=0),600000+(10-AC286)*1000+(4-AD286)*100+ROW()/100000,IF(V286="Yes",700000+IF(X286="",0,X286-40000)/10+ROW()/100000,IF(AND(AE286="Quick Win",U286&lt;&gt;"",AG286=0),800000+(10-AC286)*1000+ROW()/100000,IF(AND(AE286="Build a Path",COUNTIF($V$3:$V$502,"Yes")&lt;S_PathCap),900000+(10-AC286)*1000+(4-AD286)*100+ROW()/100000,"")))))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8"/>
      <c r="T287" s="27"/>
      <c r="U287" s="27"/>
      <c r="V287" s="27"/>
      <c r="W287" s="27"/>
      <c r="X287" s="28"/>
      <c r="Y287" s="27"/>
      <c r="Z287" s="27"/>
      <c r="AA287" s="27"/>
      <c r="AB287" s="32" t="str">
        <f aca="false">IF($A287="","",IF(COUNTIF('Commercial Evidence'!$A$3:$A$502,$A287)=0,"",IF(COUNTIFS('Commercial Evidence'!$A$3:$A$502,$A287,'Commercial Evidence'!$B$3:$B$502,"Previous CBS Talks spend")+COUNTIFS('Commercial Evidence'!$A$3:$A$502,$A287,'Commercial Evidence'!$B$3:$B$502,"Sponsors student organisations")&gt;0,2,IF(COUNTIFS('Commercial Evidence'!$A$3:$A$502,$A287,'Commercial Evidence'!$B$3:$B$502,"Sponsors university activities")+COUNTIFS('Commercial Evidence'!$A$3:$A$502,$A287,'Commercial Evidence'!$B$3:$B$502,"Sponsors similar events")+COUNTIFS('Commercial Evidence'!$A$3:$A$502,$A287,'Commercial Evidence'!$B$3:$B$502,"Previous CBS Talks partner")&gt;0,1,0))))</f>
        <v/>
      </c>
      <c r="AC287" s="32" t="str">
        <f aca="false">IF($A287="","",IF(COUNT(G287,J287,M287,P287,AB287)&lt;5,"",G287+J287+M287+P287+AB287))</f>
        <v/>
      </c>
      <c r="AD287" s="32" t="str">
        <f aca="false">IF($A287="","",IF(COUNTIFS(Contacts!$A$3:$A$502,$A287,Contacts!$E$3:$E$502,"Champion",Contacts!$K$3:$K$502,"&lt;&gt;Yes",Contacts!$L$3:$L$502,"&lt;&gt;Yes")+COUNTIFS(Opportunities!$A$3:$A$502,$A287,Opportunities!$C$3:$C$502,"Won",Opportunities!$Q$3:$Q$502,"Satisfied")&gt;0,4,IF(COUNTIFS(Interactions!$B$3:$B$502,$A287,Interactions!$I$3:$I$502,"Yes",Interactions!$A$3:$A$502,"&gt;="&amp;(S_Today-S_WarmDays))&gt;0,3,IF(T287&lt;&gt;"",2,IF(COUNTIFS(Contacts!$A$3:$A$502,$A287,Contacts!$M$3:$M$502,"Yes",Contacts!$K$3:$K$502,"&lt;&gt;Yes",Contacts!$L$3:$L$502,"&lt;&gt;Yes")&gt;0,1,0)))))</f>
        <v/>
      </c>
      <c r="AE287" s="32" t="str">
        <f aca="false">IF($A287="","",IF(Z287="Yes","Do not contact",IF(AC287="","Research",IF(AND(AC287&gt;=S_FitHigh,AD287&gt;=S_AccessHigh),"Priority",IF(AC287&gt;=S_FitHigh,"Build a Path",IF(AD287&gt;=S_AccessHigh,"Quick Win","Low Priority"))))))</f>
        <v/>
      </c>
      <c r="AF287" s="33" t="str">
        <f aca="false">IF($A287="","",IF(_xlfn.MAXIFS(Interactions!$A$3:$A$502,Interactions!$B$3:$B$502,$A287)=0,"",_xlfn.MAXIFS(Interactions!$A$3:$A$502,Interactions!$B$3:$B$502,$A287)))</f>
        <v/>
      </c>
      <c r="AG287" s="32" t="str">
        <f aca="false">IF($A287="","",COUNTIFS(Opportunities!$A$3:$A$502,$A287,Opportunities!$X$3:$X$502,"Yes"))</f>
        <v/>
      </c>
      <c r="AH287" s="32" t="str">
        <f aca="false">IF($A287="","",_xlfn.TEXTJOIN(", ",TRUE(),IF(COUNTIF($A$3:$A$502,$A287)&gt;1,"Duplicate name",""),IF(OR(AND(G287=2,I287=""),AND(J287=2,L287=""),AND(M287=2,O287=""),AND(P287=2,R287="")),"Source missing for a 2",""),IF(F287="","No owner",IF(COUNTIFS(R_TeamName,F287,R_TeamActive,"No")&gt;0,"Needs new owner","")),IF(AND(V287="Yes",X287&lt;&gt;"",X287&lt;S_SemStart),"Path overdue",""),IF(AND(S287&lt;&gt;"",S287&lt;S_Today-365),"Stale research",""),IF(AND(AE287="Research",COUNTIF('Commercial Evidence'!$A$3:$A$502,$A287)=0),"Add commercial evidence","")))</f>
        <v/>
      </c>
      <c r="AI287" s="34" t="str">
        <f aca="false">IF(OR($A287="",Z287="Yes"),"",IF(AND(AE287="Priority",AG287=0,COUNTIFS(Opportunities!$A$3:$A$502,$A287,Opportunities!$Y$3:$Y$502,"Renewal due")=0),600000+(10-AC287)*1000+(4-AD287)*100+ROW()/100000,IF(V287="Yes",700000+IF(X287="",0,X287-40000)/10+ROW()/100000,IF(AND(AE287="Quick Win",U287&lt;&gt;"",AG287=0),800000+(10-AC287)*1000+ROW()/100000,IF(AND(AE287="Build a Path",COUNTIF($V$3:$V$502,"Yes")&lt;S_PathCap),900000+(10-AC287)*1000+(4-AD287)*100+ROW()/100000,"")))))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8"/>
      <c r="T288" s="27"/>
      <c r="U288" s="27"/>
      <c r="V288" s="27"/>
      <c r="W288" s="27"/>
      <c r="X288" s="28"/>
      <c r="Y288" s="27"/>
      <c r="Z288" s="27"/>
      <c r="AA288" s="27"/>
      <c r="AB288" s="32" t="str">
        <f aca="false">IF($A288="","",IF(COUNTIF('Commercial Evidence'!$A$3:$A$502,$A288)=0,"",IF(COUNTIFS('Commercial Evidence'!$A$3:$A$502,$A288,'Commercial Evidence'!$B$3:$B$502,"Previous CBS Talks spend")+COUNTIFS('Commercial Evidence'!$A$3:$A$502,$A288,'Commercial Evidence'!$B$3:$B$502,"Sponsors student organisations")&gt;0,2,IF(COUNTIFS('Commercial Evidence'!$A$3:$A$502,$A288,'Commercial Evidence'!$B$3:$B$502,"Sponsors university activities")+COUNTIFS('Commercial Evidence'!$A$3:$A$502,$A288,'Commercial Evidence'!$B$3:$B$502,"Sponsors similar events")+COUNTIFS('Commercial Evidence'!$A$3:$A$502,$A288,'Commercial Evidence'!$B$3:$B$502,"Previous CBS Talks partner")&gt;0,1,0))))</f>
        <v/>
      </c>
      <c r="AC288" s="32" t="str">
        <f aca="false">IF($A288="","",IF(COUNT(G288,J288,M288,P288,AB288)&lt;5,"",G288+J288+M288+P288+AB288))</f>
        <v/>
      </c>
      <c r="AD288" s="32" t="str">
        <f aca="false">IF($A288="","",IF(COUNTIFS(Contacts!$A$3:$A$502,$A288,Contacts!$E$3:$E$502,"Champion",Contacts!$K$3:$K$502,"&lt;&gt;Yes",Contacts!$L$3:$L$502,"&lt;&gt;Yes")+COUNTIFS(Opportunities!$A$3:$A$502,$A288,Opportunities!$C$3:$C$502,"Won",Opportunities!$Q$3:$Q$502,"Satisfied")&gt;0,4,IF(COUNTIFS(Interactions!$B$3:$B$502,$A288,Interactions!$I$3:$I$502,"Yes",Interactions!$A$3:$A$502,"&gt;="&amp;(S_Today-S_WarmDays))&gt;0,3,IF(T288&lt;&gt;"",2,IF(COUNTIFS(Contacts!$A$3:$A$502,$A288,Contacts!$M$3:$M$502,"Yes",Contacts!$K$3:$K$502,"&lt;&gt;Yes",Contacts!$L$3:$L$502,"&lt;&gt;Yes")&gt;0,1,0)))))</f>
        <v/>
      </c>
      <c r="AE288" s="32" t="str">
        <f aca="false">IF($A288="","",IF(Z288="Yes","Do not contact",IF(AC288="","Research",IF(AND(AC288&gt;=S_FitHigh,AD288&gt;=S_AccessHigh),"Priority",IF(AC288&gt;=S_FitHigh,"Build a Path",IF(AD288&gt;=S_AccessHigh,"Quick Win","Low Priority"))))))</f>
        <v/>
      </c>
      <c r="AF288" s="33" t="str">
        <f aca="false">IF($A288="","",IF(_xlfn.MAXIFS(Interactions!$A$3:$A$502,Interactions!$B$3:$B$502,$A288)=0,"",_xlfn.MAXIFS(Interactions!$A$3:$A$502,Interactions!$B$3:$B$502,$A288)))</f>
        <v/>
      </c>
      <c r="AG288" s="32" t="str">
        <f aca="false">IF($A288="","",COUNTIFS(Opportunities!$A$3:$A$502,$A288,Opportunities!$X$3:$X$502,"Yes"))</f>
        <v/>
      </c>
      <c r="AH288" s="32" t="str">
        <f aca="false">IF($A288="","",_xlfn.TEXTJOIN(", ",TRUE(),IF(COUNTIF($A$3:$A$502,$A288)&gt;1,"Duplicate name",""),IF(OR(AND(G288=2,I288=""),AND(J288=2,L288=""),AND(M288=2,O288=""),AND(P288=2,R288="")),"Source missing for a 2",""),IF(F288="","No owner",IF(COUNTIFS(R_TeamName,F288,R_TeamActive,"No")&gt;0,"Needs new owner","")),IF(AND(V288="Yes",X288&lt;&gt;"",X288&lt;S_SemStart),"Path overdue",""),IF(AND(S288&lt;&gt;"",S288&lt;S_Today-365),"Stale research",""),IF(AND(AE288="Research",COUNTIF('Commercial Evidence'!$A$3:$A$502,$A288)=0),"Add commercial evidence","")))</f>
        <v/>
      </c>
      <c r="AI288" s="34" t="str">
        <f aca="false">IF(OR($A288="",Z288="Yes"),"",IF(AND(AE288="Priority",AG288=0,COUNTIFS(Opportunities!$A$3:$A$502,$A288,Opportunities!$Y$3:$Y$502,"Renewal due")=0),600000+(10-AC288)*1000+(4-AD288)*100+ROW()/100000,IF(V288="Yes",700000+IF(X288="",0,X288-40000)/10+ROW()/100000,IF(AND(AE288="Quick Win",U288&lt;&gt;"",AG288=0),800000+(10-AC288)*1000+ROW()/100000,IF(AND(AE288="Build a Path",COUNTIF($V$3:$V$502,"Yes")&lt;S_PathCap),900000+(10-AC288)*1000+(4-AD288)*100+ROW()/100000,"")))))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8"/>
      <c r="T289" s="27"/>
      <c r="U289" s="27"/>
      <c r="V289" s="27"/>
      <c r="W289" s="27"/>
      <c r="X289" s="28"/>
      <c r="Y289" s="27"/>
      <c r="Z289" s="27"/>
      <c r="AA289" s="27"/>
      <c r="AB289" s="32" t="str">
        <f aca="false">IF($A289="","",IF(COUNTIF('Commercial Evidence'!$A$3:$A$502,$A289)=0,"",IF(COUNTIFS('Commercial Evidence'!$A$3:$A$502,$A289,'Commercial Evidence'!$B$3:$B$502,"Previous CBS Talks spend")+COUNTIFS('Commercial Evidence'!$A$3:$A$502,$A289,'Commercial Evidence'!$B$3:$B$502,"Sponsors student organisations")&gt;0,2,IF(COUNTIFS('Commercial Evidence'!$A$3:$A$502,$A289,'Commercial Evidence'!$B$3:$B$502,"Sponsors university activities")+COUNTIFS('Commercial Evidence'!$A$3:$A$502,$A289,'Commercial Evidence'!$B$3:$B$502,"Sponsors similar events")+COUNTIFS('Commercial Evidence'!$A$3:$A$502,$A289,'Commercial Evidence'!$B$3:$B$502,"Previous CBS Talks partner")&gt;0,1,0))))</f>
        <v/>
      </c>
      <c r="AC289" s="32" t="str">
        <f aca="false">IF($A289="","",IF(COUNT(G289,J289,M289,P289,AB289)&lt;5,"",G289+J289+M289+P289+AB289))</f>
        <v/>
      </c>
      <c r="AD289" s="32" t="str">
        <f aca="false">IF($A289="","",IF(COUNTIFS(Contacts!$A$3:$A$502,$A289,Contacts!$E$3:$E$502,"Champion",Contacts!$K$3:$K$502,"&lt;&gt;Yes",Contacts!$L$3:$L$502,"&lt;&gt;Yes")+COUNTIFS(Opportunities!$A$3:$A$502,$A289,Opportunities!$C$3:$C$502,"Won",Opportunities!$Q$3:$Q$502,"Satisfied")&gt;0,4,IF(COUNTIFS(Interactions!$B$3:$B$502,$A289,Interactions!$I$3:$I$502,"Yes",Interactions!$A$3:$A$502,"&gt;="&amp;(S_Today-S_WarmDays))&gt;0,3,IF(T289&lt;&gt;"",2,IF(COUNTIFS(Contacts!$A$3:$A$502,$A289,Contacts!$M$3:$M$502,"Yes",Contacts!$K$3:$K$502,"&lt;&gt;Yes",Contacts!$L$3:$L$502,"&lt;&gt;Yes")&gt;0,1,0)))))</f>
        <v/>
      </c>
      <c r="AE289" s="32" t="str">
        <f aca="false">IF($A289="","",IF(Z289="Yes","Do not contact",IF(AC289="","Research",IF(AND(AC289&gt;=S_FitHigh,AD289&gt;=S_AccessHigh),"Priority",IF(AC289&gt;=S_FitHigh,"Build a Path",IF(AD289&gt;=S_AccessHigh,"Quick Win","Low Priority"))))))</f>
        <v/>
      </c>
      <c r="AF289" s="33" t="str">
        <f aca="false">IF($A289="","",IF(_xlfn.MAXIFS(Interactions!$A$3:$A$502,Interactions!$B$3:$B$502,$A289)=0,"",_xlfn.MAXIFS(Interactions!$A$3:$A$502,Interactions!$B$3:$B$502,$A289)))</f>
        <v/>
      </c>
      <c r="AG289" s="32" t="str">
        <f aca="false">IF($A289="","",COUNTIFS(Opportunities!$A$3:$A$502,$A289,Opportunities!$X$3:$X$502,"Yes"))</f>
        <v/>
      </c>
      <c r="AH289" s="32" t="str">
        <f aca="false">IF($A289="","",_xlfn.TEXTJOIN(", ",TRUE(),IF(COUNTIF($A$3:$A$502,$A289)&gt;1,"Duplicate name",""),IF(OR(AND(G289=2,I289=""),AND(J289=2,L289=""),AND(M289=2,O289=""),AND(P289=2,R289="")),"Source missing for a 2",""),IF(F289="","No owner",IF(COUNTIFS(R_TeamName,F289,R_TeamActive,"No")&gt;0,"Needs new owner","")),IF(AND(V289="Yes",X289&lt;&gt;"",X289&lt;S_SemStart),"Path overdue",""),IF(AND(S289&lt;&gt;"",S289&lt;S_Today-365),"Stale research",""),IF(AND(AE289="Research",COUNTIF('Commercial Evidence'!$A$3:$A$502,$A289)=0),"Add commercial evidence","")))</f>
        <v/>
      </c>
      <c r="AI289" s="34" t="str">
        <f aca="false">IF(OR($A289="",Z289="Yes"),"",IF(AND(AE289="Priority",AG289=0,COUNTIFS(Opportunities!$A$3:$A$502,$A289,Opportunities!$Y$3:$Y$502,"Renewal due")=0),600000+(10-AC289)*1000+(4-AD289)*100+ROW()/100000,IF(V289="Yes",700000+IF(X289="",0,X289-40000)/10+ROW()/100000,IF(AND(AE289="Quick Win",U289&lt;&gt;"",AG289=0),800000+(10-AC289)*1000+ROW()/100000,IF(AND(AE289="Build a Path",COUNTIF($V$3:$V$502,"Yes")&lt;S_PathCap),900000+(10-AC289)*1000+(4-AD289)*100+ROW()/100000,"")))))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8"/>
      <c r="T290" s="27"/>
      <c r="U290" s="27"/>
      <c r="V290" s="27"/>
      <c r="W290" s="27"/>
      <c r="X290" s="28"/>
      <c r="Y290" s="27"/>
      <c r="Z290" s="27"/>
      <c r="AA290" s="27"/>
      <c r="AB290" s="32" t="str">
        <f aca="false">IF($A290="","",IF(COUNTIF('Commercial Evidence'!$A$3:$A$502,$A290)=0,"",IF(COUNTIFS('Commercial Evidence'!$A$3:$A$502,$A290,'Commercial Evidence'!$B$3:$B$502,"Previous CBS Talks spend")+COUNTIFS('Commercial Evidence'!$A$3:$A$502,$A290,'Commercial Evidence'!$B$3:$B$502,"Sponsors student organisations")&gt;0,2,IF(COUNTIFS('Commercial Evidence'!$A$3:$A$502,$A290,'Commercial Evidence'!$B$3:$B$502,"Sponsors university activities")+COUNTIFS('Commercial Evidence'!$A$3:$A$502,$A290,'Commercial Evidence'!$B$3:$B$502,"Sponsors similar events")+COUNTIFS('Commercial Evidence'!$A$3:$A$502,$A290,'Commercial Evidence'!$B$3:$B$502,"Previous CBS Talks partner")&gt;0,1,0))))</f>
        <v/>
      </c>
      <c r="AC290" s="32" t="str">
        <f aca="false">IF($A290="","",IF(COUNT(G290,J290,M290,P290,AB290)&lt;5,"",G290+J290+M290+P290+AB290))</f>
        <v/>
      </c>
      <c r="AD290" s="32" t="str">
        <f aca="false">IF($A290="","",IF(COUNTIFS(Contacts!$A$3:$A$502,$A290,Contacts!$E$3:$E$502,"Champion",Contacts!$K$3:$K$502,"&lt;&gt;Yes",Contacts!$L$3:$L$502,"&lt;&gt;Yes")+COUNTIFS(Opportunities!$A$3:$A$502,$A290,Opportunities!$C$3:$C$502,"Won",Opportunities!$Q$3:$Q$502,"Satisfied")&gt;0,4,IF(COUNTIFS(Interactions!$B$3:$B$502,$A290,Interactions!$I$3:$I$502,"Yes",Interactions!$A$3:$A$502,"&gt;="&amp;(S_Today-S_WarmDays))&gt;0,3,IF(T290&lt;&gt;"",2,IF(COUNTIFS(Contacts!$A$3:$A$502,$A290,Contacts!$M$3:$M$502,"Yes",Contacts!$K$3:$K$502,"&lt;&gt;Yes",Contacts!$L$3:$L$502,"&lt;&gt;Yes")&gt;0,1,0)))))</f>
        <v/>
      </c>
      <c r="AE290" s="32" t="str">
        <f aca="false">IF($A290="","",IF(Z290="Yes","Do not contact",IF(AC290="","Research",IF(AND(AC290&gt;=S_FitHigh,AD290&gt;=S_AccessHigh),"Priority",IF(AC290&gt;=S_FitHigh,"Build a Path",IF(AD290&gt;=S_AccessHigh,"Quick Win","Low Priority"))))))</f>
        <v/>
      </c>
      <c r="AF290" s="33" t="str">
        <f aca="false">IF($A290="","",IF(_xlfn.MAXIFS(Interactions!$A$3:$A$502,Interactions!$B$3:$B$502,$A290)=0,"",_xlfn.MAXIFS(Interactions!$A$3:$A$502,Interactions!$B$3:$B$502,$A290)))</f>
        <v/>
      </c>
      <c r="AG290" s="32" t="str">
        <f aca="false">IF($A290="","",COUNTIFS(Opportunities!$A$3:$A$502,$A290,Opportunities!$X$3:$X$502,"Yes"))</f>
        <v/>
      </c>
      <c r="AH290" s="32" t="str">
        <f aca="false">IF($A290="","",_xlfn.TEXTJOIN(", ",TRUE(),IF(COUNTIF($A$3:$A$502,$A290)&gt;1,"Duplicate name",""),IF(OR(AND(G290=2,I290=""),AND(J290=2,L290=""),AND(M290=2,O290=""),AND(P290=2,R290="")),"Source missing for a 2",""),IF(F290="","No owner",IF(COUNTIFS(R_TeamName,F290,R_TeamActive,"No")&gt;0,"Needs new owner","")),IF(AND(V290="Yes",X290&lt;&gt;"",X290&lt;S_SemStart),"Path overdue",""),IF(AND(S290&lt;&gt;"",S290&lt;S_Today-365),"Stale research",""),IF(AND(AE290="Research",COUNTIF('Commercial Evidence'!$A$3:$A$502,$A290)=0),"Add commercial evidence","")))</f>
        <v/>
      </c>
      <c r="AI290" s="34" t="str">
        <f aca="false">IF(OR($A290="",Z290="Yes"),"",IF(AND(AE290="Priority",AG290=0,COUNTIFS(Opportunities!$A$3:$A$502,$A290,Opportunities!$Y$3:$Y$502,"Renewal due")=0),600000+(10-AC290)*1000+(4-AD290)*100+ROW()/100000,IF(V290="Yes",700000+IF(X290="",0,X290-40000)/10+ROW()/100000,IF(AND(AE290="Quick Win",U290&lt;&gt;"",AG290=0),800000+(10-AC290)*1000+ROW()/100000,IF(AND(AE290="Build a Path",COUNTIF($V$3:$V$502,"Yes")&lt;S_PathCap),900000+(10-AC290)*1000+(4-AD290)*100+ROW()/100000,"")))))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8"/>
      <c r="T291" s="27"/>
      <c r="U291" s="27"/>
      <c r="V291" s="27"/>
      <c r="W291" s="27"/>
      <c r="X291" s="28"/>
      <c r="Y291" s="27"/>
      <c r="Z291" s="27"/>
      <c r="AA291" s="27"/>
      <c r="AB291" s="32" t="str">
        <f aca="false">IF($A291="","",IF(COUNTIF('Commercial Evidence'!$A$3:$A$502,$A291)=0,"",IF(COUNTIFS('Commercial Evidence'!$A$3:$A$502,$A291,'Commercial Evidence'!$B$3:$B$502,"Previous CBS Talks spend")+COUNTIFS('Commercial Evidence'!$A$3:$A$502,$A291,'Commercial Evidence'!$B$3:$B$502,"Sponsors student organisations")&gt;0,2,IF(COUNTIFS('Commercial Evidence'!$A$3:$A$502,$A291,'Commercial Evidence'!$B$3:$B$502,"Sponsors university activities")+COUNTIFS('Commercial Evidence'!$A$3:$A$502,$A291,'Commercial Evidence'!$B$3:$B$502,"Sponsors similar events")+COUNTIFS('Commercial Evidence'!$A$3:$A$502,$A291,'Commercial Evidence'!$B$3:$B$502,"Previous CBS Talks partner")&gt;0,1,0))))</f>
        <v/>
      </c>
      <c r="AC291" s="32" t="str">
        <f aca="false">IF($A291="","",IF(COUNT(G291,J291,M291,P291,AB291)&lt;5,"",G291+J291+M291+P291+AB291))</f>
        <v/>
      </c>
      <c r="AD291" s="32" t="str">
        <f aca="false">IF($A291="","",IF(COUNTIFS(Contacts!$A$3:$A$502,$A291,Contacts!$E$3:$E$502,"Champion",Contacts!$K$3:$K$502,"&lt;&gt;Yes",Contacts!$L$3:$L$502,"&lt;&gt;Yes")+COUNTIFS(Opportunities!$A$3:$A$502,$A291,Opportunities!$C$3:$C$502,"Won",Opportunities!$Q$3:$Q$502,"Satisfied")&gt;0,4,IF(COUNTIFS(Interactions!$B$3:$B$502,$A291,Interactions!$I$3:$I$502,"Yes",Interactions!$A$3:$A$502,"&gt;="&amp;(S_Today-S_WarmDays))&gt;0,3,IF(T291&lt;&gt;"",2,IF(COUNTIFS(Contacts!$A$3:$A$502,$A291,Contacts!$M$3:$M$502,"Yes",Contacts!$K$3:$K$502,"&lt;&gt;Yes",Contacts!$L$3:$L$502,"&lt;&gt;Yes")&gt;0,1,0)))))</f>
        <v/>
      </c>
      <c r="AE291" s="32" t="str">
        <f aca="false">IF($A291="","",IF(Z291="Yes","Do not contact",IF(AC291="","Research",IF(AND(AC291&gt;=S_FitHigh,AD291&gt;=S_AccessHigh),"Priority",IF(AC291&gt;=S_FitHigh,"Build a Path",IF(AD291&gt;=S_AccessHigh,"Quick Win","Low Priority"))))))</f>
        <v/>
      </c>
      <c r="AF291" s="33" t="str">
        <f aca="false">IF($A291="","",IF(_xlfn.MAXIFS(Interactions!$A$3:$A$502,Interactions!$B$3:$B$502,$A291)=0,"",_xlfn.MAXIFS(Interactions!$A$3:$A$502,Interactions!$B$3:$B$502,$A291)))</f>
        <v/>
      </c>
      <c r="AG291" s="32" t="str">
        <f aca="false">IF($A291="","",COUNTIFS(Opportunities!$A$3:$A$502,$A291,Opportunities!$X$3:$X$502,"Yes"))</f>
        <v/>
      </c>
      <c r="AH291" s="32" t="str">
        <f aca="false">IF($A291="","",_xlfn.TEXTJOIN(", ",TRUE(),IF(COUNTIF($A$3:$A$502,$A291)&gt;1,"Duplicate name",""),IF(OR(AND(G291=2,I291=""),AND(J291=2,L291=""),AND(M291=2,O291=""),AND(P291=2,R291="")),"Source missing for a 2",""),IF(F291="","No owner",IF(COUNTIFS(R_TeamName,F291,R_TeamActive,"No")&gt;0,"Needs new owner","")),IF(AND(V291="Yes",X291&lt;&gt;"",X291&lt;S_SemStart),"Path overdue",""),IF(AND(S291&lt;&gt;"",S291&lt;S_Today-365),"Stale research",""),IF(AND(AE291="Research",COUNTIF('Commercial Evidence'!$A$3:$A$502,$A291)=0),"Add commercial evidence","")))</f>
        <v/>
      </c>
      <c r="AI291" s="34" t="str">
        <f aca="false">IF(OR($A291="",Z291="Yes"),"",IF(AND(AE291="Priority",AG291=0,COUNTIFS(Opportunities!$A$3:$A$502,$A291,Opportunities!$Y$3:$Y$502,"Renewal due")=0),600000+(10-AC291)*1000+(4-AD291)*100+ROW()/100000,IF(V291="Yes",700000+IF(X291="",0,X291-40000)/10+ROW()/100000,IF(AND(AE291="Quick Win",U291&lt;&gt;"",AG291=0),800000+(10-AC291)*1000+ROW()/100000,IF(AND(AE291="Build a Path",COUNTIF($V$3:$V$502,"Yes")&lt;S_PathCap),900000+(10-AC291)*1000+(4-AD291)*100+ROW()/100000,"")))))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8"/>
      <c r="T292" s="27"/>
      <c r="U292" s="27"/>
      <c r="V292" s="27"/>
      <c r="W292" s="27"/>
      <c r="X292" s="28"/>
      <c r="Y292" s="27"/>
      <c r="Z292" s="27"/>
      <c r="AA292" s="27"/>
      <c r="AB292" s="32" t="str">
        <f aca="false">IF($A292="","",IF(COUNTIF('Commercial Evidence'!$A$3:$A$502,$A292)=0,"",IF(COUNTIFS('Commercial Evidence'!$A$3:$A$502,$A292,'Commercial Evidence'!$B$3:$B$502,"Previous CBS Talks spend")+COUNTIFS('Commercial Evidence'!$A$3:$A$502,$A292,'Commercial Evidence'!$B$3:$B$502,"Sponsors student organisations")&gt;0,2,IF(COUNTIFS('Commercial Evidence'!$A$3:$A$502,$A292,'Commercial Evidence'!$B$3:$B$502,"Sponsors university activities")+COUNTIFS('Commercial Evidence'!$A$3:$A$502,$A292,'Commercial Evidence'!$B$3:$B$502,"Sponsors similar events")+COUNTIFS('Commercial Evidence'!$A$3:$A$502,$A292,'Commercial Evidence'!$B$3:$B$502,"Previous CBS Talks partner")&gt;0,1,0))))</f>
        <v/>
      </c>
      <c r="AC292" s="32" t="str">
        <f aca="false">IF($A292="","",IF(COUNT(G292,J292,M292,P292,AB292)&lt;5,"",G292+J292+M292+P292+AB292))</f>
        <v/>
      </c>
      <c r="AD292" s="32" t="str">
        <f aca="false">IF($A292="","",IF(COUNTIFS(Contacts!$A$3:$A$502,$A292,Contacts!$E$3:$E$502,"Champion",Contacts!$K$3:$K$502,"&lt;&gt;Yes",Contacts!$L$3:$L$502,"&lt;&gt;Yes")+COUNTIFS(Opportunities!$A$3:$A$502,$A292,Opportunities!$C$3:$C$502,"Won",Opportunities!$Q$3:$Q$502,"Satisfied")&gt;0,4,IF(COUNTIFS(Interactions!$B$3:$B$502,$A292,Interactions!$I$3:$I$502,"Yes",Interactions!$A$3:$A$502,"&gt;="&amp;(S_Today-S_WarmDays))&gt;0,3,IF(T292&lt;&gt;"",2,IF(COUNTIFS(Contacts!$A$3:$A$502,$A292,Contacts!$M$3:$M$502,"Yes",Contacts!$K$3:$K$502,"&lt;&gt;Yes",Contacts!$L$3:$L$502,"&lt;&gt;Yes")&gt;0,1,0)))))</f>
        <v/>
      </c>
      <c r="AE292" s="32" t="str">
        <f aca="false">IF($A292="","",IF(Z292="Yes","Do not contact",IF(AC292="","Research",IF(AND(AC292&gt;=S_FitHigh,AD292&gt;=S_AccessHigh),"Priority",IF(AC292&gt;=S_FitHigh,"Build a Path",IF(AD292&gt;=S_AccessHigh,"Quick Win","Low Priority"))))))</f>
        <v/>
      </c>
      <c r="AF292" s="33" t="str">
        <f aca="false">IF($A292="","",IF(_xlfn.MAXIFS(Interactions!$A$3:$A$502,Interactions!$B$3:$B$502,$A292)=0,"",_xlfn.MAXIFS(Interactions!$A$3:$A$502,Interactions!$B$3:$B$502,$A292)))</f>
        <v/>
      </c>
      <c r="AG292" s="32" t="str">
        <f aca="false">IF($A292="","",COUNTIFS(Opportunities!$A$3:$A$502,$A292,Opportunities!$X$3:$X$502,"Yes"))</f>
        <v/>
      </c>
      <c r="AH292" s="32" t="str">
        <f aca="false">IF($A292="","",_xlfn.TEXTJOIN(", ",TRUE(),IF(COUNTIF($A$3:$A$502,$A292)&gt;1,"Duplicate name",""),IF(OR(AND(G292=2,I292=""),AND(J292=2,L292=""),AND(M292=2,O292=""),AND(P292=2,R292="")),"Source missing for a 2",""),IF(F292="","No owner",IF(COUNTIFS(R_TeamName,F292,R_TeamActive,"No")&gt;0,"Needs new owner","")),IF(AND(V292="Yes",X292&lt;&gt;"",X292&lt;S_SemStart),"Path overdue",""),IF(AND(S292&lt;&gt;"",S292&lt;S_Today-365),"Stale research",""),IF(AND(AE292="Research",COUNTIF('Commercial Evidence'!$A$3:$A$502,$A292)=0),"Add commercial evidence","")))</f>
        <v/>
      </c>
      <c r="AI292" s="34" t="str">
        <f aca="false">IF(OR($A292="",Z292="Yes"),"",IF(AND(AE292="Priority",AG292=0,COUNTIFS(Opportunities!$A$3:$A$502,$A292,Opportunities!$Y$3:$Y$502,"Renewal due")=0),600000+(10-AC292)*1000+(4-AD292)*100+ROW()/100000,IF(V292="Yes",700000+IF(X292="",0,X292-40000)/10+ROW()/100000,IF(AND(AE292="Quick Win",U292&lt;&gt;"",AG292=0),800000+(10-AC292)*1000+ROW()/100000,IF(AND(AE292="Build a Path",COUNTIF($V$3:$V$502,"Yes")&lt;S_PathCap),900000+(10-AC292)*1000+(4-AD292)*100+ROW()/100000,"")))))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8"/>
      <c r="T293" s="27"/>
      <c r="U293" s="27"/>
      <c r="V293" s="27"/>
      <c r="W293" s="27"/>
      <c r="X293" s="28"/>
      <c r="Y293" s="27"/>
      <c r="Z293" s="27"/>
      <c r="AA293" s="27"/>
      <c r="AB293" s="32" t="str">
        <f aca="false">IF($A293="","",IF(COUNTIF('Commercial Evidence'!$A$3:$A$502,$A293)=0,"",IF(COUNTIFS('Commercial Evidence'!$A$3:$A$502,$A293,'Commercial Evidence'!$B$3:$B$502,"Previous CBS Talks spend")+COUNTIFS('Commercial Evidence'!$A$3:$A$502,$A293,'Commercial Evidence'!$B$3:$B$502,"Sponsors student organisations")&gt;0,2,IF(COUNTIFS('Commercial Evidence'!$A$3:$A$502,$A293,'Commercial Evidence'!$B$3:$B$502,"Sponsors university activities")+COUNTIFS('Commercial Evidence'!$A$3:$A$502,$A293,'Commercial Evidence'!$B$3:$B$502,"Sponsors similar events")+COUNTIFS('Commercial Evidence'!$A$3:$A$502,$A293,'Commercial Evidence'!$B$3:$B$502,"Previous CBS Talks partner")&gt;0,1,0))))</f>
        <v/>
      </c>
      <c r="AC293" s="32" t="str">
        <f aca="false">IF($A293="","",IF(COUNT(G293,J293,M293,P293,AB293)&lt;5,"",G293+J293+M293+P293+AB293))</f>
        <v/>
      </c>
      <c r="AD293" s="32" t="str">
        <f aca="false">IF($A293="","",IF(COUNTIFS(Contacts!$A$3:$A$502,$A293,Contacts!$E$3:$E$502,"Champion",Contacts!$K$3:$K$502,"&lt;&gt;Yes",Contacts!$L$3:$L$502,"&lt;&gt;Yes")+COUNTIFS(Opportunities!$A$3:$A$502,$A293,Opportunities!$C$3:$C$502,"Won",Opportunities!$Q$3:$Q$502,"Satisfied")&gt;0,4,IF(COUNTIFS(Interactions!$B$3:$B$502,$A293,Interactions!$I$3:$I$502,"Yes",Interactions!$A$3:$A$502,"&gt;="&amp;(S_Today-S_WarmDays))&gt;0,3,IF(T293&lt;&gt;"",2,IF(COUNTIFS(Contacts!$A$3:$A$502,$A293,Contacts!$M$3:$M$502,"Yes",Contacts!$K$3:$K$502,"&lt;&gt;Yes",Contacts!$L$3:$L$502,"&lt;&gt;Yes")&gt;0,1,0)))))</f>
        <v/>
      </c>
      <c r="AE293" s="32" t="str">
        <f aca="false">IF($A293="","",IF(Z293="Yes","Do not contact",IF(AC293="","Research",IF(AND(AC293&gt;=S_FitHigh,AD293&gt;=S_AccessHigh),"Priority",IF(AC293&gt;=S_FitHigh,"Build a Path",IF(AD293&gt;=S_AccessHigh,"Quick Win","Low Priority"))))))</f>
        <v/>
      </c>
      <c r="AF293" s="33" t="str">
        <f aca="false">IF($A293="","",IF(_xlfn.MAXIFS(Interactions!$A$3:$A$502,Interactions!$B$3:$B$502,$A293)=0,"",_xlfn.MAXIFS(Interactions!$A$3:$A$502,Interactions!$B$3:$B$502,$A293)))</f>
        <v/>
      </c>
      <c r="AG293" s="32" t="str">
        <f aca="false">IF($A293="","",COUNTIFS(Opportunities!$A$3:$A$502,$A293,Opportunities!$X$3:$X$502,"Yes"))</f>
        <v/>
      </c>
      <c r="AH293" s="32" t="str">
        <f aca="false">IF($A293="","",_xlfn.TEXTJOIN(", ",TRUE(),IF(COUNTIF($A$3:$A$502,$A293)&gt;1,"Duplicate name",""),IF(OR(AND(G293=2,I293=""),AND(J293=2,L293=""),AND(M293=2,O293=""),AND(P293=2,R293="")),"Source missing for a 2",""),IF(F293="","No owner",IF(COUNTIFS(R_TeamName,F293,R_TeamActive,"No")&gt;0,"Needs new owner","")),IF(AND(V293="Yes",X293&lt;&gt;"",X293&lt;S_SemStart),"Path overdue",""),IF(AND(S293&lt;&gt;"",S293&lt;S_Today-365),"Stale research",""),IF(AND(AE293="Research",COUNTIF('Commercial Evidence'!$A$3:$A$502,$A293)=0),"Add commercial evidence","")))</f>
        <v/>
      </c>
      <c r="AI293" s="34" t="str">
        <f aca="false">IF(OR($A293="",Z293="Yes"),"",IF(AND(AE293="Priority",AG293=0,COUNTIFS(Opportunities!$A$3:$A$502,$A293,Opportunities!$Y$3:$Y$502,"Renewal due")=0),600000+(10-AC293)*1000+(4-AD293)*100+ROW()/100000,IF(V293="Yes",700000+IF(X293="",0,X293-40000)/10+ROW()/100000,IF(AND(AE293="Quick Win",U293&lt;&gt;"",AG293=0),800000+(10-AC293)*1000+ROW()/100000,IF(AND(AE293="Build a Path",COUNTIF($V$3:$V$502,"Yes")&lt;S_PathCap),900000+(10-AC293)*1000+(4-AD293)*100+ROW()/100000,"")))))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8"/>
      <c r="T294" s="27"/>
      <c r="U294" s="27"/>
      <c r="V294" s="27"/>
      <c r="W294" s="27"/>
      <c r="X294" s="28"/>
      <c r="Y294" s="27"/>
      <c r="Z294" s="27"/>
      <c r="AA294" s="27"/>
      <c r="AB294" s="32" t="str">
        <f aca="false">IF($A294="","",IF(COUNTIF('Commercial Evidence'!$A$3:$A$502,$A294)=0,"",IF(COUNTIFS('Commercial Evidence'!$A$3:$A$502,$A294,'Commercial Evidence'!$B$3:$B$502,"Previous CBS Talks spend")+COUNTIFS('Commercial Evidence'!$A$3:$A$502,$A294,'Commercial Evidence'!$B$3:$B$502,"Sponsors student organisations")&gt;0,2,IF(COUNTIFS('Commercial Evidence'!$A$3:$A$502,$A294,'Commercial Evidence'!$B$3:$B$502,"Sponsors university activities")+COUNTIFS('Commercial Evidence'!$A$3:$A$502,$A294,'Commercial Evidence'!$B$3:$B$502,"Sponsors similar events")+COUNTIFS('Commercial Evidence'!$A$3:$A$502,$A294,'Commercial Evidence'!$B$3:$B$502,"Previous CBS Talks partner")&gt;0,1,0))))</f>
        <v/>
      </c>
      <c r="AC294" s="32" t="str">
        <f aca="false">IF($A294="","",IF(COUNT(G294,J294,M294,P294,AB294)&lt;5,"",G294+J294+M294+P294+AB294))</f>
        <v/>
      </c>
      <c r="AD294" s="32" t="str">
        <f aca="false">IF($A294="","",IF(COUNTIFS(Contacts!$A$3:$A$502,$A294,Contacts!$E$3:$E$502,"Champion",Contacts!$K$3:$K$502,"&lt;&gt;Yes",Contacts!$L$3:$L$502,"&lt;&gt;Yes")+COUNTIFS(Opportunities!$A$3:$A$502,$A294,Opportunities!$C$3:$C$502,"Won",Opportunities!$Q$3:$Q$502,"Satisfied")&gt;0,4,IF(COUNTIFS(Interactions!$B$3:$B$502,$A294,Interactions!$I$3:$I$502,"Yes",Interactions!$A$3:$A$502,"&gt;="&amp;(S_Today-S_WarmDays))&gt;0,3,IF(T294&lt;&gt;"",2,IF(COUNTIFS(Contacts!$A$3:$A$502,$A294,Contacts!$M$3:$M$502,"Yes",Contacts!$K$3:$K$502,"&lt;&gt;Yes",Contacts!$L$3:$L$502,"&lt;&gt;Yes")&gt;0,1,0)))))</f>
        <v/>
      </c>
      <c r="AE294" s="32" t="str">
        <f aca="false">IF($A294="","",IF(Z294="Yes","Do not contact",IF(AC294="","Research",IF(AND(AC294&gt;=S_FitHigh,AD294&gt;=S_AccessHigh),"Priority",IF(AC294&gt;=S_FitHigh,"Build a Path",IF(AD294&gt;=S_AccessHigh,"Quick Win","Low Priority"))))))</f>
        <v/>
      </c>
      <c r="AF294" s="33" t="str">
        <f aca="false">IF($A294="","",IF(_xlfn.MAXIFS(Interactions!$A$3:$A$502,Interactions!$B$3:$B$502,$A294)=0,"",_xlfn.MAXIFS(Interactions!$A$3:$A$502,Interactions!$B$3:$B$502,$A294)))</f>
        <v/>
      </c>
      <c r="AG294" s="32" t="str">
        <f aca="false">IF($A294="","",COUNTIFS(Opportunities!$A$3:$A$502,$A294,Opportunities!$X$3:$X$502,"Yes"))</f>
        <v/>
      </c>
      <c r="AH294" s="32" t="str">
        <f aca="false">IF($A294="","",_xlfn.TEXTJOIN(", ",TRUE(),IF(COUNTIF($A$3:$A$502,$A294)&gt;1,"Duplicate name",""),IF(OR(AND(G294=2,I294=""),AND(J294=2,L294=""),AND(M294=2,O294=""),AND(P294=2,R294="")),"Source missing for a 2",""),IF(F294="","No owner",IF(COUNTIFS(R_TeamName,F294,R_TeamActive,"No")&gt;0,"Needs new owner","")),IF(AND(V294="Yes",X294&lt;&gt;"",X294&lt;S_SemStart),"Path overdue",""),IF(AND(S294&lt;&gt;"",S294&lt;S_Today-365),"Stale research",""),IF(AND(AE294="Research",COUNTIF('Commercial Evidence'!$A$3:$A$502,$A294)=0),"Add commercial evidence","")))</f>
        <v/>
      </c>
      <c r="AI294" s="34" t="str">
        <f aca="false">IF(OR($A294="",Z294="Yes"),"",IF(AND(AE294="Priority",AG294=0,COUNTIFS(Opportunities!$A$3:$A$502,$A294,Opportunities!$Y$3:$Y$502,"Renewal due")=0),600000+(10-AC294)*1000+(4-AD294)*100+ROW()/100000,IF(V294="Yes",700000+IF(X294="",0,X294-40000)/10+ROW()/100000,IF(AND(AE294="Quick Win",U294&lt;&gt;"",AG294=0),800000+(10-AC294)*1000+ROW()/100000,IF(AND(AE294="Build a Path",COUNTIF($V$3:$V$502,"Yes")&lt;S_PathCap),900000+(10-AC294)*1000+(4-AD294)*100+ROW()/100000,"")))))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8"/>
      <c r="T295" s="27"/>
      <c r="U295" s="27"/>
      <c r="V295" s="27"/>
      <c r="W295" s="27"/>
      <c r="X295" s="28"/>
      <c r="Y295" s="27"/>
      <c r="Z295" s="27"/>
      <c r="AA295" s="27"/>
      <c r="AB295" s="32" t="str">
        <f aca="false">IF($A295="","",IF(COUNTIF('Commercial Evidence'!$A$3:$A$502,$A295)=0,"",IF(COUNTIFS('Commercial Evidence'!$A$3:$A$502,$A295,'Commercial Evidence'!$B$3:$B$502,"Previous CBS Talks spend")+COUNTIFS('Commercial Evidence'!$A$3:$A$502,$A295,'Commercial Evidence'!$B$3:$B$502,"Sponsors student organisations")&gt;0,2,IF(COUNTIFS('Commercial Evidence'!$A$3:$A$502,$A295,'Commercial Evidence'!$B$3:$B$502,"Sponsors university activities")+COUNTIFS('Commercial Evidence'!$A$3:$A$502,$A295,'Commercial Evidence'!$B$3:$B$502,"Sponsors similar events")+COUNTIFS('Commercial Evidence'!$A$3:$A$502,$A295,'Commercial Evidence'!$B$3:$B$502,"Previous CBS Talks partner")&gt;0,1,0))))</f>
        <v/>
      </c>
      <c r="AC295" s="32" t="str">
        <f aca="false">IF($A295="","",IF(COUNT(G295,J295,M295,P295,AB295)&lt;5,"",G295+J295+M295+P295+AB295))</f>
        <v/>
      </c>
      <c r="AD295" s="32" t="str">
        <f aca="false">IF($A295="","",IF(COUNTIFS(Contacts!$A$3:$A$502,$A295,Contacts!$E$3:$E$502,"Champion",Contacts!$K$3:$K$502,"&lt;&gt;Yes",Contacts!$L$3:$L$502,"&lt;&gt;Yes")+COUNTIFS(Opportunities!$A$3:$A$502,$A295,Opportunities!$C$3:$C$502,"Won",Opportunities!$Q$3:$Q$502,"Satisfied")&gt;0,4,IF(COUNTIFS(Interactions!$B$3:$B$502,$A295,Interactions!$I$3:$I$502,"Yes",Interactions!$A$3:$A$502,"&gt;="&amp;(S_Today-S_WarmDays))&gt;0,3,IF(T295&lt;&gt;"",2,IF(COUNTIFS(Contacts!$A$3:$A$502,$A295,Contacts!$M$3:$M$502,"Yes",Contacts!$K$3:$K$502,"&lt;&gt;Yes",Contacts!$L$3:$L$502,"&lt;&gt;Yes")&gt;0,1,0)))))</f>
        <v/>
      </c>
      <c r="AE295" s="32" t="str">
        <f aca="false">IF($A295="","",IF(Z295="Yes","Do not contact",IF(AC295="","Research",IF(AND(AC295&gt;=S_FitHigh,AD295&gt;=S_AccessHigh),"Priority",IF(AC295&gt;=S_FitHigh,"Build a Path",IF(AD295&gt;=S_AccessHigh,"Quick Win","Low Priority"))))))</f>
        <v/>
      </c>
      <c r="AF295" s="33" t="str">
        <f aca="false">IF($A295="","",IF(_xlfn.MAXIFS(Interactions!$A$3:$A$502,Interactions!$B$3:$B$502,$A295)=0,"",_xlfn.MAXIFS(Interactions!$A$3:$A$502,Interactions!$B$3:$B$502,$A295)))</f>
        <v/>
      </c>
      <c r="AG295" s="32" t="str">
        <f aca="false">IF($A295="","",COUNTIFS(Opportunities!$A$3:$A$502,$A295,Opportunities!$X$3:$X$502,"Yes"))</f>
        <v/>
      </c>
      <c r="AH295" s="32" t="str">
        <f aca="false">IF($A295="","",_xlfn.TEXTJOIN(", ",TRUE(),IF(COUNTIF($A$3:$A$502,$A295)&gt;1,"Duplicate name",""),IF(OR(AND(G295=2,I295=""),AND(J295=2,L295=""),AND(M295=2,O295=""),AND(P295=2,R295="")),"Source missing for a 2",""),IF(F295="","No owner",IF(COUNTIFS(R_TeamName,F295,R_TeamActive,"No")&gt;0,"Needs new owner","")),IF(AND(V295="Yes",X295&lt;&gt;"",X295&lt;S_SemStart),"Path overdue",""),IF(AND(S295&lt;&gt;"",S295&lt;S_Today-365),"Stale research",""),IF(AND(AE295="Research",COUNTIF('Commercial Evidence'!$A$3:$A$502,$A295)=0),"Add commercial evidence","")))</f>
        <v/>
      </c>
      <c r="AI295" s="34" t="str">
        <f aca="false">IF(OR($A295="",Z295="Yes"),"",IF(AND(AE295="Priority",AG295=0,COUNTIFS(Opportunities!$A$3:$A$502,$A295,Opportunities!$Y$3:$Y$502,"Renewal due")=0),600000+(10-AC295)*1000+(4-AD295)*100+ROW()/100000,IF(V295="Yes",700000+IF(X295="",0,X295-40000)/10+ROW()/100000,IF(AND(AE295="Quick Win",U295&lt;&gt;"",AG295=0),800000+(10-AC295)*1000+ROW()/100000,IF(AND(AE295="Build a Path",COUNTIF($V$3:$V$502,"Yes")&lt;S_PathCap),900000+(10-AC295)*1000+(4-AD295)*100+ROW()/100000,"")))))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8"/>
      <c r="T296" s="27"/>
      <c r="U296" s="27"/>
      <c r="V296" s="27"/>
      <c r="W296" s="27"/>
      <c r="X296" s="28"/>
      <c r="Y296" s="27"/>
      <c r="Z296" s="27"/>
      <c r="AA296" s="27"/>
      <c r="AB296" s="32" t="str">
        <f aca="false">IF($A296="","",IF(COUNTIF('Commercial Evidence'!$A$3:$A$502,$A296)=0,"",IF(COUNTIFS('Commercial Evidence'!$A$3:$A$502,$A296,'Commercial Evidence'!$B$3:$B$502,"Previous CBS Talks spend")+COUNTIFS('Commercial Evidence'!$A$3:$A$502,$A296,'Commercial Evidence'!$B$3:$B$502,"Sponsors student organisations")&gt;0,2,IF(COUNTIFS('Commercial Evidence'!$A$3:$A$502,$A296,'Commercial Evidence'!$B$3:$B$502,"Sponsors university activities")+COUNTIFS('Commercial Evidence'!$A$3:$A$502,$A296,'Commercial Evidence'!$B$3:$B$502,"Sponsors similar events")+COUNTIFS('Commercial Evidence'!$A$3:$A$502,$A296,'Commercial Evidence'!$B$3:$B$502,"Previous CBS Talks partner")&gt;0,1,0))))</f>
        <v/>
      </c>
      <c r="AC296" s="32" t="str">
        <f aca="false">IF($A296="","",IF(COUNT(G296,J296,M296,P296,AB296)&lt;5,"",G296+J296+M296+P296+AB296))</f>
        <v/>
      </c>
      <c r="AD296" s="32" t="str">
        <f aca="false">IF($A296="","",IF(COUNTIFS(Contacts!$A$3:$A$502,$A296,Contacts!$E$3:$E$502,"Champion",Contacts!$K$3:$K$502,"&lt;&gt;Yes",Contacts!$L$3:$L$502,"&lt;&gt;Yes")+COUNTIFS(Opportunities!$A$3:$A$502,$A296,Opportunities!$C$3:$C$502,"Won",Opportunities!$Q$3:$Q$502,"Satisfied")&gt;0,4,IF(COUNTIFS(Interactions!$B$3:$B$502,$A296,Interactions!$I$3:$I$502,"Yes",Interactions!$A$3:$A$502,"&gt;="&amp;(S_Today-S_WarmDays))&gt;0,3,IF(T296&lt;&gt;"",2,IF(COUNTIFS(Contacts!$A$3:$A$502,$A296,Contacts!$M$3:$M$502,"Yes",Contacts!$K$3:$K$502,"&lt;&gt;Yes",Contacts!$L$3:$L$502,"&lt;&gt;Yes")&gt;0,1,0)))))</f>
        <v/>
      </c>
      <c r="AE296" s="32" t="str">
        <f aca="false">IF($A296="","",IF(Z296="Yes","Do not contact",IF(AC296="","Research",IF(AND(AC296&gt;=S_FitHigh,AD296&gt;=S_AccessHigh),"Priority",IF(AC296&gt;=S_FitHigh,"Build a Path",IF(AD296&gt;=S_AccessHigh,"Quick Win","Low Priority"))))))</f>
        <v/>
      </c>
      <c r="AF296" s="33" t="str">
        <f aca="false">IF($A296="","",IF(_xlfn.MAXIFS(Interactions!$A$3:$A$502,Interactions!$B$3:$B$502,$A296)=0,"",_xlfn.MAXIFS(Interactions!$A$3:$A$502,Interactions!$B$3:$B$502,$A296)))</f>
        <v/>
      </c>
      <c r="AG296" s="32" t="str">
        <f aca="false">IF($A296="","",COUNTIFS(Opportunities!$A$3:$A$502,$A296,Opportunities!$X$3:$X$502,"Yes"))</f>
        <v/>
      </c>
      <c r="AH296" s="32" t="str">
        <f aca="false">IF($A296="","",_xlfn.TEXTJOIN(", ",TRUE(),IF(COUNTIF($A$3:$A$502,$A296)&gt;1,"Duplicate name",""),IF(OR(AND(G296=2,I296=""),AND(J296=2,L296=""),AND(M296=2,O296=""),AND(P296=2,R296="")),"Source missing for a 2",""),IF(F296="","No owner",IF(COUNTIFS(R_TeamName,F296,R_TeamActive,"No")&gt;0,"Needs new owner","")),IF(AND(V296="Yes",X296&lt;&gt;"",X296&lt;S_SemStart),"Path overdue",""),IF(AND(S296&lt;&gt;"",S296&lt;S_Today-365),"Stale research",""),IF(AND(AE296="Research",COUNTIF('Commercial Evidence'!$A$3:$A$502,$A296)=0),"Add commercial evidence","")))</f>
        <v/>
      </c>
      <c r="AI296" s="34" t="str">
        <f aca="false">IF(OR($A296="",Z296="Yes"),"",IF(AND(AE296="Priority",AG296=0,COUNTIFS(Opportunities!$A$3:$A$502,$A296,Opportunities!$Y$3:$Y$502,"Renewal due")=0),600000+(10-AC296)*1000+(4-AD296)*100+ROW()/100000,IF(V296="Yes",700000+IF(X296="",0,X296-40000)/10+ROW()/100000,IF(AND(AE296="Quick Win",U296&lt;&gt;"",AG296=0),800000+(10-AC296)*1000+ROW()/100000,IF(AND(AE296="Build a Path",COUNTIF($V$3:$V$502,"Yes")&lt;S_PathCap),900000+(10-AC296)*1000+(4-AD296)*100+ROW()/100000,"")))))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8"/>
      <c r="T297" s="27"/>
      <c r="U297" s="27"/>
      <c r="V297" s="27"/>
      <c r="W297" s="27"/>
      <c r="X297" s="28"/>
      <c r="Y297" s="27"/>
      <c r="Z297" s="27"/>
      <c r="AA297" s="27"/>
      <c r="AB297" s="32" t="str">
        <f aca="false">IF($A297="","",IF(COUNTIF('Commercial Evidence'!$A$3:$A$502,$A297)=0,"",IF(COUNTIFS('Commercial Evidence'!$A$3:$A$502,$A297,'Commercial Evidence'!$B$3:$B$502,"Previous CBS Talks spend")+COUNTIFS('Commercial Evidence'!$A$3:$A$502,$A297,'Commercial Evidence'!$B$3:$B$502,"Sponsors student organisations")&gt;0,2,IF(COUNTIFS('Commercial Evidence'!$A$3:$A$502,$A297,'Commercial Evidence'!$B$3:$B$502,"Sponsors university activities")+COUNTIFS('Commercial Evidence'!$A$3:$A$502,$A297,'Commercial Evidence'!$B$3:$B$502,"Sponsors similar events")+COUNTIFS('Commercial Evidence'!$A$3:$A$502,$A297,'Commercial Evidence'!$B$3:$B$502,"Previous CBS Talks partner")&gt;0,1,0))))</f>
        <v/>
      </c>
      <c r="AC297" s="32" t="str">
        <f aca="false">IF($A297="","",IF(COUNT(G297,J297,M297,P297,AB297)&lt;5,"",G297+J297+M297+P297+AB297))</f>
        <v/>
      </c>
      <c r="AD297" s="32" t="str">
        <f aca="false">IF($A297="","",IF(COUNTIFS(Contacts!$A$3:$A$502,$A297,Contacts!$E$3:$E$502,"Champion",Contacts!$K$3:$K$502,"&lt;&gt;Yes",Contacts!$L$3:$L$502,"&lt;&gt;Yes")+COUNTIFS(Opportunities!$A$3:$A$502,$A297,Opportunities!$C$3:$C$502,"Won",Opportunities!$Q$3:$Q$502,"Satisfied")&gt;0,4,IF(COUNTIFS(Interactions!$B$3:$B$502,$A297,Interactions!$I$3:$I$502,"Yes",Interactions!$A$3:$A$502,"&gt;="&amp;(S_Today-S_WarmDays))&gt;0,3,IF(T297&lt;&gt;"",2,IF(COUNTIFS(Contacts!$A$3:$A$502,$A297,Contacts!$M$3:$M$502,"Yes",Contacts!$K$3:$K$502,"&lt;&gt;Yes",Contacts!$L$3:$L$502,"&lt;&gt;Yes")&gt;0,1,0)))))</f>
        <v/>
      </c>
      <c r="AE297" s="32" t="str">
        <f aca="false">IF($A297="","",IF(Z297="Yes","Do not contact",IF(AC297="","Research",IF(AND(AC297&gt;=S_FitHigh,AD297&gt;=S_AccessHigh),"Priority",IF(AC297&gt;=S_FitHigh,"Build a Path",IF(AD297&gt;=S_AccessHigh,"Quick Win","Low Priority"))))))</f>
        <v/>
      </c>
      <c r="AF297" s="33" t="str">
        <f aca="false">IF($A297="","",IF(_xlfn.MAXIFS(Interactions!$A$3:$A$502,Interactions!$B$3:$B$502,$A297)=0,"",_xlfn.MAXIFS(Interactions!$A$3:$A$502,Interactions!$B$3:$B$502,$A297)))</f>
        <v/>
      </c>
      <c r="AG297" s="32" t="str">
        <f aca="false">IF($A297="","",COUNTIFS(Opportunities!$A$3:$A$502,$A297,Opportunities!$X$3:$X$502,"Yes"))</f>
        <v/>
      </c>
      <c r="AH297" s="32" t="str">
        <f aca="false">IF($A297="","",_xlfn.TEXTJOIN(", ",TRUE(),IF(COUNTIF($A$3:$A$502,$A297)&gt;1,"Duplicate name",""),IF(OR(AND(G297=2,I297=""),AND(J297=2,L297=""),AND(M297=2,O297=""),AND(P297=2,R297="")),"Source missing for a 2",""),IF(F297="","No owner",IF(COUNTIFS(R_TeamName,F297,R_TeamActive,"No")&gt;0,"Needs new owner","")),IF(AND(V297="Yes",X297&lt;&gt;"",X297&lt;S_SemStart),"Path overdue",""),IF(AND(S297&lt;&gt;"",S297&lt;S_Today-365),"Stale research",""),IF(AND(AE297="Research",COUNTIF('Commercial Evidence'!$A$3:$A$502,$A297)=0),"Add commercial evidence","")))</f>
        <v/>
      </c>
      <c r="AI297" s="34" t="str">
        <f aca="false">IF(OR($A297="",Z297="Yes"),"",IF(AND(AE297="Priority",AG297=0,COUNTIFS(Opportunities!$A$3:$A$502,$A297,Opportunities!$Y$3:$Y$502,"Renewal due")=0),600000+(10-AC297)*1000+(4-AD297)*100+ROW()/100000,IF(V297="Yes",700000+IF(X297="",0,X297-40000)/10+ROW()/100000,IF(AND(AE297="Quick Win",U297&lt;&gt;"",AG297=0),800000+(10-AC297)*1000+ROW()/100000,IF(AND(AE297="Build a Path",COUNTIF($V$3:$V$502,"Yes")&lt;S_PathCap),900000+(10-AC297)*1000+(4-AD297)*100+ROW()/100000,"")))))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8"/>
      <c r="T298" s="27"/>
      <c r="U298" s="27"/>
      <c r="V298" s="27"/>
      <c r="W298" s="27"/>
      <c r="X298" s="28"/>
      <c r="Y298" s="27"/>
      <c r="Z298" s="27"/>
      <c r="AA298" s="27"/>
      <c r="AB298" s="32" t="str">
        <f aca="false">IF($A298="","",IF(COUNTIF('Commercial Evidence'!$A$3:$A$502,$A298)=0,"",IF(COUNTIFS('Commercial Evidence'!$A$3:$A$502,$A298,'Commercial Evidence'!$B$3:$B$502,"Previous CBS Talks spend")+COUNTIFS('Commercial Evidence'!$A$3:$A$502,$A298,'Commercial Evidence'!$B$3:$B$502,"Sponsors student organisations")&gt;0,2,IF(COUNTIFS('Commercial Evidence'!$A$3:$A$502,$A298,'Commercial Evidence'!$B$3:$B$502,"Sponsors university activities")+COUNTIFS('Commercial Evidence'!$A$3:$A$502,$A298,'Commercial Evidence'!$B$3:$B$502,"Sponsors similar events")+COUNTIFS('Commercial Evidence'!$A$3:$A$502,$A298,'Commercial Evidence'!$B$3:$B$502,"Previous CBS Talks partner")&gt;0,1,0))))</f>
        <v/>
      </c>
      <c r="AC298" s="32" t="str">
        <f aca="false">IF($A298="","",IF(COUNT(G298,J298,M298,P298,AB298)&lt;5,"",G298+J298+M298+P298+AB298))</f>
        <v/>
      </c>
      <c r="AD298" s="32" t="str">
        <f aca="false">IF($A298="","",IF(COUNTIFS(Contacts!$A$3:$A$502,$A298,Contacts!$E$3:$E$502,"Champion",Contacts!$K$3:$K$502,"&lt;&gt;Yes",Contacts!$L$3:$L$502,"&lt;&gt;Yes")+COUNTIFS(Opportunities!$A$3:$A$502,$A298,Opportunities!$C$3:$C$502,"Won",Opportunities!$Q$3:$Q$502,"Satisfied")&gt;0,4,IF(COUNTIFS(Interactions!$B$3:$B$502,$A298,Interactions!$I$3:$I$502,"Yes",Interactions!$A$3:$A$502,"&gt;="&amp;(S_Today-S_WarmDays))&gt;0,3,IF(T298&lt;&gt;"",2,IF(COUNTIFS(Contacts!$A$3:$A$502,$A298,Contacts!$M$3:$M$502,"Yes",Contacts!$K$3:$K$502,"&lt;&gt;Yes",Contacts!$L$3:$L$502,"&lt;&gt;Yes")&gt;0,1,0)))))</f>
        <v/>
      </c>
      <c r="AE298" s="32" t="str">
        <f aca="false">IF($A298="","",IF(Z298="Yes","Do not contact",IF(AC298="","Research",IF(AND(AC298&gt;=S_FitHigh,AD298&gt;=S_AccessHigh),"Priority",IF(AC298&gt;=S_FitHigh,"Build a Path",IF(AD298&gt;=S_AccessHigh,"Quick Win","Low Priority"))))))</f>
        <v/>
      </c>
      <c r="AF298" s="33" t="str">
        <f aca="false">IF($A298="","",IF(_xlfn.MAXIFS(Interactions!$A$3:$A$502,Interactions!$B$3:$B$502,$A298)=0,"",_xlfn.MAXIFS(Interactions!$A$3:$A$502,Interactions!$B$3:$B$502,$A298)))</f>
        <v/>
      </c>
      <c r="AG298" s="32" t="str">
        <f aca="false">IF($A298="","",COUNTIFS(Opportunities!$A$3:$A$502,$A298,Opportunities!$X$3:$X$502,"Yes"))</f>
        <v/>
      </c>
      <c r="AH298" s="32" t="str">
        <f aca="false">IF($A298="","",_xlfn.TEXTJOIN(", ",TRUE(),IF(COUNTIF($A$3:$A$502,$A298)&gt;1,"Duplicate name",""),IF(OR(AND(G298=2,I298=""),AND(J298=2,L298=""),AND(M298=2,O298=""),AND(P298=2,R298="")),"Source missing for a 2",""),IF(F298="","No owner",IF(COUNTIFS(R_TeamName,F298,R_TeamActive,"No")&gt;0,"Needs new owner","")),IF(AND(V298="Yes",X298&lt;&gt;"",X298&lt;S_SemStart),"Path overdue",""),IF(AND(S298&lt;&gt;"",S298&lt;S_Today-365),"Stale research",""),IF(AND(AE298="Research",COUNTIF('Commercial Evidence'!$A$3:$A$502,$A298)=0),"Add commercial evidence","")))</f>
        <v/>
      </c>
      <c r="AI298" s="34" t="str">
        <f aca="false">IF(OR($A298="",Z298="Yes"),"",IF(AND(AE298="Priority",AG298=0,COUNTIFS(Opportunities!$A$3:$A$502,$A298,Opportunities!$Y$3:$Y$502,"Renewal due")=0),600000+(10-AC298)*1000+(4-AD298)*100+ROW()/100000,IF(V298="Yes",700000+IF(X298="",0,X298-40000)/10+ROW()/100000,IF(AND(AE298="Quick Win",U298&lt;&gt;"",AG298=0),800000+(10-AC298)*1000+ROW()/100000,IF(AND(AE298="Build a Path",COUNTIF($V$3:$V$502,"Yes")&lt;S_PathCap),900000+(10-AC298)*1000+(4-AD298)*100+ROW()/100000,"")))))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8"/>
      <c r="T299" s="27"/>
      <c r="U299" s="27"/>
      <c r="V299" s="27"/>
      <c r="W299" s="27"/>
      <c r="X299" s="28"/>
      <c r="Y299" s="27"/>
      <c r="Z299" s="27"/>
      <c r="AA299" s="27"/>
      <c r="AB299" s="32" t="str">
        <f aca="false">IF($A299="","",IF(COUNTIF('Commercial Evidence'!$A$3:$A$502,$A299)=0,"",IF(COUNTIFS('Commercial Evidence'!$A$3:$A$502,$A299,'Commercial Evidence'!$B$3:$B$502,"Previous CBS Talks spend")+COUNTIFS('Commercial Evidence'!$A$3:$A$502,$A299,'Commercial Evidence'!$B$3:$B$502,"Sponsors student organisations")&gt;0,2,IF(COUNTIFS('Commercial Evidence'!$A$3:$A$502,$A299,'Commercial Evidence'!$B$3:$B$502,"Sponsors university activities")+COUNTIFS('Commercial Evidence'!$A$3:$A$502,$A299,'Commercial Evidence'!$B$3:$B$502,"Sponsors similar events")+COUNTIFS('Commercial Evidence'!$A$3:$A$502,$A299,'Commercial Evidence'!$B$3:$B$502,"Previous CBS Talks partner")&gt;0,1,0))))</f>
        <v/>
      </c>
      <c r="AC299" s="32" t="str">
        <f aca="false">IF($A299="","",IF(COUNT(G299,J299,M299,P299,AB299)&lt;5,"",G299+J299+M299+P299+AB299))</f>
        <v/>
      </c>
      <c r="AD299" s="32" t="str">
        <f aca="false">IF($A299="","",IF(COUNTIFS(Contacts!$A$3:$A$502,$A299,Contacts!$E$3:$E$502,"Champion",Contacts!$K$3:$K$502,"&lt;&gt;Yes",Contacts!$L$3:$L$502,"&lt;&gt;Yes")+COUNTIFS(Opportunities!$A$3:$A$502,$A299,Opportunities!$C$3:$C$502,"Won",Opportunities!$Q$3:$Q$502,"Satisfied")&gt;0,4,IF(COUNTIFS(Interactions!$B$3:$B$502,$A299,Interactions!$I$3:$I$502,"Yes",Interactions!$A$3:$A$502,"&gt;="&amp;(S_Today-S_WarmDays))&gt;0,3,IF(T299&lt;&gt;"",2,IF(COUNTIFS(Contacts!$A$3:$A$502,$A299,Contacts!$M$3:$M$502,"Yes",Contacts!$K$3:$K$502,"&lt;&gt;Yes",Contacts!$L$3:$L$502,"&lt;&gt;Yes")&gt;0,1,0)))))</f>
        <v/>
      </c>
      <c r="AE299" s="32" t="str">
        <f aca="false">IF($A299="","",IF(Z299="Yes","Do not contact",IF(AC299="","Research",IF(AND(AC299&gt;=S_FitHigh,AD299&gt;=S_AccessHigh),"Priority",IF(AC299&gt;=S_FitHigh,"Build a Path",IF(AD299&gt;=S_AccessHigh,"Quick Win","Low Priority"))))))</f>
        <v/>
      </c>
      <c r="AF299" s="33" t="str">
        <f aca="false">IF($A299="","",IF(_xlfn.MAXIFS(Interactions!$A$3:$A$502,Interactions!$B$3:$B$502,$A299)=0,"",_xlfn.MAXIFS(Interactions!$A$3:$A$502,Interactions!$B$3:$B$502,$A299)))</f>
        <v/>
      </c>
      <c r="AG299" s="32" t="str">
        <f aca="false">IF($A299="","",COUNTIFS(Opportunities!$A$3:$A$502,$A299,Opportunities!$X$3:$X$502,"Yes"))</f>
        <v/>
      </c>
      <c r="AH299" s="32" t="str">
        <f aca="false">IF($A299="","",_xlfn.TEXTJOIN(", ",TRUE(),IF(COUNTIF($A$3:$A$502,$A299)&gt;1,"Duplicate name",""),IF(OR(AND(G299=2,I299=""),AND(J299=2,L299=""),AND(M299=2,O299=""),AND(P299=2,R299="")),"Source missing for a 2",""),IF(F299="","No owner",IF(COUNTIFS(R_TeamName,F299,R_TeamActive,"No")&gt;0,"Needs new owner","")),IF(AND(V299="Yes",X299&lt;&gt;"",X299&lt;S_SemStart),"Path overdue",""),IF(AND(S299&lt;&gt;"",S299&lt;S_Today-365),"Stale research",""),IF(AND(AE299="Research",COUNTIF('Commercial Evidence'!$A$3:$A$502,$A299)=0),"Add commercial evidence","")))</f>
        <v/>
      </c>
      <c r="AI299" s="34" t="str">
        <f aca="false">IF(OR($A299="",Z299="Yes"),"",IF(AND(AE299="Priority",AG299=0,COUNTIFS(Opportunities!$A$3:$A$502,$A299,Opportunities!$Y$3:$Y$502,"Renewal due")=0),600000+(10-AC299)*1000+(4-AD299)*100+ROW()/100000,IF(V299="Yes",700000+IF(X299="",0,X299-40000)/10+ROW()/100000,IF(AND(AE299="Quick Win",U299&lt;&gt;"",AG299=0),800000+(10-AC299)*1000+ROW()/100000,IF(AND(AE299="Build a Path",COUNTIF($V$3:$V$502,"Yes")&lt;S_PathCap),900000+(10-AC299)*1000+(4-AD299)*100+ROW()/100000,"")))))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8"/>
      <c r="T300" s="27"/>
      <c r="U300" s="27"/>
      <c r="V300" s="27"/>
      <c r="W300" s="27"/>
      <c r="X300" s="28"/>
      <c r="Y300" s="27"/>
      <c r="Z300" s="27"/>
      <c r="AA300" s="27"/>
      <c r="AB300" s="32" t="str">
        <f aca="false">IF($A300="","",IF(COUNTIF('Commercial Evidence'!$A$3:$A$502,$A300)=0,"",IF(COUNTIFS('Commercial Evidence'!$A$3:$A$502,$A300,'Commercial Evidence'!$B$3:$B$502,"Previous CBS Talks spend")+COUNTIFS('Commercial Evidence'!$A$3:$A$502,$A300,'Commercial Evidence'!$B$3:$B$502,"Sponsors student organisations")&gt;0,2,IF(COUNTIFS('Commercial Evidence'!$A$3:$A$502,$A300,'Commercial Evidence'!$B$3:$B$502,"Sponsors university activities")+COUNTIFS('Commercial Evidence'!$A$3:$A$502,$A300,'Commercial Evidence'!$B$3:$B$502,"Sponsors similar events")+COUNTIFS('Commercial Evidence'!$A$3:$A$502,$A300,'Commercial Evidence'!$B$3:$B$502,"Previous CBS Talks partner")&gt;0,1,0))))</f>
        <v/>
      </c>
      <c r="AC300" s="32" t="str">
        <f aca="false">IF($A300="","",IF(COUNT(G300,J300,M300,P300,AB300)&lt;5,"",G300+J300+M300+P300+AB300))</f>
        <v/>
      </c>
      <c r="AD300" s="32" t="str">
        <f aca="false">IF($A300="","",IF(COUNTIFS(Contacts!$A$3:$A$502,$A300,Contacts!$E$3:$E$502,"Champion",Contacts!$K$3:$K$502,"&lt;&gt;Yes",Contacts!$L$3:$L$502,"&lt;&gt;Yes")+COUNTIFS(Opportunities!$A$3:$A$502,$A300,Opportunities!$C$3:$C$502,"Won",Opportunities!$Q$3:$Q$502,"Satisfied")&gt;0,4,IF(COUNTIFS(Interactions!$B$3:$B$502,$A300,Interactions!$I$3:$I$502,"Yes",Interactions!$A$3:$A$502,"&gt;="&amp;(S_Today-S_WarmDays))&gt;0,3,IF(T300&lt;&gt;"",2,IF(COUNTIFS(Contacts!$A$3:$A$502,$A300,Contacts!$M$3:$M$502,"Yes",Contacts!$K$3:$K$502,"&lt;&gt;Yes",Contacts!$L$3:$L$502,"&lt;&gt;Yes")&gt;0,1,0)))))</f>
        <v/>
      </c>
      <c r="AE300" s="32" t="str">
        <f aca="false">IF($A300="","",IF(Z300="Yes","Do not contact",IF(AC300="","Research",IF(AND(AC300&gt;=S_FitHigh,AD300&gt;=S_AccessHigh),"Priority",IF(AC300&gt;=S_FitHigh,"Build a Path",IF(AD300&gt;=S_AccessHigh,"Quick Win","Low Priority"))))))</f>
        <v/>
      </c>
      <c r="AF300" s="33" t="str">
        <f aca="false">IF($A300="","",IF(_xlfn.MAXIFS(Interactions!$A$3:$A$502,Interactions!$B$3:$B$502,$A300)=0,"",_xlfn.MAXIFS(Interactions!$A$3:$A$502,Interactions!$B$3:$B$502,$A300)))</f>
        <v/>
      </c>
      <c r="AG300" s="32" t="str">
        <f aca="false">IF($A300="","",COUNTIFS(Opportunities!$A$3:$A$502,$A300,Opportunities!$X$3:$X$502,"Yes"))</f>
        <v/>
      </c>
      <c r="AH300" s="32" t="str">
        <f aca="false">IF($A300="","",_xlfn.TEXTJOIN(", ",TRUE(),IF(COUNTIF($A$3:$A$502,$A300)&gt;1,"Duplicate name",""),IF(OR(AND(G300=2,I300=""),AND(J300=2,L300=""),AND(M300=2,O300=""),AND(P300=2,R300="")),"Source missing for a 2",""),IF(F300="","No owner",IF(COUNTIFS(R_TeamName,F300,R_TeamActive,"No")&gt;0,"Needs new owner","")),IF(AND(V300="Yes",X300&lt;&gt;"",X300&lt;S_SemStart),"Path overdue",""),IF(AND(S300&lt;&gt;"",S300&lt;S_Today-365),"Stale research",""),IF(AND(AE300="Research",COUNTIF('Commercial Evidence'!$A$3:$A$502,$A300)=0),"Add commercial evidence","")))</f>
        <v/>
      </c>
      <c r="AI300" s="34" t="str">
        <f aca="false">IF(OR($A300="",Z300="Yes"),"",IF(AND(AE300="Priority",AG300=0,COUNTIFS(Opportunities!$A$3:$A$502,$A300,Opportunities!$Y$3:$Y$502,"Renewal due")=0),600000+(10-AC300)*1000+(4-AD300)*100+ROW()/100000,IF(V300="Yes",700000+IF(X300="",0,X300-40000)/10+ROW()/100000,IF(AND(AE300="Quick Win",U300&lt;&gt;"",AG300=0),800000+(10-AC300)*1000+ROW()/100000,IF(AND(AE300="Build a Path",COUNTIF($V$3:$V$502,"Yes")&lt;S_PathCap),900000+(10-AC300)*1000+(4-AD300)*100+ROW()/100000,"")))))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8"/>
      <c r="T301" s="27"/>
      <c r="U301" s="27"/>
      <c r="V301" s="27"/>
      <c r="W301" s="27"/>
      <c r="X301" s="28"/>
      <c r="Y301" s="27"/>
      <c r="Z301" s="27"/>
      <c r="AA301" s="27"/>
      <c r="AB301" s="32" t="str">
        <f aca="false">IF($A301="","",IF(COUNTIF('Commercial Evidence'!$A$3:$A$502,$A301)=0,"",IF(COUNTIFS('Commercial Evidence'!$A$3:$A$502,$A301,'Commercial Evidence'!$B$3:$B$502,"Previous CBS Talks spend")+COUNTIFS('Commercial Evidence'!$A$3:$A$502,$A301,'Commercial Evidence'!$B$3:$B$502,"Sponsors student organisations")&gt;0,2,IF(COUNTIFS('Commercial Evidence'!$A$3:$A$502,$A301,'Commercial Evidence'!$B$3:$B$502,"Sponsors university activities")+COUNTIFS('Commercial Evidence'!$A$3:$A$502,$A301,'Commercial Evidence'!$B$3:$B$502,"Sponsors similar events")+COUNTIFS('Commercial Evidence'!$A$3:$A$502,$A301,'Commercial Evidence'!$B$3:$B$502,"Previous CBS Talks partner")&gt;0,1,0))))</f>
        <v/>
      </c>
      <c r="AC301" s="32" t="str">
        <f aca="false">IF($A301="","",IF(COUNT(G301,J301,M301,P301,AB301)&lt;5,"",G301+J301+M301+P301+AB301))</f>
        <v/>
      </c>
      <c r="AD301" s="32" t="str">
        <f aca="false">IF($A301="","",IF(COUNTIFS(Contacts!$A$3:$A$502,$A301,Contacts!$E$3:$E$502,"Champion",Contacts!$K$3:$K$502,"&lt;&gt;Yes",Contacts!$L$3:$L$502,"&lt;&gt;Yes")+COUNTIFS(Opportunities!$A$3:$A$502,$A301,Opportunities!$C$3:$C$502,"Won",Opportunities!$Q$3:$Q$502,"Satisfied")&gt;0,4,IF(COUNTIFS(Interactions!$B$3:$B$502,$A301,Interactions!$I$3:$I$502,"Yes",Interactions!$A$3:$A$502,"&gt;="&amp;(S_Today-S_WarmDays))&gt;0,3,IF(T301&lt;&gt;"",2,IF(COUNTIFS(Contacts!$A$3:$A$502,$A301,Contacts!$M$3:$M$502,"Yes",Contacts!$K$3:$K$502,"&lt;&gt;Yes",Contacts!$L$3:$L$502,"&lt;&gt;Yes")&gt;0,1,0)))))</f>
        <v/>
      </c>
      <c r="AE301" s="32" t="str">
        <f aca="false">IF($A301="","",IF(Z301="Yes","Do not contact",IF(AC301="","Research",IF(AND(AC301&gt;=S_FitHigh,AD301&gt;=S_AccessHigh),"Priority",IF(AC301&gt;=S_FitHigh,"Build a Path",IF(AD301&gt;=S_AccessHigh,"Quick Win","Low Priority"))))))</f>
        <v/>
      </c>
      <c r="AF301" s="33" t="str">
        <f aca="false">IF($A301="","",IF(_xlfn.MAXIFS(Interactions!$A$3:$A$502,Interactions!$B$3:$B$502,$A301)=0,"",_xlfn.MAXIFS(Interactions!$A$3:$A$502,Interactions!$B$3:$B$502,$A301)))</f>
        <v/>
      </c>
      <c r="AG301" s="32" t="str">
        <f aca="false">IF($A301="","",COUNTIFS(Opportunities!$A$3:$A$502,$A301,Opportunities!$X$3:$X$502,"Yes"))</f>
        <v/>
      </c>
      <c r="AH301" s="32" t="str">
        <f aca="false">IF($A301="","",_xlfn.TEXTJOIN(", ",TRUE(),IF(COUNTIF($A$3:$A$502,$A301)&gt;1,"Duplicate name",""),IF(OR(AND(G301=2,I301=""),AND(J301=2,L301=""),AND(M301=2,O301=""),AND(P301=2,R301="")),"Source missing for a 2",""),IF(F301="","No owner",IF(COUNTIFS(R_TeamName,F301,R_TeamActive,"No")&gt;0,"Needs new owner","")),IF(AND(V301="Yes",X301&lt;&gt;"",X301&lt;S_SemStart),"Path overdue",""),IF(AND(S301&lt;&gt;"",S301&lt;S_Today-365),"Stale research",""),IF(AND(AE301="Research",COUNTIF('Commercial Evidence'!$A$3:$A$502,$A301)=0),"Add commercial evidence","")))</f>
        <v/>
      </c>
      <c r="AI301" s="34" t="str">
        <f aca="false">IF(OR($A301="",Z301="Yes"),"",IF(AND(AE301="Priority",AG301=0,COUNTIFS(Opportunities!$A$3:$A$502,$A301,Opportunities!$Y$3:$Y$502,"Renewal due")=0),600000+(10-AC301)*1000+(4-AD301)*100+ROW()/100000,IF(V301="Yes",700000+IF(X301="",0,X301-40000)/10+ROW()/100000,IF(AND(AE301="Quick Win",U301&lt;&gt;"",AG301=0),800000+(10-AC301)*1000+ROW()/100000,IF(AND(AE301="Build a Path",COUNTIF($V$3:$V$502,"Yes")&lt;S_PathCap),900000+(10-AC301)*1000+(4-AD301)*100+ROW()/100000,"")))))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8"/>
      <c r="T302" s="27"/>
      <c r="U302" s="27"/>
      <c r="V302" s="27"/>
      <c r="W302" s="27"/>
      <c r="X302" s="28"/>
      <c r="Y302" s="27"/>
      <c r="Z302" s="27"/>
      <c r="AA302" s="27"/>
      <c r="AB302" s="32" t="str">
        <f aca="false">IF($A302="","",IF(COUNTIF('Commercial Evidence'!$A$3:$A$502,$A302)=0,"",IF(COUNTIFS('Commercial Evidence'!$A$3:$A$502,$A302,'Commercial Evidence'!$B$3:$B$502,"Previous CBS Talks spend")+COUNTIFS('Commercial Evidence'!$A$3:$A$502,$A302,'Commercial Evidence'!$B$3:$B$502,"Sponsors student organisations")&gt;0,2,IF(COUNTIFS('Commercial Evidence'!$A$3:$A$502,$A302,'Commercial Evidence'!$B$3:$B$502,"Sponsors university activities")+COUNTIFS('Commercial Evidence'!$A$3:$A$502,$A302,'Commercial Evidence'!$B$3:$B$502,"Sponsors similar events")+COUNTIFS('Commercial Evidence'!$A$3:$A$502,$A302,'Commercial Evidence'!$B$3:$B$502,"Previous CBS Talks partner")&gt;0,1,0))))</f>
        <v/>
      </c>
      <c r="AC302" s="32" t="str">
        <f aca="false">IF($A302="","",IF(COUNT(G302,J302,M302,P302,AB302)&lt;5,"",G302+J302+M302+P302+AB302))</f>
        <v/>
      </c>
      <c r="AD302" s="32" t="str">
        <f aca="false">IF($A302="","",IF(COUNTIFS(Contacts!$A$3:$A$502,$A302,Contacts!$E$3:$E$502,"Champion",Contacts!$K$3:$K$502,"&lt;&gt;Yes",Contacts!$L$3:$L$502,"&lt;&gt;Yes")+COUNTIFS(Opportunities!$A$3:$A$502,$A302,Opportunities!$C$3:$C$502,"Won",Opportunities!$Q$3:$Q$502,"Satisfied")&gt;0,4,IF(COUNTIFS(Interactions!$B$3:$B$502,$A302,Interactions!$I$3:$I$502,"Yes",Interactions!$A$3:$A$502,"&gt;="&amp;(S_Today-S_WarmDays))&gt;0,3,IF(T302&lt;&gt;"",2,IF(COUNTIFS(Contacts!$A$3:$A$502,$A302,Contacts!$M$3:$M$502,"Yes",Contacts!$K$3:$K$502,"&lt;&gt;Yes",Contacts!$L$3:$L$502,"&lt;&gt;Yes")&gt;0,1,0)))))</f>
        <v/>
      </c>
      <c r="AE302" s="32" t="str">
        <f aca="false">IF($A302="","",IF(Z302="Yes","Do not contact",IF(AC302="","Research",IF(AND(AC302&gt;=S_FitHigh,AD302&gt;=S_AccessHigh),"Priority",IF(AC302&gt;=S_FitHigh,"Build a Path",IF(AD302&gt;=S_AccessHigh,"Quick Win","Low Priority"))))))</f>
        <v/>
      </c>
      <c r="AF302" s="33" t="str">
        <f aca="false">IF($A302="","",IF(_xlfn.MAXIFS(Interactions!$A$3:$A$502,Interactions!$B$3:$B$502,$A302)=0,"",_xlfn.MAXIFS(Interactions!$A$3:$A$502,Interactions!$B$3:$B$502,$A302)))</f>
        <v/>
      </c>
      <c r="AG302" s="32" t="str">
        <f aca="false">IF($A302="","",COUNTIFS(Opportunities!$A$3:$A$502,$A302,Opportunities!$X$3:$X$502,"Yes"))</f>
        <v/>
      </c>
      <c r="AH302" s="32" t="str">
        <f aca="false">IF($A302="","",_xlfn.TEXTJOIN(", ",TRUE(),IF(COUNTIF($A$3:$A$502,$A302)&gt;1,"Duplicate name",""),IF(OR(AND(G302=2,I302=""),AND(J302=2,L302=""),AND(M302=2,O302=""),AND(P302=2,R302="")),"Source missing for a 2",""),IF(F302="","No owner",IF(COUNTIFS(R_TeamName,F302,R_TeamActive,"No")&gt;0,"Needs new owner","")),IF(AND(V302="Yes",X302&lt;&gt;"",X302&lt;S_SemStart),"Path overdue",""),IF(AND(S302&lt;&gt;"",S302&lt;S_Today-365),"Stale research",""),IF(AND(AE302="Research",COUNTIF('Commercial Evidence'!$A$3:$A$502,$A302)=0),"Add commercial evidence","")))</f>
        <v/>
      </c>
      <c r="AI302" s="34" t="str">
        <f aca="false">IF(OR($A302="",Z302="Yes"),"",IF(AND(AE302="Priority",AG302=0,COUNTIFS(Opportunities!$A$3:$A$502,$A302,Opportunities!$Y$3:$Y$502,"Renewal due")=0),600000+(10-AC302)*1000+(4-AD302)*100+ROW()/100000,IF(V302="Yes",700000+IF(X302="",0,X302-40000)/10+ROW()/100000,IF(AND(AE302="Quick Win",U302&lt;&gt;"",AG302=0),800000+(10-AC302)*1000+ROW()/100000,IF(AND(AE302="Build a Path",COUNTIF($V$3:$V$502,"Yes")&lt;S_PathCap),900000+(10-AC302)*1000+(4-AD302)*100+ROW()/100000,"")))))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8"/>
      <c r="T303" s="27"/>
      <c r="U303" s="27"/>
      <c r="V303" s="27"/>
      <c r="W303" s="27"/>
      <c r="X303" s="28"/>
      <c r="Y303" s="27"/>
      <c r="Z303" s="27"/>
      <c r="AA303" s="27"/>
      <c r="AB303" s="32" t="str">
        <f aca="false">IF($A303="","",IF(COUNTIF('Commercial Evidence'!$A$3:$A$502,$A303)=0,"",IF(COUNTIFS('Commercial Evidence'!$A$3:$A$502,$A303,'Commercial Evidence'!$B$3:$B$502,"Previous CBS Talks spend")+COUNTIFS('Commercial Evidence'!$A$3:$A$502,$A303,'Commercial Evidence'!$B$3:$B$502,"Sponsors student organisations")&gt;0,2,IF(COUNTIFS('Commercial Evidence'!$A$3:$A$502,$A303,'Commercial Evidence'!$B$3:$B$502,"Sponsors university activities")+COUNTIFS('Commercial Evidence'!$A$3:$A$502,$A303,'Commercial Evidence'!$B$3:$B$502,"Sponsors similar events")+COUNTIFS('Commercial Evidence'!$A$3:$A$502,$A303,'Commercial Evidence'!$B$3:$B$502,"Previous CBS Talks partner")&gt;0,1,0))))</f>
        <v/>
      </c>
      <c r="AC303" s="32" t="str">
        <f aca="false">IF($A303="","",IF(COUNT(G303,J303,M303,P303,AB303)&lt;5,"",G303+J303+M303+P303+AB303))</f>
        <v/>
      </c>
      <c r="AD303" s="32" t="str">
        <f aca="false">IF($A303="","",IF(COUNTIFS(Contacts!$A$3:$A$502,$A303,Contacts!$E$3:$E$502,"Champion",Contacts!$K$3:$K$502,"&lt;&gt;Yes",Contacts!$L$3:$L$502,"&lt;&gt;Yes")+COUNTIFS(Opportunities!$A$3:$A$502,$A303,Opportunities!$C$3:$C$502,"Won",Opportunities!$Q$3:$Q$502,"Satisfied")&gt;0,4,IF(COUNTIFS(Interactions!$B$3:$B$502,$A303,Interactions!$I$3:$I$502,"Yes",Interactions!$A$3:$A$502,"&gt;="&amp;(S_Today-S_WarmDays))&gt;0,3,IF(T303&lt;&gt;"",2,IF(COUNTIFS(Contacts!$A$3:$A$502,$A303,Contacts!$M$3:$M$502,"Yes",Contacts!$K$3:$K$502,"&lt;&gt;Yes",Contacts!$L$3:$L$502,"&lt;&gt;Yes")&gt;0,1,0)))))</f>
        <v/>
      </c>
      <c r="AE303" s="32" t="str">
        <f aca="false">IF($A303="","",IF(Z303="Yes","Do not contact",IF(AC303="","Research",IF(AND(AC303&gt;=S_FitHigh,AD303&gt;=S_AccessHigh),"Priority",IF(AC303&gt;=S_FitHigh,"Build a Path",IF(AD303&gt;=S_AccessHigh,"Quick Win","Low Priority"))))))</f>
        <v/>
      </c>
      <c r="AF303" s="33" t="str">
        <f aca="false">IF($A303="","",IF(_xlfn.MAXIFS(Interactions!$A$3:$A$502,Interactions!$B$3:$B$502,$A303)=0,"",_xlfn.MAXIFS(Interactions!$A$3:$A$502,Interactions!$B$3:$B$502,$A303)))</f>
        <v/>
      </c>
      <c r="AG303" s="32" t="str">
        <f aca="false">IF($A303="","",COUNTIFS(Opportunities!$A$3:$A$502,$A303,Opportunities!$X$3:$X$502,"Yes"))</f>
        <v/>
      </c>
      <c r="AH303" s="32" t="str">
        <f aca="false">IF($A303="","",_xlfn.TEXTJOIN(", ",TRUE(),IF(COUNTIF($A$3:$A$502,$A303)&gt;1,"Duplicate name",""),IF(OR(AND(G303=2,I303=""),AND(J303=2,L303=""),AND(M303=2,O303=""),AND(P303=2,R303="")),"Source missing for a 2",""),IF(F303="","No owner",IF(COUNTIFS(R_TeamName,F303,R_TeamActive,"No")&gt;0,"Needs new owner","")),IF(AND(V303="Yes",X303&lt;&gt;"",X303&lt;S_SemStart),"Path overdue",""),IF(AND(S303&lt;&gt;"",S303&lt;S_Today-365),"Stale research",""),IF(AND(AE303="Research",COUNTIF('Commercial Evidence'!$A$3:$A$502,$A303)=0),"Add commercial evidence","")))</f>
        <v/>
      </c>
      <c r="AI303" s="34" t="str">
        <f aca="false">IF(OR($A303="",Z303="Yes"),"",IF(AND(AE303="Priority",AG303=0,COUNTIFS(Opportunities!$A$3:$A$502,$A303,Opportunities!$Y$3:$Y$502,"Renewal due")=0),600000+(10-AC303)*1000+(4-AD303)*100+ROW()/100000,IF(V303="Yes",700000+IF(X303="",0,X303-40000)/10+ROW()/100000,IF(AND(AE303="Quick Win",U303&lt;&gt;"",AG303=0),800000+(10-AC303)*1000+ROW()/100000,IF(AND(AE303="Build a Path",COUNTIF($V$3:$V$502,"Yes")&lt;S_PathCap),900000+(10-AC303)*1000+(4-AD303)*100+ROW()/100000,"")))))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8"/>
      <c r="T304" s="27"/>
      <c r="U304" s="27"/>
      <c r="V304" s="27"/>
      <c r="W304" s="27"/>
      <c r="X304" s="28"/>
      <c r="Y304" s="27"/>
      <c r="Z304" s="27"/>
      <c r="AA304" s="27"/>
      <c r="AB304" s="32" t="str">
        <f aca="false">IF($A304="","",IF(COUNTIF('Commercial Evidence'!$A$3:$A$502,$A304)=0,"",IF(COUNTIFS('Commercial Evidence'!$A$3:$A$502,$A304,'Commercial Evidence'!$B$3:$B$502,"Previous CBS Talks spend")+COUNTIFS('Commercial Evidence'!$A$3:$A$502,$A304,'Commercial Evidence'!$B$3:$B$502,"Sponsors student organisations")&gt;0,2,IF(COUNTIFS('Commercial Evidence'!$A$3:$A$502,$A304,'Commercial Evidence'!$B$3:$B$502,"Sponsors university activities")+COUNTIFS('Commercial Evidence'!$A$3:$A$502,$A304,'Commercial Evidence'!$B$3:$B$502,"Sponsors similar events")+COUNTIFS('Commercial Evidence'!$A$3:$A$502,$A304,'Commercial Evidence'!$B$3:$B$502,"Previous CBS Talks partner")&gt;0,1,0))))</f>
        <v/>
      </c>
      <c r="AC304" s="32" t="str">
        <f aca="false">IF($A304="","",IF(COUNT(G304,J304,M304,P304,AB304)&lt;5,"",G304+J304+M304+P304+AB304))</f>
        <v/>
      </c>
      <c r="AD304" s="32" t="str">
        <f aca="false">IF($A304="","",IF(COUNTIFS(Contacts!$A$3:$A$502,$A304,Contacts!$E$3:$E$502,"Champion",Contacts!$K$3:$K$502,"&lt;&gt;Yes",Contacts!$L$3:$L$502,"&lt;&gt;Yes")+COUNTIFS(Opportunities!$A$3:$A$502,$A304,Opportunities!$C$3:$C$502,"Won",Opportunities!$Q$3:$Q$502,"Satisfied")&gt;0,4,IF(COUNTIFS(Interactions!$B$3:$B$502,$A304,Interactions!$I$3:$I$502,"Yes",Interactions!$A$3:$A$502,"&gt;="&amp;(S_Today-S_WarmDays))&gt;0,3,IF(T304&lt;&gt;"",2,IF(COUNTIFS(Contacts!$A$3:$A$502,$A304,Contacts!$M$3:$M$502,"Yes",Contacts!$K$3:$K$502,"&lt;&gt;Yes",Contacts!$L$3:$L$502,"&lt;&gt;Yes")&gt;0,1,0)))))</f>
        <v/>
      </c>
      <c r="AE304" s="32" t="str">
        <f aca="false">IF($A304="","",IF(Z304="Yes","Do not contact",IF(AC304="","Research",IF(AND(AC304&gt;=S_FitHigh,AD304&gt;=S_AccessHigh),"Priority",IF(AC304&gt;=S_FitHigh,"Build a Path",IF(AD304&gt;=S_AccessHigh,"Quick Win","Low Priority"))))))</f>
        <v/>
      </c>
      <c r="AF304" s="33" t="str">
        <f aca="false">IF($A304="","",IF(_xlfn.MAXIFS(Interactions!$A$3:$A$502,Interactions!$B$3:$B$502,$A304)=0,"",_xlfn.MAXIFS(Interactions!$A$3:$A$502,Interactions!$B$3:$B$502,$A304)))</f>
        <v/>
      </c>
      <c r="AG304" s="32" t="str">
        <f aca="false">IF($A304="","",COUNTIFS(Opportunities!$A$3:$A$502,$A304,Opportunities!$X$3:$X$502,"Yes"))</f>
        <v/>
      </c>
      <c r="AH304" s="32" t="str">
        <f aca="false">IF($A304="","",_xlfn.TEXTJOIN(", ",TRUE(),IF(COUNTIF($A$3:$A$502,$A304)&gt;1,"Duplicate name",""),IF(OR(AND(G304=2,I304=""),AND(J304=2,L304=""),AND(M304=2,O304=""),AND(P304=2,R304="")),"Source missing for a 2",""),IF(F304="","No owner",IF(COUNTIFS(R_TeamName,F304,R_TeamActive,"No")&gt;0,"Needs new owner","")),IF(AND(V304="Yes",X304&lt;&gt;"",X304&lt;S_SemStart),"Path overdue",""),IF(AND(S304&lt;&gt;"",S304&lt;S_Today-365),"Stale research",""),IF(AND(AE304="Research",COUNTIF('Commercial Evidence'!$A$3:$A$502,$A304)=0),"Add commercial evidence","")))</f>
        <v/>
      </c>
      <c r="AI304" s="34" t="str">
        <f aca="false">IF(OR($A304="",Z304="Yes"),"",IF(AND(AE304="Priority",AG304=0,COUNTIFS(Opportunities!$A$3:$A$502,$A304,Opportunities!$Y$3:$Y$502,"Renewal due")=0),600000+(10-AC304)*1000+(4-AD304)*100+ROW()/100000,IF(V304="Yes",700000+IF(X304="",0,X304-40000)/10+ROW()/100000,IF(AND(AE304="Quick Win",U304&lt;&gt;"",AG304=0),800000+(10-AC304)*1000+ROW()/100000,IF(AND(AE304="Build a Path",COUNTIF($V$3:$V$502,"Yes")&lt;S_PathCap),900000+(10-AC304)*1000+(4-AD304)*100+ROW()/100000,"")))))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8"/>
      <c r="T305" s="27"/>
      <c r="U305" s="27"/>
      <c r="V305" s="27"/>
      <c r="W305" s="27"/>
      <c r="X305" s="28"/>
      <c r="Y305" s="27"/>
      <c r="Z305" s="27"/>
      <c r="AA305" s="27"/>
      <c r="AB305" s="32" t="str">
        <f aca="false">IF($A305="","",IF(COUNTIF('Commercial Evidence'!$A$3:$A$502,$A305)=0,"",IF(COUNTIFS('Commercial Evidence'!$A$3:$A$502,$A305,'Commercial Evidence'!$B$3:$B$502,"Previous CBS Talks spend")+COUNTIFS('Commercial Evidence'!$A$3:$A$502,$A305,'Commercial Evidence'!$B$3:$B$502,"Sponsors student organisations")&gt;0,2,IF(COUNTIFS('Commercial Evidence'!$A$3:$A$502,$A305,'Commercial Evidence'!$B$3:$B$502,"Sponsors university activities")+COUNTIFS('Commercial Evidence'!$A$3:$A$502,$A305,'Commercial Evidence'!$B$3:$B$502,"Sponsors similar events")+COUNTIFS('Commercial Evidence'!$A$3:$A$502,$A305,'Commercial Evidence'!$B$3:$B$502,"Previous CBS Talks partner")&gt;0,1,0))))</f>
        <v/>
      </c>
      <c r="AC305" s="32" t="str">
        <f aca="false">IF($A305="","",IF(COUNT(G305,J305,M305,P305,AB305)&lt;5,"",G305+J305+M305+P305+AB305))</f>
        <v/>
      </c>
      <c r="AD305" s="32" t="str">
        <f aca="false">IF($A305="","",IF(COUNTIFS(Contacts!$A$3:$A$502,$A305,Contacts!$E$3:$E$502,"Champion",Contacts!$K$3:$K$502,"&lt;&gt;Yes",Contacts!$L$3:$L$502,"&lt;&gt;Yes")+COUNTIFS(Opportunities!$A$3:$A$502,$A305,Opportunities!$C$3:$C$502,"Won",Opportunities!$Q$3:$Q$502,"Satisfied")&gt;0,4,IF(COUNTIFS(Interactions!$B$3:$B$502,$A305,Interactions!$I$3:$I$502,"Yes",Interactions!$A$3:$A$502,"&gt;="&amp;(S_Today-S_WarmDays))&gt;0,3,IF(T305&lt;&gt;"",2,IF(COUNTIFS(Contacts!$A$3:$A$502,$A305,Contacts!$M$3:$M$502,"Yes",Contacts!$K$3:$K$502,"&lt;&gt;Yes",Contacts!$L$3:$L$502,"&lt;&gt;Yes")&gt;0,1,0)))))</f>
        <v/>
      </c>
      <c r="AE305" s="32" t="str">
        <f aca="false">IF($A305="","",IF(Z305="Yes","Do not contact",IF(AC305="","Research",IF(AND(AC305&gt;=S_FitHigh,AD305&gt;=S_AccessHigh),"Priority",IF(AC305&gt;=S_FitHigh,"Build a Path",IF(AD305&gt;=S_AccessHigh,"Quick Win","Low Priority"))))))</f>
        <v/>
      </c>
      <c r="AF305" s="33" t="str">
        <f aca="false">IF($A305="","",IF(_xlfn.MAXIFS(Interactions!$A$3:$A$502,Interactions!$B$3:$B$502,$A305)=0,"",_xlfn.MAXIFS(Interactions!$A$3:$A$502,Interactions!$B$3:$B$502,$A305)))</f>
        <v/>
      </c>
      <c r="AG305" s="32" t="str">
        <f aca="false">IF($A305="","",COUNTIFS(Opportunities!$A$3:$A$502,$A305,Opportunities!$X$3:$X$502,"Yes"))</f>
        <v/>
      </c>
      <c r="AH305" s="32" t="str">
        <f aca="false">IF($A305="","",_xlfn.TEXTJOIN(", ",TRUE(),IF(COUNTIF($A$3:$A$502,$A305)&gt;1,"Duplicate name",""),IF(OR(AND(G305=2,I305=""),AND(J305=2,L305=""),AND(M305=2,O305=""),AND(P305=2,R305="")),"Source missing for a 2",""),IF(F305="","No owner",IF(COUNTIFS(R_TeamName,F305,R_TeamActive,"No")&gt;0,"Needs new owner","")),IF(AND(V305="Yes",X305&lt;&gt;"",X305&lt;S_SemStart),"Path overdue",""),IF(AND(S305&lt;&gt;"",S305&lt;S_Today-365),"Stale research",""),IF(AND(AE305="Research",COUNTIF('Commercial Evidence'!$A$3:$A$502,$A305)=0),"Add commercial evidence","")))</f>
        <v/>
      </c>
      <c r="AI305" s="34" t="str">
        <f aca="false">IF(OR($A305="",Z305="Yes"),"",IF(AND(AE305="Priority",AG305=0,COUNTIFS(Opportunities!$A$3:$A$502,$A305,Opportunities!$Y$3:$Y$502,"Renewal due")=0),600000+(10-AC305)*1000+(4-AD305)*100+ROW()/100000,IF(V305="Yes",700000+IF(X305="",0,X305-40000)/10+ROW()/100000,IF(AND(AE305="Quick Win",U305&lt;&gt;"",AG305=0),800000+(10-AC305)*1000+ROW()/100000,IF(AND(AE305="Build a Path",COUNTIF($V$3:$V$502,"Yes")&lt;S_PathCap),900000+(10-AC305)*1000+(4-AD305)*100+ROW()/100000,"")))))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8"/>
      <c r="T306" s="27"/>
      <c r="U306" s="27"/>
      <c r="V306" s="27"/>
      <c r="W306" s="27"/>
      <c r="X306" s="28"/>
      <c r="Y306" s="27"/>
      <c r="Z306" s="27"/>
      <c r="AA306" s="27"/>
      <c r="AB306" s="32" t="str">
        <f aca="false">IF($A306="","",IF(COUNTIF('Commercial Evidence'!$A$3:$A$502,$A306)=0,"",IF(COUNTIFS('Commercial Evidence'!$A$3:$A$502,$A306,'Commercial Evidence'!$B$3:$B$502,"Previous CBS Talks spend")+COUNTIFS('Commercial Evidence'!$A$3:$A$502,$A306,'Commercial Evidence'!$B$3:$B$502,"Sponsors student organisations")&gt;0,2,IF(COUNTIFS('Commercial Evidence'!$A$3:$A$502,$A306,'Commercial Evidence'!$B$3:$B$502,"Sponsors university activities")+COUNTIFS('Commercial Evidence'!$A$3:$A$502,$A306,'Commercial Evidence'!$B$3:$B$502,"Sponsors similar events")+COUNTIFS('Commercial Evidence'!$A$3:$A$502,$A306,'Commercial Evidence'!$B$3:$B$502,"Previous CBS Talks partner")&gt;0,1,0))))</f>
        <v/>
      </c>
      <c r="AC306" s="32" t="str">
        <f aca="false">IF($A306="","",IF(COUNT(G306,J306,M306,P306,AB306)&lt;5,"",G306+J306+M306+P306+AB306))</f>
        <v/>
      </c>
      <c r="AD306" s="32" t="str">
        <f aca="false">IF($A306="","",IF(COUNTIFS(Contacts!$A$3:$A$502,$A306,Contacts!$E$3:$E$502,"Champion",Contacts!$K$3:$K$502,"&lt;&gt;Yes",Contacts!$L$3:$L$502,"&lt;&gt;Yes")+COUNTIFS(Opportunities!$A$3:$A$502,$A306,Opportunities!$C$3:$C$502,"Won",Opportunities!$Q$3:$Q$502,"Satisfied")&gt;0,4,IF(COUNTIFS(Interactions!$B$3:$B$502,$A306,Interactions!$I$3:$I$502,"Yes",Interactions!$A$3:$A$502,"&gt;="&amp;(S_Today-S_WarmDays))&gt;0,3,IF(T306&lt;&gt;"",2,IF(COUNTIFS(Contacts!$A$3:$A$502,$A306,Contacts!$M$3:$M$502,"Yes",Contacts!$K$3:$K$502,"&lt;&gt;Yes",Contacts!$L$3:$L$502,"&lt;&gt;Yes")&gt;0,1,0)))))</f>
        <v/>
      </c>
      <c r="AE306" s="32" t="str">
        <f aca="false">IF($A306="","",IF(Z306="Yes","Do not contact",IF(AC306="","Research",IF(AND(AC306&gt;=S_FitHigh,AD306&gt;=S_AccessHigh),"Priority",IF(AC306&gt;=S_FitHigh,"Build a Path",IF(AD306&gt;=S_AccessHigh,"Quick Win","Low Priority"))))))</f>
        <v/>
      </c>
      <c r="AF306" s="33" t="str">
        <f aca="false">IF($A306="","",IF(_xlfn.MAXIFS(Interactions!$A$3:$A$502,Interactions!$B$3:$B$502,$A306)=0,"",_xlfn.MAXIFS(Interactions!$A$3:$A$502,Interactions!$B$3:$B$502,$A306)))</f>
        <v/>
      </c>
      <c r="AG306" s="32" t="str">
        <f aca="false">IF($A306="","",COUNTIFS(Opportunities!$A$3:$A$502,$A306,Opportunities!$X$3:$X$502,"Yes"))</f>
        <v/>
      </c>
      <c r="AH306" s="32" t="str">
        <f aca="false">IF($A306="","",_xlfn.TEXTJOIN(", ",TRUE(),IF(COUNTIF($A$3:$A$502,$A306)&gt;1,"Duplicate name",""),IF(OR(AND(G306=2,I306=""),AND(J306=2,L306=""),AND(M306=2,O306=""),AND(P306=2,R306="")),"Source missing for a 2",""),IF(F306="","No owner",IF(COUNTIFS(R_TeamName,F306,R_TeamActive,"No")&gt;0,"Needs new owner","")),IF(AND(V306="Yes",X306&lt;&gt;"",X306&lt;S_SemStart),"Path overdue",""),IF(AND(S306&lt;&gt;"",S306&lt;S_Today-365),"Stale research",""),IF(AND(AE306="Research",COUNTIF('Commercial Evidence'!$A$3:$A$502,$A306)=0),"Add commercial evidence","")))</f>
        <v/>
      </c>
      <c r="AI306" s="34" t="str">
        <f aca="false">IF(OR($A306="",Z306="Yes"),"",IF(AND(AE306="Priority",AG306=0,COUNTIFS(Opportunities!$A$3:$A$502,$A306,Opportunities!$Y$3:$Y$502,"Renewal due")=0),600000+(10-AC306)*1000+(4-AD306)*100+ROW()/100000,IF(V306="Yes",700000+IF(X306="",0,X306-40000)/10+ROW()/100000,IF(AND(AE306="Quick Win",U306&lt;&gt;"",AG306=0),800000+(10-AC306)*1000+ROW()/100000,IF(AND(AE306="Build a Path",COUNTIF($V$3:$V$502,"Yes")&lt;S_PathCap),900000+(10-AC306)*1000+(4-AD306)*100+ROW()/100000,"")))))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8"/>
      <c r="T307" s="27"/>
      <c r="U307" s="27"/>
      <c r="V307" s="27"/>
      <c r="W307" s="27"/>
      <c r="X307" s="28"/>
      <c r="Y307" s="27"/>
      <c r="Z307" s="27"/>
      <c r="AA307" s="27"/>
      <c r="AB307" s="32" t="str">
        <f aca="false">IF($A307="","",IF(COUNTIF('Commercial Evidence'!$A$3:$A$502,$A307)=0,"",IF(COUNTIFS('Commercial Evidence'!$A$3:$A$502,$A307,'Commercial Evidence'!$B$3:$B$502,"Previous CBS Talks spend")+COUNTIFS('Commercial Evidence'!$A$3:$A$502,$A307,'Commercial Evidence'!$B$3:$B$502,"Sponsors student organisations")&gt;0,2,IF(COUNTIFS('Commercial Evidence'!$A$3:$A$502,$A307,'Commercial Evidence'!$B$3:$B$502,"Sponsors university activities")+COUNTIFS('Commercial Evidence'!$A$3:$A$502,$A307,'Commercial Evidence'!$B$3:$B$502,"Sponsors similar events")+COUNTIFS('Commercial Evidence'!$A$3:$A$502,$A307,'Commercial Evidence'!$B$3:$B$502,"Previous CBS Talks partner")&gt;0,1,0))))</f>
        <v/>
      </c>
      <c r="AC307" s="32" t="str">
        <f aca="false">IF($A307="","",IF(COUNT(G307,J307,M307,P307,AB307)&lt;5,"",G307+J307+M307+P307+AB307))</f>
        <v/>
      </c>
      <c r="AD307" s="32" t="str">
        <f aca="false">IF($A307="","",IF(COUNTIFS(Contacts!$A$3:$A$502,$A307,Contacts!$E$3:$E$502,"Champion",Contacts!$K$3:$K$502,"&lt;&gt;Yes",Contacts!$L$3:$L$502,"&lt;&gt;Yes")+COUNTIFS(Opportunities!$A$3:$A$502,$A307,Opportunities!$C$3:$C$502,"Won",Opportunities!$Q$3:$Q$502,"Satisfied")&gt;0,4,IF(COUNTIFS(Interactions!$B$3:$B$502,$A307,Interactions!$I$3:$I$502,"Yes",Interactions!$A$3:$A$502,"&gt;="&amp;(S_Today-S_WarmDays))&gt;0,3,IF(T307&lt;&gt;"",2,IF(COUNTIFS(Contacts!$A$3:$A$502,$A307,Contacts!$M$3:$M$502,"Yes",Contacts!$K$3:$K$502,"&lt;&gt;Yes",Contacts!$L$3:$L$502,"&lt;&gt;Yes")&gt;0,1,0)))))</f>
        <v/>
      </c>
      <c r="AE307" s="32" t="str">
        <f aca="false">IF($A307="","",IF(Z307="Yes","Do not contact",IF(AC307="","Research",IF(AND(AC307&gt;=S_FitHigh,AD307&gt;=S_AccessHigh),"Priority",IF(AC307&gt;=S_FitHigh,"Build a Path",IF(AD307&gt;=S_AccessHigh,"Quick Win","Low Priority"))))))</f>
        <v/>
      </c>
      <c r="AF307" s="33" t="str">
        <f aca="false">IF($A307="","",IF(_xlfn.MAXIFS(Interactions!$A$3:$A$502,Interactions!$B$3:$B$502,$A307)=0,"",_xlfn.MAXIFS(Interactions!$A$3:$A$502,Interactions!$B$3:$B$502,$A307)))</f>
        <v/>
      </c>
      <c r="AG307" s="32" t="str">
        <f aca="false">IF($A307="","",COUNTIFS(Opportunities!$A$3:$A$502,$A307,Opportunities!$X$3:$X$502,"Yes"))</f>
        <v/>
      </c>
      <c r="AH307" s="32" t="str">
        <f aca="false">IF($A307="","",_xlfn.TEXTJOIN(", ",TRUE(),IF(COUNTIF($A$3:$A$502,$A307)&gt;1,"Duplicate name",""),IF(OR(AND(G307=2,I307=""),AND(J307=2,L307=""),AND(M307=2,O307=""),AND(P307=2,R307="")),"Source missing for a 2",""),IF(F307="","No owner",IF(COUNTIFS(R_TeamName,F307,R_TeamActive,"No")&gt;0,"Needs new owner","")),IF(AND(V307="Yes",X307&lt;&gt;"",X307&lt;S_SemStart),"Path overdue",""),IF(AND(S307&lt;&gt;"",S307&lt;S_Today-365),"Stale research",""),IF(AND(AE307="Research",COUNTIF('Commercial Evidence'!$A$3:$A$502,$A307)=0),"Add commercial evidence","")))</f>
        <v/>
      </c>
      <c r="AI307" s="34" t="str">
        <f aca="false">IF(OR($A307="",Z307="Yes"),"",IF(AND(AE307="Priority",AG307=0,COUNTIFS(Opportunities!$A$3:$A$502,$A307,Opportunities!$Y$3:$Y$502,"Renewal due")=0),600000+(10-AC307)*1000+(4-AD307)*100+ROW()/100000,IF(V307="Yes",700000+IF(X307="",0,X307-40000)/10+ROW()/100000,IF(AND(AE307="Quick Win",U307&lt;&gt;"",AG307=0),800000+(10-AC307)*1000+ROW()/100000,IF(AND(AE307="Build a Path",COUNTIF($V$3:$V$502,"Yes")&lt;S_PathCap),900000+(10-AC307)*1000+(4-AD307)*100+ROW()/100000,"")))))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8"/>
      <c r="T308" s="27"/>
      <c r="U308" s="27"/>
      <c r="V308" s="27"/>
      <c r="W308" s="27"/>
      <c r="X308" s="28"/>
      <c r="Y308" s="27"/>
      <c r="Z308" s="27"/>
      <c r="AA308" s="27"/>
      <c r="AB308" s="32" t="str">
        <f aca="false">IF($A308="","",IF(COUNTIF('Commercial Evidence'!$A$3:$A$502,$A308)=0,"",IF(COUNTIFS('Commercial Evidence'!$A$3:$A$502,$A308,'Commercial Evidence'!$B$3:$B$502,"Previous CBS Talks spend")+COUNTIFS('Commercial Evidence'!$A$3:$A$502,$A308,'Commercial Evidence'!$B$3:$B$502,"Sponsors student organisations")&gt;0,2,IF(COUNTIFS('Commercial Evidence'!$A$3:$A$502,$A308,'Commercial Evidence'!$B$3:$B$502,"Sponsors university activities")+COUNTIFS('Commercial Evidence'!$A$3:$A$502,$A308,'Commercial Evidence'!$B$3:$B$502,"Sponsors similar events")+COUNTIFS('Commercial Evidence'!$A$3:$A$502,$A308,'Commercial Evidence'!$B$3:$B$502,"Previous CBS Talks partner")&gt;0,1,0))))</f>
        <v/>
      </c>
      <c r="AC308" s="32" t="str">
        <f aca="false">IF($A308="","",IF(COUNT(G308,J308,M308,P308,AB308)&lt;5,"",G308+J308+M308+P308+AB308))</f>
        <v/>
      </c>
      <c r="AD308" s="32" t="str">
        <f aca="false">IF($A308="","",IF(COUNTIFS(Contacts!$A$3:$A$502,$A308,Contacts!$E$3:$E$502,"Champion",Contacts!$K$3:$K$502,"&lt;&gt;Yes",Contacts!$L$3:$L$502,"&lt;&gt;Yes")+COUNTIFS(Opportunities!$A$3:$A$502,$A308,Opportunities!$C$3:$C$502,"Won",Opportunities!$Q$3:$Q$502,"Satisfied")&gt;0,4,IF(COUNTIFS(Interactions!$B$3:$B$502,$A308,Interactions!$I$3:$I$502,"Yes",Interactions!$A$3:$A$502,"&gt;="&amp;(S_Today-S_WarmDays))&gt;0,3,IF(T308&lt;&gt;"",2,IF(COUNTIFS(Contacts!$A$3:$A$502,$A308,Contacts!$M$3:$M$502,"Yes",Contacts!$K$3:$K$502,"&lt;&gt;Yes",Contacts!$L$3:$L$502,"&lt;&gt;Yes")&gt;0,1,0)))))</f>
        <v/>
      </c>
      <c r="AE308" s="32" t="str">
        <f aca="false">IF($A308="","",IF(Z308="Yes","Do not contact",IF(AC308="","Research",IF(AND(AC308&gt;=S_FitHigh,AD308&gt;=S_AccessHigh),"Priority",IF(AC308&gt;=S_FitHigh,"Build a Path",IF(AD308&gt;=S_AccessHigh,"Quick Win","Low Priority"))))))</f>
        <v/>
      </c>
      <c r="AF308" s="33" t="str">
        <f aca="false">IF($A308="","",IF(_xlfn.MAXIFS(Interactions!$A$3:$A$502,Interactions!$B$3:$B$502,$A308)=0,"",_xlfn.MAXIFS(Interactions!$A$3:$A$502,Interactions!$B$3:$B$502,$A308)))</f>
        <v/>
      </c>
      <c r="AG308" s="32" t="str">
        <f aca="false">IF($A308="","",COUNTIFS(Opportunities!$A$3:$A$502,$A308,Opportunities!$X$3:$X$502,"Yes"))</f>
        <v/>
      </c>
      <c r="AH308" s="32" t="str">
        <f aca="false">IF($A308="","",_xlfn.TEXTJOIN(", ",TRUE(),IF(COUNTIF($A$3:$A$502,$A308)&gt;1,"Duplicate name",""),IF(OR(AND(G308=2,I308=""),AND(J308=2,L308=""),AND(M308=2,O308=""),AND(P308=2,R308="")),"Source missing for a 2",""),IF(F308="","No owner",IF(COUNTIFS(R_TeamName,F308,R_TeamActive,"No")&gt;0,"Needs new owner","")),IF(AND(V308="Yes",X308&lt;&gt;"",X308&lt;S_SemStart),"Path overdue",""),IF(AND(S308&lt;&gt;"",S308&lt;S_Today-365),"Stale research",""),IF(AND(AE308="Research",COUNTIF('Commercial Evidence'!$A$3:$A$502,$A308)=0),"Add commercial evidence","")))</f>
        <v/>
      </c>
      <c r="AI308" s="34" t="str">
        <f aca="false">IF(OR($A308="",Z308="Yes"),"",IF(AND(AE308="Priority",AG308=0,COUNTIFS(Opportunities!$A$3:$A$502,$A308,Opportunities!$Y$3:$Y$502,"Renewal due")=0),600000+(10-AC308)*1000+(4-AD308)*100+ROW()/100000,IF(V308="Yes",700000+IF(X308="",0,X308-40000)/10+ROW()/100000,IF(AND(AE308="Quick Win",U308&lt;&gt;"",AG308=0),800000+(10-AC308)*1000+ROW()/100000,IF(AND(AE308="Build a Path",COUNTIF($V$3:$V$502,"Yes")&lt;S_PathCap),900000+(10-AC308)*1000+(4-AD308)*100+ROW()/100000,"")))))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8"/>
      <c r="T309" s="27"/>
      <c r="U309" s="27"/>
      <c r="V309" s="27"/>
      <c r="W309" s="27"/>
      <c r="X309" s="28"/>
      <c r="Y309" s="27"/>
      <c r="Z309" s="27"/>
      <c r="AA309" s="27"/>
      <c r="AB309" s="32" t="str">
        <f aca="false">IF($A309="","",IF(COUNTIF('Commercial Evidence'!$A$3:$A$502,$A309)=0,"",IF(COUNTIFS('Commercial Evidence'!$A$3:$A$502,$A309,'Commercial Evidence'!$B$3:$B$502,"Previous CBS Talks spend")+COUNTIFS('Commercial Evidence'!$A$3:$A$502,$A309,'Commercial Evidence'!$B$3:$B$502,"Sponsors student organisations")&gt;0,2,IF(COUNTIFS('Commercial Evidence'!$A$3:$A$502,$A309,'Commercial Evidence'!$B$3:$B$502,"Sponsors university activities")+COUNTIFS('Commercial Evidence'!$A$3:$A$502,$A309,'Commercial Evidence'!$B$3:$B$502,"Sponsors similar events")+COUNTIFS('Commercial Evidence'!$A$3:$A$502,$A309,'Commercial Evidence'!$B$3:$B$502,"Previous CBS Talks partner")&gt;0,1,0))))</f>
        <v/>
      </c>
      <c r="AC309" s="32" t="str">
        <f aca="false">IF($A309="","",IF(COUNT(G309,J309,M309,P309,AB309)&lt;5,"",G309+J309+M309+P309+AB309))</f>
        <v/>
      </c>
      <c r="AD309" s="32" t="str">
        <f aca="false">IF($A309="","",IF(COUNTIFS(Contacts!$A$3:$A$502,$A309,Contacts!$E$3:$E$502,"Champion",Contacts!$K$3:$K$502,"&lt;&gt;Yes",Contacts!$L$3:$L$502,"&lt;&gt;Yes")+COUNTIFS(Opportunities!$A$3:$A$502,$A309,Opportunities!$C$3:$C$502,"Won",Opportunities!$Q$3:$Q$502,"Satisfied")&gt;0,4,IF(COUNTIFS(Interactions!$B$3:$B$502,$A309,Interactions!$I$3:$I$502,"Yes",Interactions!$A$3:$A$502,"&gt;="&amp;(S_Today-S_WarmDays))&gt;0,3,IF(T309&lt;&gt;"",2,IF(COUNTIFS(Contacts!$A$3:$A$502,$A309,Contacts!$M$3:$M$502,"Yes",Contacts!$K$3:$K$502,"&lt;&gt;Yes",Contacts!$L$3:$L$502,"&lt;&gt;Yes")&gt;0,1,0)))))</f>
        <v/>
      </c>
      <c r="AE309" s="32" t="str">
        <f aca="false">IF($A309="","",IF(Z309="Yes","Do not contact",IF(AC309="","Research",IF(AND(AC309&gt;=S_FitHigh,AD309&gt;=S_AccessHigh),"Priority",IF(AC309&gt;=S_FitHigh,"Build a Path",IF(AD309&gt;=S_AccessHigh,"Quick Win","Low Priority"))))))</f>
        <v/>
      </c>
      <c r="AF309" s="33" t="str">
        <f aca="false">IF($A309="","",IF(_xlfn.MAXIFS(Interactions!$A$3:$A$502,Interactions!$B$3:$B$502,$A309)=0,"",_xlfn.MAXIFS(Interactions!$A$3:$A$502,Interactions!$B$3:$B$502,$A309)))</f>
        <v/>
      </c>
      <c r="AG309" s="32" t="str">
        <f aca="false">IF($A309="","",COUNTIFS(Opportunities!$A$3:$A$502,$A309,Opportunities!$X$3:$X$502,"Yes"))</f>
        <v/>
      </c>
      <c r="AH309" s="32" t="str">
        <f aca="false">IF($A309="","",_xlfn.TEXTJOIN(", ",TRUE(),IF(COUNTIF($A$3:$A$502,$A309)&gt;1,"Duplicate name",""),IF(OR(AND(G309=2,I309=""),AND(J309=2,L309=""),AND(M309=2,O309=""),AND(P309=2,R309="")),"Source missing for a 2",""),IF(F309="","No owner",IF(COUNTIFS(R_TeamName,F309,R_TeamActive,"No")&gt;0,"Needs new owner","")),IF(AND(V309="Yes",X309&lt;&gt;"",X309&lt;S_SemStart),"Path overdue",""),IF(AND(S309&lt;&gt;"",S309&lt;S_Today-365),"Stale research",""),IF(AND(AE309="Research",COUNTIF('Commercial Evidence'!$A$3:$A$502,$A309)=0),"Add commercial evidence","")))</f>
        <v/>
      </c>
      <c r="AI309" s="34" t="str">
        <f aca="false">IF(OR($A309="",Z309="Yes"),"",IF(AND(AE309="Priority",AG309=0,COUNTIFS(Opportunities!$A$3:$A$502,$A309,Opportunities!$Y$3:$Y$502,"Renewal due")=0),600000+(10-AC309)*1000+(4-AD309)*100+ROW()/100000,IF(V309="Yes",700000+IF(X309="",0,X309-40000)/10+ROW()/100000,IF(AND(AE309="Quick Win",U309&lt;&gt;"",AG309=0),800000+(10-AC309)*1000+ROW()/100000,IF(AND(AE309="Build a Path",COUNTIF($V$3:$V$502,"Yes")&lt;S_PathCap),900000+(10-AC309)*1000+(4-AD309)*100+ROW()/100000,"")))))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8"/>
      <c r="T310" s="27"/>
      <c r="U310" s="27"/>
      <c r="V310" s="27"/>
      <c r="W310" s="27"/>
      <c r="X310" s="28"/>
      <c r="Y310" s="27"/>
      <c r="Z310" s="27"/>
      <c r="AA310" s="27"/>
      <c r="AB310" s="32" t="str">
        <f aca="false">IF($A310="","",IF(COUNTIF('Commercial Evidence'!$A$3:$A$502,$A310)=0,"",IF(COUNTIFS('Commercial Evidence'!$A$3:$A$502,$A310,'Commercial Evidence'!$B$3:$B$502,"Previous CBS Talks spend")+COUNTIFS('Commercial Evidence'!$A$3:$A$502,$A310,'Commercial Evidence'!$B$3:$B$502,"Sponsors student organisations")&gt;0,2,IF(COUNTIFS('Commercial Evidence'!$A$3:$A$502,$A310,'Commercial Evidence'!$B$3:$B$502,"Sponsors university activities")+COUNTIFS('Commercial Evidence'!$A$3:$A$502,$A310,'Commercial Evidence'!$B$3:$B$502,"Sponsors similar events")+COUNTIFS('Commercial Evidence'!$A$3:$A$502,$A310,'Commercial Evidence'!$B$3:$B$502,"Previous CBS Talks partner")&gt;0,1,0))))</f>
        <v/>
      </c>
      <c r="AC310" s="32" t="str">
        <f aca="false">IF($A310="","",IF(COUNT(G310,J310,M310,P310,AB310)&lt;5,"",G310+J310+M310+P310+AB310))</f>
        <v/>
      </c>
      <c r="AD310" s="32" t="str">
        <f aca="false">IF($A310="","",IF(COUNTIFS(Contacts!$A$3:$A$502,$A310,Contacts!$E$3:$E$502,"Champion",Contacts!$K$3:$K$502,"&lt;&gt;Yes",Contacts!$L$3:$L$502,"&lt;&gt;Yes")+COUNTIFS(Opportunities!$A$3:$A$502,$A310,Opportunities!$C$3:$C$502,"Won",Opportunities!$Q$3:$Q$502,"Satisfied")&gt;0,4,IF(COUNTIFS(Interactions!$B$3:$B$502,$A310,Interactions!$I$3:$I$502,"Yes",Interactions!$A$3:$A$502,"&gt;="&amp;(S_Today-S_WarmDays))&gt;0,3,IF(T310&lt;&gt;"",2,IF(COUNTIFS(Contacts!$A$3:$A$502,$A310,Contacts!$M$3:$M$502,"Yes",Contacts!$K$3:$K$502,"&lt;&gt;Yes",Contacts!$L$3:$L$502,"&lt;&gt;Yes")&gt;0,1,0)))))</f>
        <v/>
      </c>
      <c r="AE310" s="32" t="str">
        <f aca="false">IF($A310="","",IF(Z310="Yes","Do not contact",IF(AC310="","Research",IF(AND(AC310&gt;=S_FitHigh,AD310&gt;=S_AccessHigh),"Priority",IF(AC310&gt;=S_FitHigh,"Build a Path",IF(AD310&gt;=S_AccessHigh,"Quick Win","Low Priority"))))))</f>
        <v/>
      </c>
      <c r="AF310" s="33" t="str">
        <f aca="false">IF($A310="","",IF(_xlfn.MAXIFS(Interactions!$A$3:$A$502,Interactions!$B$3:$B$502,$A310)=0,"",_xlfn.MAXIFS(Interactions!$A$3:$A$502,Interactions!$B$3:$B$502,$A310)))</f>
        <v/>
      </c>
      <c r="AG310" s="32" t="str">
        <f aca="false">IF($A310="","",COUNTIFS(Opportunities!$A$3:$A$502,$A310,Opportunities!$X$3:$X$502,"Yes"))</f>
        <v/>
      </c>
      <c r="AH310" s="32" t="str">
        <f aca="false">IF($A310="","",_xlfn.TEXTJOIN(", ",TRUE(),IF(COUNTIF($A$3:$A$502,$A310)&gt;1,"Duplicate name",""),IF(OR(AND(G310=2,I310=""),AND(J310=2,L310=""),AND(M310=2,O310=""),AND(P310=2,R310="")),"Source missing for a 2",""),IF(F310="","No owner",IF(COUNTIFS(R_TeamName,F310,R_TeamActive,"No")&gt;0,"Needs new owner","")),IF(AND(V310="Yes",X310&lt;&gt;"",X310&lt;S_SemStart),"Path overdue",""),IF(AND(S310&lt;&gt;"",S310&lt;S_Today-365),"Stale research",""),IF(AND(AE310="Research",COUNTIF('Commercial Evidence'!$A$3:$A$502,$A310)=0),"Add commercial evidence","")))</f>
        <v/>
      </c>
      <c r="AI310" s="34" t="str">
        <f aca="false">IF(OR($A310="",Z310="Yes"),"",IF(AND(AE310="Priority",AG310=0,COUNTIFS(Opportunities!$A$3:$A$502,$A310,Opportunities!$Y$3:$Y$502,"Renewal due")=0),600000+(10-AC310)*1000+(4-AD310)*100+ROW()/100000,IF(V310="Yes",700000+IF(X310="",0,X310-40000)/10+ROW()/100000,IF(AND(AE310="Quick Win",U310&lt;&gt;"",AG310=0),800000+(10-AC310)*1000+ROW()/100000,IF(AND(AE310="Build a Path",COUNTIF($V$3:$V$502,"Yes")&lt;S_PathCap),900000+(10-AC310)*1000+(4-AD310)*100+ROW()/100000,"")))))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8"/>
      <c r="T311" s="27"/>
      <c r="U311" s="27"/>
      <c r="V311" s="27"/>
      <c r="W311" s="27"/>
      <c r="X311" s="28"/>
      <c r="Y311" s="27"/>
      <c r="Z311" s="27"/>
      <c r="AA311" s="27"/>
      <c r="AB311" s="32" t="str">
        <f aca="false">IF($A311="","",IF(COUNTIF('Commercial Evidence'!$A$3:$A$502,$A311)=0,"",IF(COUNTIFS('Commercial Evidence'!$A$3:$A$502,$A311,'Commercial Evidence'!$B$3:$B$502,"Previous CBS Talks spend")+COUNTIFS('Commercial Evidence'!$A$3:$A$502,$A311,'Commercial Evidence'!$B$3:$B$502,"Sponsors student organisations")&gt;0,2,IF(COUNTIFS('Commercial Evidence'!$A$3:$A$502,$A311,'Commercial Evidence'!$B$3:$B$502,"Sponsors university activities")+COUNTIFS('Commercial Evidence'!$A$3:$A$502,$A311,'Commercial Evidence'!$B$3:$B$502,"Sponsors similar events")+COUNTIFS('Commercial Evidence'!$A$3:$A$502,$A311,'Commercial Evidence'!$B$3:$B$502,"Previous CBS Talks partner")&gt;0,1,0))))</f>
        <v/>
      </c>
      <c r="AC311" s="32" t="str">
        <f aca="false">IF($A311="","",IF(COUNT(G311,J311,M311,P311,AB311)&lt;5,"",G311+J311+M311+P311+AB311))</f>
        <v/>
      </c>
      <c r="AD311" s="32" t="str">
        <f aca="false">IF($A311="","",IF(COUNTIFS(Contacts!$A$3:$A$502,$A311,Contacts!$E$3:$E$502,"Champion",Contacts!$K$3:$K$502,"&lt;&gt;Yes",Contacts!$L$3:$L$502,"&lt;&gt;Yes")+COUNTIFS(Opportunities!$A$3:$A$502,$A311,Opportunities!$C$3:$C$502,"Won",Opportunities!$Q$3:$Q$502,"Satisfied")&gt;0,4,IF(COUNTIFS(Interactions!$B$3:$B$502,$A311,Interactions!$I$3:$I$502,"Yes",Interactions!$A$3:$A$502,"&gt;="&amp;(S_Today-S_WarmDays))&gt;0,3,IF(T311&lt;&gt;"",2,IF(COUNTIFS(Contacts!$A$3:$A$502,$A311,Contacts!$M$3:$M$502,"Yes",Contacts!$K$3:$K$502,"&lt;&gt;Yes",Contacts!$L$3:$L$502,"&lt;&gt;Yes")&gt;0,1,0)))))</f>
        <v/>
      </c>
      <c r="AE311" s="32" t="str">
        <f aca="false">IF($A311="","",IF(Z311="Yes","Do not contact",IF(AC311="","Research",IF(AND(AC311&gt;=S_FitHigh,AD311&gt;=S_AccessHigh),"Priority",IF(AC311&gt;=S_FitHigh,"Build a Path",IF(AD311&gt;=S_AccessHigh,"Quick Win","Low Priority"))))))</f>
        <v/>
      </c>
      <c r="AF311" s="33" t="str">
        <f aca="false">IF($A311="","",IF(_xlfn.MAXIFS(Interactions!$A$3:$A$502,Interactions!$B$3:$B$502,$A311)=0,"",_xlfn.MAXIFS(Interactions!$A$3:$A$502,Interactions!$B$3:$B$502,$A311)))</f>
        <v/>
      </c>
      <c r="AG311" s="32" t="str">
        <f aca="false">IF($A311="","",COUNTIFS(Opportunities!$A$3:$A$502,$A311,Opportunities!$X$3:$X$502,"Yes"))</f>
        <v/>
      </c>
      <c r="AH311" s="32" t="str">
        <f aca="false">IF($A311="","",_xlfn.TEXTJOIN(", ",TRUE(),IF(COUNTIF($A$3:$A$502,$A311)&gt;1,"Duplicate name",""),IF(OR(AND(G311=2,I311=""),AND(J311=2,L311=""),AND(M311=2,O311=""),AND(P311=2,R311="")),"Source missing for a 2",""),IF(F311="","No owner",IF(COUNTIFS(R_TeamName,F311,R_TeamActive,"No")&gt;0,"Needs new owner","")),IF(AND(V311="Yes",X311&lt;&gt;"",X311&lt;S_SemStart),"Path overdue",""),IF(AND(S311&lt;&gt;"",S311&lt;S_Today-365),"Stale research",""),IF(AND(AE311="Research",COUNTIF('Commercial Evidence'!$A$3:$A$502,$A311)=0),"Add commercial evidence","")))</f>
        <v/>
      </c>
      <c r="AI311" s="34" t="str">
        <f aca="false">IF(OR($A311="",Z311="Yes"),"",IF(AND(AE311="Priority",AG311=0,COUNTIFS(Opportunities!$A$3:$A$502,$A311,Opportunities!$Y$3:$Y$502,"Renewal due")=0),600000+(10-AC311)*1000+(4-AD311)*100+ROW()/100000,IF(V311="Yes",700000+IF(X311="",0,X311-40000)/10+ROW()/100000,IF(AND(AE311="Quick Win",U311&lt;&gt;"",AG311=0),800000+(10-AC311)*1000+ROW()/100000,IF(AND(AE311="Build a Path",COUNTIF($V$3:$V$502,"Yes")&lt;S_PathCap),900000+(10-AC311)*1000+(4-AD311)*100+ROW()/100000,"")))))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8"/>
      <c r="T312" s="27"/>
      <c r="U312" s="27"/>
      <c r="V312" s="27"/>
      <c r="W312" s="27"/>
      <c r="X312" s="28"/>
      <c r="Y312" s="27"/>
      <c r="Z312" s="27"/>
      <c r="AA312" s="27"/>
      <c r="AB312" s="32" t="str">
        <f aca="false">IF($A312="","",IF(COUNTIF('Commercial Evidence'!$A$3:$A$502,$A312)=0,"",IF(COUNTIFS('Commercial Evidence'!$A$3:$A$502,$A312,'Commercial Evidence'!$B$3:$B$502,"Previous CBS Talks spend")+COUNTIFS('Commercial Evidence'!$A$3:$A$502,$A312,'Commercial Evidence'!$B$3:$B$502,"Sponsors student organisations")&gt;0,2,IF(COUNTIFS('Commercial Evidence'!$A$3:$A$502,$A312,'Commercial Evidence'!$B$3:$B$502,"Sponsors university activities")+COUNTIFS('Commercial Evidence'!$A$3:$A$502,$A312,'Commercial Evidence'!$B$3:$B$502,"Sponsors similar events")+COUNTIFS('Commercial Evidence'!$A$3:$A$502,$A312,'Commercial Evidence'!$B$3:$B$502,"Previous CBS Talks partner")&gt;0,1,0))))</f>
        <v/>
      </c>
      <c r="AC312" s="32" t="str">
        <f aca="false">IF($A312="","",IF(COUNT(G312,J312,M312,P312,AB312)&lt;5,"",G312+J312+M312+P312+AB312))</f>
        <v/>
      </c>
      <c r="AD312" s="32" t="str">
        <f aca="false">IF($A312="","",IF(COUNTIFS(Contacts!$A$3:$A$502,$A312,Contacts!$E$3:$E$502,"Champion",Contacts!$K$3:$K$502,"&lt;&gt;Yes",Contacts!$L$3:$L$502,"&lt;&gt;Yes")+COUNTIFS(Opportunities!$A$3:$A$502,$A312,Opportunities!$C$3:$C$502,"Won",Opportunities!$Q$3:$Q$502,"Satisfied")&gt;0,4,IF(COUNTIFS(Interactions!$B$3:$B$502,$A312,Interactions!$I$3:$I$502,"Yes",Interactions!$A$3:$A$502,"&gt;="&amp;(S_Today-S_WarmDays))&gt;0,3,IF(T312&lt;&gt;"",2,IF(COUNTIFS(Contacts!$A$3:$A$502,$A312,Contacts!$M$3:$M$502,"Yes",Contacts!$K$3:$K$502,"&lt;&gt;Yes",Contacts!$L$3:$L$502,"&lt;&gt;Yes")&gt;0,1,0)))))</f>
        <v/>
      </c>
      <c r="AE312" s="32" t="str">
        <f aca="false">IF($A312="","",IF(Z312="Yes","Do not contact",IF(AC312="","Research",IF(AND(AC312&gt;=S_FitHigh,AD312&gt;=S_AccessHigh),"Priority",IF(AC312&gt;=S_FitHigh,"Build a Path",IF(AD312&gt;=S_AccessHigh,"Quick Win","Low Priority"))))))</f>
        <v/>
      </c>
      <c r="AF312" s="33" t="str">
        <f aca="false">IF($A312="","",IF(_xlfn.MAXIFS(Interactions!$A$3:$A$502,Interactions!$B$3:$B$502,$A312)=0,"",_xlfn.MAXIFS(Interactions!$A$3:$A$502,Interactions!$B$3:$B$502,$A312)))</f>
        <v/>
      </c>
      <c r="AG312" s="32" t="str">
        <f aca="false">IF($A312="","",COUNTIFS(Opportunities!$A$3:$A$502,$A312,Opportunities!$X$3:$X$502,"Yes"))</f>
        <v/>
      </c>
      <c r="AH312" s="32" t="str">
        <f aca="false">IF($A312="","",_xlfn.TEXTJOIN(", ",TRUE(),IF(COUNTIF($A$3:$A$502,$A312)&gt;1,"Duplicate name",""),IF(OR(AND(G312=2,I312=""),AND(J312=2,L312=""),AND(M312=2,O312=""),AND(P312=2,R312="")),"Source missing for a 2",""),IF(F312="","No owner",IF(COUNTIFS(R_TeamName,F312,R_TeamActive,"No")&gt;0,"Needs new owner","")),IF(AND(V312="Yes",X312&lt;&gt;"",X312&lt;S_SemStart),"Path overdue",""),IF(AND(S312&lt;&gt;"",S312&lt;S_Today-365),"Stale research",""),IF(AND(AE312="Research",COUNTIF('Commercial Evidence'!$A$3:$A$502,$A312)=0),"Add commercial evidence","")))</f>
        <v/>
      </c>
      <c r="AI312" s="34" t="str">
        <f aca="false">IF(OR($A312="",Z312="Yes"),"",IF(AND(AE312="Priority",AG312=0,COUNTIFS(Opportunities!$A$3:$A$502,$A312,Opportunities!$Y$3:$Y$502,"Renewal due")=0),600000+(10-AC312)*1000+(4-AD312)*100+ROW()/100000,IF(V312="Yes",700000+IF(X312="",0,X312-40000)/10+ROW()/100000,IF(AND(AE312="Quick Win",U312&lt;&gt;"",AG312=0),800000+(10-AC312)*1000+ROW()/100000,IF(AND(AE312="Build a Path",COUNTIF($V$3:$V$502,"Yes")&lt;S_PathCap),900000+(10-AC312)*1000+(4-AD312)*100+ROW()/100000,"")))))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8"/>
      <c r="T313" s="27"/>
      <c r="U313" s="27"/>
      <c r="V313" s="27"/>
      <c r="W313" s="27"/>
      <c r="X313" s="28"/>
      <c r="Y313" s="27"/>
      <c r="Z313" s="27"/>
      <c r="AA313" s="27"/>
      <c r="AB313" s="32" t="str">
        <f aca="false">IF($A313="","",IF(COUNTIF('Commercial Evidence'!$A$3:$A$502,$A313)=0,"",IF(COUNTIFS('Commercial Evidence'!$A$3:$A$502,$A313,'Commercial Evidence'!$B$3:$B$502,"Previous CBS Talks spend")+COUNTIFS('Commercial Evidence'!$A$3:$A$502,$A313,'Commercial Evidence'!$B$3:$B$502,"Sponsors student organisations")&gt;0,2,IF(COUNTIFS('Commercial Evidence'!$A$3:$A$502,$A313,'Commercial Evidence'!$B$3:$B$502,"Sponsors university activities")+COUNTIFS('Commercial Evidence'!$A$3:$A$502,$A313,'Commercial Evidence'!$B$3:$B$502,"Sponsors similar events")+COUNTIFS('Commercial Evidence'!$A$3:$A$502,$A313,'Commercial Evidence'!$B$3:$B$502,"Previous CBS Talks partner")&gt;0,1,0))))</f>
        <v/>
      </c>
      <c r="AC313" s="32" t="str">
        <f aca="false">IF($A313="","",IF(COUNT(G313,J313,M313,P313,AB313)&lt;5,"",G313+J313+M313+P313+AB313))</f>
        <v/>
      </c>
      <c r="AD313" s="32" t="str">
        <f aca="false">IF($A313="","",IF(COUNTIFS(Contacts!$A$3:$A$502,$A313,Contacts!$E$3:$E$502,"Champion",Contacts!$K$3:$K$502,"&lt;&gt;Yes",Contacts!$L$3:$L$502,"&lt;&gt;Yes")+COUNTIFS(Opportunities!$A$3:$A$502,$A313,Opportunities!$C$3:$C$502,"Won",Opportunities!$Q$3:$Q$502,"Satisfied")&gt;0,4,IF(COUNTIFS(Interactions!$B$3:$B$502,$A313,Interactions!$I$3:$I$502,"Yes",Interactions!$A$3:$A$502,"&gt;="&amp;(S_Today-S_WarmDays))&gt;0,3,IF(T313&lt;&gt;"",2,IF(COUNTIFS(Contacts!$A$3:$A$502,$A313,Contacts!$M$3:$M$502,"Yes",Contacts!$K$3:$K$502,"&lt;&gt;Yes",Contacts!$L$3:$L$502,"&lt;&gt;Yes")&gt;0,1,0)))))</f>
        <v/>
      </c>
      <c r="AE313" s="32" t="str">
        <f aca="false">IF($A313="","",IF(Z313="Yes","Do not contact",IF(AC313="","Research",IF(AND(AC313&gt;=S_FitHigh,AD313&gt;=S_AccessHigh),"Priority",IF(AC313&gt;=S_FitHigh,"Build a Path",IF(AD313&gt;=S_AccessHigh,"Quick Win","Low Priority"))))))</f>
        <v/>
      </c>
      <c r="AF313" s="33" t="str">
        <f aca="false">IF($A313="","",IF(_xlfn.MAXIFS(Interactions!$A$3:$A$502,Interactions!$B$3:$B$502,$A313)=0,"",_xlfn.MAXIFS(Interactions!$A$3:$A$502,Interactions!$B$3:$B$502,$A313)))</f>
        <v/>
      </c>
      <c r="AG313" s="32" t="str">
        <f aca="false">IF($A313="","",COUNTIFS(Opportunities!$A$3:$A$502,$A313,Opportunities!$X$3:$X$502,"Yes"))</f>
        <v/>
      </c>
      <c r="AH313" s="32" t="str">
        <f aca="false">IF($A313="","",_xlfn.TEXTJOIN(", ",TRUE(),IF(COUNTIF($A$3:$A$502,$A313)&gt;1,"Duplicate name",""),IF(OR(AND(G313=2,I313=""),AND(J313=2,L313=""),AND(M313=2,O313=""),AND(P313=2,R313="")),"Source missing for a 2",""),IF(F313="","No owner",IF(COUNTIFS(R_TeamName,F313,R_TeamActive,"No")&gt;0,"Needs new owner","")),IF(AND(V313="Yes",X313&lt;&gt;"",X313&lt;S_SemStart),"Path overdue",""),IF(AND(S313&lt;&gt;"",S313&lt;S_Today-365),"Stale research",""),IF(AND(AE313="Research",COUNTIF('Commercial Evidence'!$A$3:$A$502,$A313)=0),"Add commercial evidence","")))</f>
        <v/>
      </c>
      <c r="AI313" s="34" t="str">
        <f aca="false">IF(OR($A313="",Z313="Yes"),"",IF(AND(AE313="Priority",AG313=0,COUNTIFS(Opportunities!$A$3:$A$502,$A313,Opportunities!$Y$3:$Y$502,"Renewal due")=0),600000+(10-AC313)*1000+(4-AD313)*100+ROW()/100000,IF(V313="Yes",700000+IF(X313="",0,X313-40000)/10+ROW()/100000,IF(AND(AE313="Quick Win",U313&lt;&gt;"",AG313=0),800000+(10-AC313)*1000+ROW()/100000,IF(AND(AE313="Build a Path",COUNTIF($V$3:$V$502,"Yes")&lt;S_PathCap),900000+(10-AC313)*1000+(4-AD313)*100+ROW()/100000,"")))))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8"/>
      <c r="T314" s="27"/>
      <c r="U314" s="27"/>
      <c r="V314" s="27"/>
      <c r="W314" s="27"/>
      <c r="X314" s="28"/>
      <c r="Y314" s="27"/>
      <c r="Z314" s="27"/>
      <c r="AA314" s="27"/>
      <c r="AB314" s="32" t="str">
        <f aca="false">IF($A314="","",IF(COUNTIF('Commercial Evidence'!$A$3:$A$502,$A314)=0,"",IF(COUNTIFS('Commercial Evidence'!$A$3:$A$502,$A314,'Commercial Evidence'!$B$3:$B$502,"Previous CBS Talks spend")+COUNTIFS('Commercial Evidence'!$A$3:$A$502,$A314,'Commercial Evidence'!$B$3:$B$502,"Sponsors student organisations")&gt;0,2,IF(COUNTIFS('Commercial Evidence'!$A$3:$A$502,$A314,'Commercial Evidence'!$B$3:$B$502,"Sponsors university activities")+COUNTIFS('Commercial Evidence'!$A$3:$A$502,$A314,'Commercial Evidence'!$B$3:$B$502,"Sponsors similar events")+COUNTIFS('Commercial Evidence'!$A$3:$A$502,$A314,'Commercial Evidence'!$B$3:$B$502,"Previous CBS Talks partner")&gt;0,1,0))))</f>
        <v/>
      </c>
      <c r="AC314" s="32" t="str">
        <f aca="false">IF($A314="","",IF(COUNT(G314,J314,M314,P314,AB314)&lt;5,"",G314+J314+M314+P314+AB314))</f>
        <v/>
      </c>
      <c r="AD314" s="32" t="str">
        <f aca="false">IF($A314="","",IF(COUNTIFS(Contacts!$A$3:$A$502,$A314,Contacts!$E$3:$E$502,"Champion",Contacts!$K$3:$K$502,"&lt;&gt;Yes",Contacts!$L$3:$L$502,"&lt;&gt;Yes")+COUNTIFS(Opportunities!$A$3:$A$502,$A314,Opportunities!$C$3:$C$502,"Won",Opportunities!$Q$3:$Q$502,"Satisfied")&gt;0,4,IF(COUNTIFS(Interactions!$B$3:$B$502,$A314,Interactions!$I$3:$I$502,"Yes",Interactions!$A$3:$A$502,"&gt;="&amp;(S_Today-S_WarmDays))&gt;0,3,IF(T314&lt;&gt;"",2,IF(COUNTIFS(Contacts!$A$3:$A$502,$A314,Contacts!$M$3:$M$502,"Yes",Contacts!$K$3:$K$502,"&lt;&gt;Yes",Contacts!$L$3:$L$502,"&lt;&gt;Yes")&gt;0,1,0)))))</f>
        <v/>
      </c>
      <c r="AE314" s="32" t="str">
        <f aca="false">IF($A314="","",IF(Z314="Yes","Do not contact",IF(AC314="","Research",IF(AND(AC314&gt;=S_FitHigh,AD314&gt;=S_AccessHigh),"Priority",IF(AC314&gt;=S_FitHigh,"Build a Path",IF(AD314&gt;=S_AccessHigh,"Quick Win","Low Priority"))))))</f>
        <v/>
      </c>
      <c r="AF314" s="33" t="str">
        <f aca="false">IF($A314="","",IF(_xlfn.MAXIFS(Interactions!$A$3:$A$502,Interactions!$B$3:$B$502,$A314)=0,"",_xlfn.MAXIFS(Interactions!$A$3:$A$502,Interactions!$B$3:$B$502,$A314)))</f>
        <v/>
      </c>
      <c r="AG314" s="32" t="str">
        <f aca="false">IF($A314="","",COUNTIFS(Opportunities!$A$3:$A$502,$A314,Opportunities!$X$3:$X$502,"Yes"))</f>
        <v/>
      </c>
      <c r="AH314" s="32" t="str">
        <f aca="false">IF($A314="","",_xlfn.TEXTJOIN(", ",TRUE(),IF(COUNTIF($A$3:$A$502,$A314)&gt;1,"Duplicate name",""),IF(OR(AND(G314=2,I314=""),AND(J314=2,L314=""),AND(M314=2,O314=""),AND(P314=2,R314="")),"Source missing for a 2",""),IF(F314="","No owner",IF(COUNTIFS(R_TeamName,F314,R_TeamActive,"No")&gt;0,"Needs new owner","")),IF(AND(V314="Yes",X314&lt;&gt;"",X314&lt;S_SemStart),"Path overdue",""),IF(AND(S314&lt;&gt;"",S314&lt;S_Today-365),"Stale research",""),IF(AND(AE314="Research",COUNTIF('Commercial Evidence'!$A$3:$A$502,$A314)=0),"Add commercial evidence","")))</f>
        <v/>
      </c>
      <c r="AI314" s="34" t="str">
        <f aca="false">IF(OR($A314="",Z314="Yes"),"",IF(AND(AE314="Priority",AG314=0,COUNTIFS(Opportunities!$A$3:$A$502,$A314,Opportunities!$Y$3:$Y$502,"Renewal due")=0),600000+(10-AC314)*1000+(4-AD314)*100+ROW()/100000,IF(V314="Yes",700000+IF(X314="",0,X314-40000)/10+ROW()/100000,IF(AND(AE314="Quick Win",U314&lt;&gt;"",AG314=0),800000+(10-AC314)*1000+ROW()/100000,IF(AND(AE314="Build a Path",COUNTIF($V$3:$V$502,"Yes")&lt;S_PathCap),900000+(10-AC314)*1000+(4-AD314)*100+ROW()/100000,"")))))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8"/>
      <c r="T315" s="27"/>
      <c r="U315" s="27"/>
      <c r="V315" s="27"/>
      <c r="W315" s="27"/>
      <c r="X315" s="28"/>
      <c r="Y315" s="27"/>
      <c r="Z315" s="27"/>
      <c r="AA315" s="27"/>
      <c r="AB315" s="32" t="str">
        <f aca="false">IF($A315="","",IF(COUNTIF('Commercial Evidence'!$A$3:$A$502,$A315)=0,"",IF(COUNTIFS('Commercial Evidence'!$A$3:$A$502,$A315,'Commercial Evidence'!$B$3:$B$502,"Previous CBS Talks spend")+COUNTIFS('Commercial Evidence'!$A$3:$A$502,$A315,'Commercial Evidence'!$B$3:$B$502,"Sponsors student organisations")&gt;0,2,IF(COUNTIFS('Commercial Evidence'!$A$3:$A$502,$A315,'Commercial Evidence'!$B$3:$B$502,"Sponsors university activities")+COUNTIFS('Commercial Evidence'!$A$3:$A$502,$A315,'Commercial Evidence'!$B$3:$B$502,"Sponsors similar events")+COUNTIFS('Commercial Evidence'!$A$3:$A$502,$A315,'Commercial Evidence'!$B$3:$B$502,"Previous CBS Talks partner")&gt;0,1,0))))</f>
        <v/>
      </c>
      <c r="AC315" s="32" t="str">
        <f aca="false">IF($A315="","",IF(COUNT(G315,J315,M315,P315,AB315)&lt;5,"",G315+J315+M315+P315+AB315))</f>
        <v/>
      </c>
      <c r="AD315" s="32" t="str">
        <f aca="false">IF($A315="","",IF(COUNTIFS(Contacts!$A$3:$A$502,$A315,Contacts!$E$3:$E$502,"Champion",Contacts!$K$3:$K$502,"&lt;&gt;Yes",Contacts!$L$3:$L$502,"&lt;&gt;Yes")+COUNTIFS(Opportunities!$A$3:$A$502,$A315,Opportunities!$C$3:$C$502,"Won",Opportunities!$Q$3:$Q$502,"Satisfied")&gt;0,4,IF(COUNTIFS(Interactions!$B$3:$B$502,$A315,Interactions!$I$3:$I$502,"Yes",Interactions!$A$3:$A$502,"&gt;="&amp;(S_Today-S_WarmDays))&gt;0,3,IF(T315&lt;&gt;"",2,IF(COUNTIFS(Contacts!$A$3:$A$502,$A315,Contacts!$M$3:$M$502,"Yes",Contacts!$K$3:$K$502,"&lt;&gt;Yes",Contacts!$L$3:$L$502,"&lt;&gt;Yes")&gt;0,1,0)))))</f>
        <v/>
      </c>
      <c r="AE315" s="32" t="str">
        <f aca="false">IF($A315="","",IF(Z315="Yes","Do not contact",IF(AC315="","Research",IF(AND(AC315&gt;=S_FitHigh,AD315&gt;=S_AccessHigh),"Priority",IF(AC315&gt;=S_FitHigh,"Build a Path",IF(AD315&gt;=S_AccessHigh,"Quick Win","Low Priority"))))))</f>
        <v/>
      </c>
      <c r="AF315" s="33" t="str">
        <f aca="false">IF($A315="","",IF(_xlfn.MAXIFS(Interactions!$A$3:$A$502,Interactions!$B$3:$B$502,$A315)=0,"",_xlfn.MAXIFS(Interactions!$A$3:$A$502,Interactions!$B$3:$B$502,$A315)))</f>
        <v/>
      </c>
      <c r="AG315" s="32" t="str">
        <f aca="false">IF($A315="","",COUNTIFS(Opportunities!$A$3:$A$502,$A315,Opportunities!$X$3:$X$502,"Yes"))</f>
        <v/>
      </c>
      <c r="AH315" s="32" t="str">
        <f aca="false">IF($A315="","",_xlfn.TEXTJOIN(", ",TRUE(),IF(COUNTIF($A$3:$A$502,$A315)&gt;1,"Duplicate name",""),IF(OR(AND(G315=2,I315=""),AND(J315=2,L315=""),AND(M315=2,O315=""),AND(P315=2,R315="")),"Source missing for a 2",""),IF(F315="","No owner",IF(COUNTIFS(R_TeamName,F315,R_TeamActive,"No")&gt;0,"Needs new owner","")),IF(AND(V315="Yes",X315&lt;&gt;"",X315&lt;S_SemStart),"Path overdue",""),IF(AND(S315&lt;&gt;"",S315&lt;S_Today-365),"Stale research",""),IF(AND(AE315="Research",COUNTIF('Commercial Evidence'!$A$3:$A$502,$A315)=0),"Add commercial evidence","")))</f>
        <v/>
      </c>
      <c r="AI315" s="34" t="str">
        <f aca="false">IF(OR($A315="",Z315="Yes"),"",IF(AND(AE315="Priority",AG315=0,COUNTIFS(Opportunities!$A$3:$A$502,$A315,Opportunities!$Y$3:$Y$502,"Renewal due")=0),600000+(10-AC315)*1000+(4-AD315)*100+ROW()/100000,IF(V315="Yes",700000+IF(X315="",0,X315-40000)/10+ROW()/100000,IF(AND(AE315="Quick Win",U315&lt;&gt;"",AG315=0),800000+(10-AC315)*1000+ROW()/100000,IF(AND(AE315="Build a Path",COUNTIF($V$3:$V$502,"Yes")&lt;S_PathCap),900000+(10-AC315)*1000+(4-AD315)*100+ROW()/100000,"")))))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8"/>
      <c r="T316" s="27"/>
      <c r="U316" s="27"/>
      <c r="V316" s="27"/>
      <c r="W316" s="27"/>
      <c r="X316" s="28"/>
      <c r="Y316" s="27"/>
      <c r="Z316" s="27"/>
      <c r="AA316" s="27"/>
      <c r="AB316" s="32" t="str">
        <f aca="false">IF($A316="","",IF(COUNTIF('Commercial Evidence'!$A$3:$A$502,$A316)=0,"",IF(COUNTIFS('Commercial Evidence'!$A$3:$A$502,$A316,'Commercial Evidence'!$B$3:$B$502,"Previous CBS Talks spend")+COUNTIFS('Commercial Evidence'!$A$3:$A$502,$A316,'Commercial Evidence'!$B$3:$B$502,"Sponsors student organisations")&gt;0,2,IF(COUNTIFS('Commercial Evidence'!$A$3:$A$502,$A316,'Commercial Evidence'!$B$3:$B$502,"Sponsors university activities")+COUNTIFS('Commercial Evidence'!$A$3:$A$502,$A316,'Commercial Evidence'!$B$3:$B$502,"Sponsors similar events")+COUNTIFS('Commercial Evidence'!$A$3:$A$502,$A316,'Commercial Evidence'!$B$3:$B$502,"Previous CBS Talks partner")&gt;0,1,0))))</f>
        <v/>
      </c>
      <c r="AC316" s="32" t="str">
        <f aca="false">IF($A316="","",IF(COUNT(G316,J316,M316,P316,AB316)&lt;5,"",G316+J316+M316+P316+AB316))</f>
        <v/>
      </c>
      <c r="AD316" s="32" t="str">
        <f aca="false">IF($A316="","",IF(COUNTIFS(Contacts!$A$3:$A$502,$A316,Contacts!$E$3:$E$502,"Champion",Contacts!$K$3:$K$502,"&lt;&gt;Yes",Contacts!$L$3:$L$502,"&lt;&gt;Yes")+COUNTIFS(Opportunities!$A$3:$A$502,$A316,Opportunities!$C$3:$C$502,"Won",Opportunities!$Q$3:$Q$502,"Satisfied")&gt;0,4,IF(COUNTIFS(Interactions!$B$3:$B$502,$A316,Interactions!$I$3:$I$502,"Yes",Interactions!$A$3:$A$502,"&gt;="&amp;(S_Today-S_WarmDays))&gt;0,3,IF(T316&lt;&gt;"",2,IF(COUNTIFS(Contacts!$A$3:$A$502,$A316,Contacts!$M$3:$M$502,"Yes",Contacts!$K$3:$K$502,"&lt;&gt;Yes",Contacts!$L$3:$L$502,"&lt;&gt;Yes")&gt;0,1,0)))))</f>
        <v/>
      </c>
      <c r="AE316" s="32" t="str">
        <f aca="false">IF($A316="","",IF(Z316="Yes","Do not contact",IF(AC316="","Research",IF(AND(AC316&gt;=S_FitHigh,AD316&gt;=S_AccessHigh),"Priority",IF(AC316&gt;=S_FitHigh,"Build a Path",IF(AD316&gt;=S_AccessHigh,"Quick Win","Low Priority"))))))</f>
        <v/>
      </c>
      <c r="AF316" s="33" t="str">
        <f aca="false">IF($A316="","",IF(_xlfn.MAXIFS(Interactions!$A$3:$A$502,Interactions!$B$3:$B$502,$A316)=0,"",_xlfn.MAXIFS(Interactions!$A$3:$A$502,Interactions!$B$3:$B$502,$A316)))</f>
        <v/>
      </c>
      <c r="AG316" s="32" t="str">
        <f aca="false">IF($A316="","",COUNTIFS(Opportunities!$A$3:$A$502,$A316,Opportunities!$X$3:$X$502,"Yes"))</f>
        <v/>
      </c>
      <c r="AH316" s="32" t="str">
        <f aca="false">IF($A316="","",_xlfn.TEXTJOIN(", ",TRUE(),IF(COUNTIF($A$3:$A$502,$A316)&gt;1,"Duplicate name",""),IF(OR(AND(G316=2,I316=""),AND(J316=2,L316=""),AND(M316=2,O316=""),AND(P316=2,R316="")),"Source missing for a 2",""),IF(F316="","No owner",IF(COUNTIFS(R_TeamName,F316,R_TeamActive,"No")&gt;0,"Needs new owner","")),IF(AND(V316="Yes",X316&lt;&gt;"",X316&lt;S_SemStart),"Path overdue",""),IF(AND(S316&lt;&gt;"",S316&lt;S_Today-365),"Stale research",""),IF(AND(AE316="Research",COUNTIF('Commercial Evidence'!$A$3:$A$502,$A316)=0),"Add commercial evidence","")))</f>
        <v/>
      </c>
      <c r="AI316" s="34" t="str">
        <f aca="false">IF(OR($A316="",Z316="Yes"),"",IF(AND(AE316="Priority",AG316=0,COUNTIFS(Opportunities!$A$3:$A$502,$A316,Opportunities!$Y$3:$Y$502,"Renewal due")=0),600000+(10-AC316)*1000+(4-AD316)*100+ROW()/100000,IF(V316="Yes",700000+IF(X316="",0,X316-40000)/10+ROW()/100000,IF(AND(AE316="Quick Win",U316&lt;&gt;"",AG316=0),800000+(10-AC316)*1000+ROW()/100000,IF(AND(AE316="Build a Path",COUNTIF($V$3:$V$502,"Yes")&lt;S_PathCap),900000+(10-AC316)*1000+(4-AD316)*100+ROW()/100000,"")))))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8"/>
      <c r="T317" s="27"/>
      <c r="U317" s="27"/>
      <c r="V317" s="27"/>
      <c r="W317" s="27"/>
      <c r="X317" s="28"/>
      <c r="Y317" s="27"/>
      <c r="Z317" s="27"/>
      <c r="AA317" s="27"/>
      <c r="AB317" s="32" t="str">
        <f aca="false">IF($A317="","",IF(COUNTIF('Commercial Evidence'!$A$3:$A$502,$A317)=0,"",IF(COUNTIFS('Commercial Evidence'!$A$3:$A$502,$A317,'Commercial Evidence'!$B$3:$B$502,"Previous CBS Talks spend")+COUNTIFS('Commercial Evidence'!$A$3:$A$502,$A317,'Commercial Evidence'!$B$3:$B$502,"Sponsors student organisations")&gt;0,2,IF(COUNTIFS('Commercial Evidence'!$A$3:$A$502,$A317,'Commercial Evidence'!$B$3:$B$502,"Sponsors university activities")+COUNTIFS('Commercial Evidence'!$A$3:$A$502,$A317,'Commercial Evidence'!$B$3:$B$502,"Sponsors similar events")+COUNTIFS('Commercial Evidence'!$A$3:$A$502,$A317,'Commercial Evidence'!$B$3:$B$502,"Previous CBS Talks partner")&gt;0,1,0))))</f>
        <v/>
      </c>
      <c r="AC317" s="32" t="str">
        <f aca="false">IF($A317="","",IF(COUNT(G317,J317,M317,P317,AB317)&lt;5,"",G317+J317+M317+P317+AB317))</f>
        <v/>
      </c>
      <c r="AD317" s="32" t="str">
        <f aca="false">IF($A317="","",IF(COUNTIFS(Contacts!$A$3:$A$502,$A317,Contacts!$E$3:$E$502,"Champion",Contacts!$K$3:$K$502,"&lt;&gt;Yes",Contacts!$L$3:$L$502,"&lt;&gt;Yes")+COUNTIFS(Opportunities!$A$3:$A$502,$A317,Opportunities!$C$3:$C$502,"Won",Opportunities!$Q$3:$Q$502,"Satisfied")&gt;0,4,IF(COUNTIFS(Interactions!$B$3:$B$502,$A317,Interactions!$I$3:$I$502,"Yes",Interactions!$A$3:$A$502,"&gt;="&amp;(S_Today-S_WarmDays))&gt;0,3,IF(T317&lt;&gt;"",2,IF(COUNTIFS(Contacts!$A$3:$A$502,$A317,Contacts!$M$3:$M$502,"Yes",Contacts!$K$3:$K$502,"&lt;&gt;Yes",Contacts!$L$3:$L$502,"&lt;&gt;Yes")&gt;0,1,0)))))</f>
        <v/>
      </c>
      <c r="AE317" s="32" t="str">
        <f aca="false">IF($A317="","",IF(Z317="Yes","Do not contact",IF(AC317="","Research",IF(AND(AC317&gt;=S_FitHigh,AD317&gt;=S_AccessHigh),"Priority",IF(AC317&gt;=S_FitHigh,"Build a Path",IF(AD317&gt;=S_AccessHigh,"Quick Win","Low Priority"))))))</f>
        <v/>
      </c>
      <c r="AF317" s="33" t="str">
        <f aca="false">IF($A317="","",IF(_xlfn.MAXIFS(Interactions!$A$3:$A$502,Interactions!$B$3:$B$502,$A317)=0,"",_xlfn.MAXIFS(Interactions!$A$3:$A$502,Interactions!$B$3:$B$502,$A317)))</f>
        <v/>
      </c>
      <c r="AG317" s="32" t="str">
        <f aca="false">IF($A317="","",COUNTIFS(Opportunities!$A$3:$A$502,$A317,Opportunities!$X$3:$X$502,"Yes"))</f>
        <v/>
      </c>
      <c r="AH317" s="32" t="str">
        <f aca="false">IF($A317="","",_xlfn.TEXTJOIN(", ",TRUE(),IF(COUNTIF($A$3:$A$502,$A317)&gt;1,"Duplicate name",""),IF(OR(AND(G317=2,I317=""),AND(J317=2,L317=""),AND(M317=2,O317=""),AND(P317=2,R317="")),"Source missing for a 2",""),IF(F317="","No owner",IF(COUNTIFS(R_TeamName,F317,R_TeamActive,"No")&gt;0,"Needs new owner","")),IF(AND(V317="Yes",X317&lt;&gt;"",X317&lt;S_SemStart),"Path overdue",""),IF(AND(S317&lt;&gt;"",S317&lt;S_Today-365),"Stale research",""),IF(AND(AE317="Research",COUNTIF('Commercial Evidence'!$A$3:$A$502,$A317)=0),"Add commercial evidence","")))</f>
        <v/>
      </c>
      <c r="AI317" s="34" t="str">
        <f aca="false">IF(OR($A317="",Z317="Yes"),"",IF(AND(AE317="Priority",AG317=0,COUNTIFS(Opportunities!$A$3:$A$502,$A317,Opportunities!$Y$3:$Y$502,"Renewal due")=0),600000+(10-AC317)*1000+(4-AD317)*100+ROW()/100000,IF(V317="Yes",700000+IF(X317="",0,X317-40000)/10+ROW()/100000,IF(AND(AE317="Quick Win",U317&lt;&gt;"",AG317=0),800000+(10-AC317)*1000+ROW()/100000,IF(AND(AE317="Build a Path",COUNTIF($V$3:$V$502,"Yes")&lt;S_PathCap),900000+(10-AC317)*1000+(4-AD317)*100+ROW()/100000,"")))))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8"/>
      <c r="T318" s="27"/>
      <c r="U318" s="27"/>
      <c r="V318" s="27"/>
      <c r="W318" s="27"/>
      <c r="X318" s="28"/>
      <c r="Y318" s="27"/>
      <c r="Z318" s="27"/>
      <c r="AA318" s="27"/>
      <c r="AB318" s="32" t="str">
        <f aca="false">IF($A318="","",IF(COUNTIF('Commercial Evidence'!$A$3:$A$502,$A318)=0,"",IF(COUNTIFS('Commercial Evidence'!$A$3:$A$502,$A318,'Commercial Evidence'!$B$3:$B$502,"Previous CBS Talks spend")+COUNTIFS('Commercial Evidence'!$A$3:$A$502,$A318,'Commercial Evidence'!$B$3:$B$502,"Sponsors student organisations")&gt;0,2,IF(COUNTIFS('Commercial Evidence'!$A$3:$A$502,$A318,'Commercial Evidence'!$B$3:$B$502,"Sponsors university activities")+COUNTIFS('Commercial Evidence'!$A$3:$A$502,$A318,'Commercial Evidence'!$B$3:$B$502,"Sponsors similar events")+COUNTIFS('Commercial Evidence'!$A$3:$A$502,$A318,'Commercial Evidence'!$B$3:$B$502,"Previous CBS Talks partner")&gt;0,1,0))))</f>
        <v/>
      </c>
      <c r="AC318" s="32" t="str">
        <f aca="false">IF($A318="","",IF(COUNT(G318,J318,M318,P318,AB318)&lt;5,"",G318+J318+M318+P318+AB318))</f>
        <v/>
      </c>
      <c r="AD318" s="32" t="str">
        <f aca="false">IF($A318="","",IF(COUNTIFS(Contacts!$A$3:$A$502,$A318,Contacts!$E$3:$E$502,"Champion",Contacts!$K$3:$K$502,"&lt;&gt;Yes",Contacts!$L$3:$L$502,"&lt;&gt;Yes")+COUNTIFS(Opportunities!$A$3:$A$502,$A318,Opportunities!$C$3:$C$502,"Won",Opportunities!$Q$3:$Q$502,"Satisfied")&gt;0,4,IF(COUNTIFS(Interactions!$B$3:$B$502,$A318,Interactions!$I$3:$I$502,"Yes",Interactions!$A$3:$A$502,"&gt;="&amp;(S_Today-S_WarmDays))&gt;0,3,IF(T318&lt;&gt;"",2,IF(COUNTIFS(Contacts!$A$3:$A$502,$A318,Contacts!$M$3:$M$502,"Yes",Contacts!$K$3:$K$502,"&lt;&gt;Yes",Contacts!$L$3:$L$502,"&lt;&gt;Yes")&gt;0,1,0)))))</f>
        <v/>
      </c>
      <c r="AE318" s="32" t="str">
        <f aca="false">IF($A318="","",IF(Z318="Yes","Do not contact",IF(AC318="","Research",IF(AND(AC318&gt;=S_FitHigh,AD318&gt;=S_AccessHigh),"Priority",IF(AC318&gt;=S_FitHigh,"Build a Path",IF(AD318&gt;=S_AccessHigh,"Quick Win","Low Priority"))))))</f>
        <v/>
      </c>
      <c r="AF318" s="33" t="str">
        <f aca="false">IF($A318="","",IF(_xlfn.MAXIFS(Interactions!$A$3:$A$502,Interactions!$B$3:$B$502,$A318)=0,"",_xlfn.MAXIFS(Interactions!$A$3:$A$502,Interactions!$B$3:$B$502,$A318)))</f>
        <v/>
      </c>
      <c r="AG318" s="32" t="str">
        <f aca="false">IF($A318="","",COUNTIFS(Opportunities!$A$3:$A$502,$A318,Opportunities!$X$3:$X$502,"Yes"))</f>
        <v/>
      </c>
      <c r="AH318" s="32" t="str">
        <f aca="false">IF($A318="","",_xlfn.TEXTJOIN(", ",TRUE(),IF(COUNTIF($A$3:$A$502,$A318)&gt;1,"Duplicate name",""),IF(OR(AND(G318=2,I318=""),AND(J318=2,L318=""),AND(M318=2,O318=""),AND(P318=2,R318="")),"Source missing for a 2",""),IF(F318="","No owner",IF(COUNTIFS(R_TeamName,F318,R_TeamActive,"No")&gt;0,"Needs new owner","")),IF(AND(V318="Yes",X318&lt;&gt;"",X318&lt;S_SemStart),"Path overdue",""),IF(AND(S318&lt;&gt;"",S318&lt;S_Today-365),"Stale research",""),IF(AND(AE318="Research",COUNTIF('Commercial Evidence'!$A$3:$A$502,$A318)=0),"Add commercial evidence","")))</f>
        <v/>
      </c>
      <c r="AI318" s="34" t="str">
        <f aca="false">IF(OR($A318="",Z318="Yes"),"",IF(AND(AE318="Priority",AG318=0,COUNTIFS(Opportunities!$A$3:$A$502,$A318,Opportunities!$Y$3:$Y$502,"Renewal due")=0),600000+(10-AC318)*1000+(4-AD318)*100+ROW()/100000,IF(V318="Yes",700000+IF(X318="",0,X318-40000)/10+ROW()/100000,IF(AND(AE318="Quick Win",U318&lt;&gt;"",AG318=0),800000+(10-AC318)*1000+ROW()/100000,IF(AND(AE318="Build a Path",COUNTIF($V$3:$V$502,"Yes")&lt;S_PathCap),900000+(10-AC318)*1000+(4-AD318)*100+ROW()/100000,"")))))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8"/>
      <c r="T319" s="27"/>
      <c r="U319" s="27"/>
      <c r="V319" s="27"/>
      <c r="W319" s="27"/>
      <c r="X319" s="28"/>
      <c r="Y319" s="27"/>
      <c r="Z319" s="27"/>
      <c r="AA319" s="27"/>
      <c r="AB319" s="32" t="str">
        <f aca="false">IF($A319="","",IF(COUNTIF('Commercial Evidence'!$A$3:$A$502,$A319)=0,"",IF(COUNTIFS('Commercial Evidence'!$A$3:$A$502,$A319,'Commercial Evidence'!$B$3:$B$502,"Previous CBS Talks spend")+COUNTIFS('Commercial Evidence'!$A$3:$A$502,$A319,'Commercial Evidence'!$B$3:$B$502,"Sponsors student organisations")&gt;0,2,IF(COUNTIFS('Commercial Evidence'!$A$3:$A$502,$A319,'Commercial Evidence'!$B$3:$B$502,"Sponsors university activities")+COUNTIFS('Commercial Evidence'!$A$3:$A$502,$A319,'Commercial Evidence'!$B$3:$B$502,"Sponsors similar events")+COUNTIFS('Commercial Evidence'!$A$3:$A$502,$A319,'Commercial Evidence'!$B$3:$B$502,"Previous CBS Talks partner")&gt;0,1,0))))</f>
        <v/>
      </c>
      <c r="AC319" s="32" t="str">
        <f aca="false">IF($A319="","",IF(COUNT(G319,J319,M319,P319,AB319)&lt;5,"",G319+J319+M319+P319+AB319))</f>
        <v/>
      </c>
      <c r="AD319" s="32" t="str">
        <f aca="false">IF($A319="","",IF(COUNTIFS(Contacts!$A$3:$A$502,$A319,Contacts!$E$3:$E$502,"Champion",Contacts!$K$3:$K$502,"&lt;&gt;Yes",Contacts!$L$3:$L$502,"&lt;&gt;Yes")+COUNTIFS(Opportunities!$A$3:$A$502,$A319,Opportunities!$C$3:$C$502,"Won",Opportunities!$Q$3:$Q$502,"Satisfied")&gt;0,4,IF(COUNTIFS(Interactions!$B$3:$B$502,$A319,Interactions!$I$3:$I$502,"Yes",Interactions!$A$3:$A$502,"&gt;="&amp;(S_Today-S_WarmDays))&gt;0,3,IF(T319&lt;&gt;"",2,IF(COUNTIFS(Contacts!$A$3:$A$502,$A319,Contacts!$M$3:$M$502,"Yes",Contacts!$K$3:$K$502,"&lt;&gt;Yes",Contacts!$L$3:$L$502,"&lt;&gt;Yes")&gt;0,1,0)))))</f>
        <v/>
      </c>
      <c r="AE319" s="32" t="str">
        <f aca="false">IF($A319="","",IF(Z319="Yes","Do not contact",IF(AC319="","Research",IF(AND(AC319&gt;=S_FitHigh,AD319&gt;=S_AccessHigh),"Priority",IF(AC319&gt;=S_FitHigh,"Build a Path",IF(AD319&gt;=S_AccessHigh,"Quick Win","Low Priority"))))))</f>
        <v/>
      </c>
      <c r="AF319" s="33" t="str">
        <f aca="false">IF($A319="","",IF(_xlfn.MAXIFS(Interactions!$A$3:$A$502,Interactions!$B$3:$B$502,$A319)=0,"",_xlfn.MAXIFS(Interactions!$A$3:$A$502,Interactions!$B$3:$B$502,$A319)))</f>
        <v/>
      </c>
      <c r="AG319" s="32" t="str">
        <f aca="false">IF($A319="","",COUNTIFS(Opportunities!$A$3:$A$502,$A319,Opportunities!$X$3:$X$502,"Yes"))</f>
        <v/>
      </c>
      <c r="AH319" s="32" t="str">
        <f aca="false">IF($A319="","",_xlfn.TEXTJOIN(", ",TRUE(),IF(COUNTIF($A$3:$A$502,$A319)&gt;1,"Duplicate name",""),IF(OR(AND(G319=2,I319=""),AND(J319=2,L319=""),AND(M319=2,O319=""),AND(P319=2,R319="")),"Source missing for a 2",""),IF(F319="","No owner",IF(COUNTIFS(R_TeamName,F319,R_TeamActive,"No")&gt;0,"Needs new owner","")),IF(AND(V319="Yes",X319&lt;&gt;"",X319&lt;S_SemStart),"Path overdue",""),IF(AND(S319&lt;&gt;"",S319&lt;S_Today-365),"Stale research",""),IF(AND(AE319="Research",COUNTIF('Commercial Evidence'!$A$3:$A$502,$A319)=0),"Add commercial evidence","")))</f>
        <v/>
      </c>
      <c r="AI319" s="34" t="str">
        <f aca="false">IF(OR($A319="",Z319="Yes"),"",IF(AND(AE319="Priority",AG319=0,COUNTIFS(Opportunities!$A$3:$A$502,$A319,Opportunities!$Y$3:$Y$502,"Renewal due")=0),600000+(10-AC319)*1000+(4-AD319)*100+ROW()/100000,IF(V319="Yes",700000+IF(X319="",0,X319-40000)/10+ROW()/100000,IF(AND(AE319="Quick Win",U319&lt;&gt;"",AG319=0),800000+(10-AC319)*1000+ROW()/100000,IF(AND(AE319="Build a Path",COUNTIF($V$3:$V$502,"Yes")&lt;S_PathCap),900000+(10-AC319)*1000+(4-AD319)*100+ROW()/100000,"")))))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8"/>
      <c r="T320" s="27"/>
      <c r="U320" s="27"/>
      <c r="V320" s="27"/>
      <c r="W320" s="27"/>
      <c r="X320" s="28"/>
      <c r="Y320" s="27"/>
      <c r="Z320" s="27"/>
      <c r="AA320" s="27"/>
      <c r="AB320" s="32" t="str">
        <f aca="false">IF($A320="","",IF(COUNTIF('Commercial Evidence'!$A$3:$A$502,$A320)=0,"",IF(COUNTIFS('Commercial Evidence'!$A$3:$A$502,$A320,'Commercial Evidence'!$B$3:$B$502,"Previous CBS Talks spend")+COUNTIFS('Commercial Evidence'!$A$3:$A$502,$A320,'Commercial Evidence'!$B$3:$B$502,"Sponsors student organisations")&gt;0,2,IF(COUNTIFS('Commercial Evidence'!$A$3:$A$502,$A320,'Commercial Evidence'!$B$3:$B$502,"Sponsors university activities")+COUNTIFS('Commercial Evidence'!$A$3:$A$502,$A320,'Commercial Evidence'!$B$3:$B$502,"Sponsors similar events")+COUNTIFS('Commercial Evidence'!$A$3:$A$502,$A320,'Commercial Evidence'!$B$3:$B$502,"Previous CBS Talks partner")&gt;0,1,0))))</f>
        <v/>
      </c>
      <c r="AC320" s="32" t="str">
        <f aca="false">IF($A320="","",IF(COUNT(G320,J320,M320,P320,AB320)&lt;5,"",G320+J320+M320+P320+AB320))</f>
        <v/>
      </c>
      <c r="AD320" s="32" t="str">
        <f aca="false">IF($A320="","",IF(COUNTIFS(Contacts!$A$3:$A$502,$A320,Contacts!$E$3:$E$502,"Champion",Contacts!$K$3:$K$502,"&lt;&gt;Yes",Contacts!$L$3:$L$502,"&lt;&gt;Yes")+COUNTIFS(Opportunities!$A$3:$A$502,$A320,Opportunities!$C$3:$C$502,"Won",Opportunities!$Q$3:$Q$502,"Satisfied")&gt;0,4,IF(COUNTIFS(Interactions!$B$3:$B$502,$A320,Interactions!$I$3:$I$502,"Yes",Interactions!$A$3:$A$502,"&gt;="&amp;(S_Today-S_WarmDays))&gt;0,3,IF(T320&lt;&gt;"",2,IF(COUNTIFS(Contacts!$A$3:$A$502,$A320,Contacts!$M$3:$M$502,"Yes",Contacts!$K$3:$K$502,"&lt;&gt;Yes",Contacts!$L$3:$L$502,"&lt;&gt;Yes")&gt;0,1,0)))))</f>
        <v/>
      </c>
      <c r="AE320" s="32" t="str">
        <f aca="false">IF($A320="","",IF(Z320="Yes","Do not contact",IF(AC320="","Research",IF(AND(AC320&gt;=S_FitHigh,AD320&gt;=S_AccessHigh),"Priority",IF(AC320&gt;=S_FitHigh,"Build a Path",IF(AD320&gt;=S_AccessHigh,"Quick Win","Low Priority"))))))</f>
        <v/>
      </c>
      <c r="AF320" s="33" t="str">
        <f aca="false">IF($A320="","",IF(_xlfn.MAXIFS(Interactions!$A$3:$A$502,Interactions!$B$3:$B$502,$A320)=0,"",_xlfn.MAXIFS(Interactions!$A$3:$A$502,Interactions!$B$3:$B$502,$A320)))</f>
        <v/>
      </c>
      <c r="AG320" s="32" t="str">
        <f aca="false">IF($A320="","",COUNTIFS(Opportunities!$A$3:$A$502,$A320,Opportunities!$X$3:$X$502,"Yes"))</f>
        <v/>
      </c>
      <c r="AH320" s="32" t="str">
        <f aca="false">IF($A320="","",_xlfn.TEXTJOIN(", ",TRUE(),IF(COUNTIF($A$3:$A$502,$A320)&gt;1,"Duplicate name",""),IF(OR(AND(G320=2,I320=""),AND(J320=2,L320=""),AND(M320=2,O320=""),AND(P320=2,R320="")),"Source missing for a 2",""),IF(F320="","No owner",IF(COUNTIFS(R_TeamName,F320,R_TeamActive,"No")&gt;0,"Needs new owner","")),IF(AND(V320="Yes",X320&lt;&gt;"",X320&lt;S_SemStart),"Path overdue",""),IF(AND(S320&lt;&gt;"",S320&lt;S_Today-365),"Stale research",""),IF(AND(AE320="Research",COUNTIF('Commercial Evidence'!$A$3:$A$502,$A320)=0),"Add commercial evidence","")))</f>
        <v/>
      </c>
      <c r="AI320" s="34" t="str">
        <f aca="false">IF(OR($A320="",Z320="Yes"),"",IF(AND(AE320="Priority",AG320=0,COUNTIFS(Opportunities!$A$3:$A$502,$A320,Opportunities!$Y$3:$Y$502,"Renewal due")=0),600000+(10-AC320)*1000+(4-AD320)*100+ROW()/100000,IF(V320="Yes",700000+IF(X320="",0,X320-40000)/10+ROW()/100000,IF(AND(AE320="Quick Win",U320&lt;&gt;"",AG320=0),800000+(10-AC320)*1000+ROW()/100000,IF(AND(AE320="Build a Path",COUNTIF($V$3:$V$502,"Yes")&lt;S_PathCap),900000+(10-AC320)*1000+(4-AD320)*100+ROW()/100000,"")))))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8"/>
      <c r="T321" s="27"/>
      <c r="U321" s="27"/>
      <c r="V321" s="27"/>
      <c r="W321" s="27"/>
      <c r="X321" s="28"/>
      <c r="Y321" s="27"/>
      <c r="Z321" s="27"/>
      <c r="AA321" s="27"/>
      <c r="AB321" s="32" t="str">
        <f aca="false">IF($A321="","",IF(COUNTIF('Commercial Evidence'!$A$3:$A$502,$A321)=0,"",IF(COUNTIFS('Commercial Evidence'!$A$3:$A$502,$A321,'Commercial Evidence'!$B$3:$B$502,"Previous CBS Talks spend")+COUNTIFS('Commercial Evidence'!$A$3:$A$502,$A321,'Commercial Evidence'!$B$3:$B$502,"Sponsors student organisations")&gt;0,2,IF(COUNTIFS('Commercial Evidence'!$A$3:$A$502,$A321,'Commercial Evidence'!$B$3:$B$502,"Sponsors university activities")+COUNTIFS('Commercial Evidence'!$A$3:$A$502,$A321,'Commercial Evidence'!$B$3:$B$502,"Sponsors similar events")+COUNTIFS('Commercial Evidence'!$A$3:$A$502,$A321,'Commercial Evidence'!$B$3:$B$502,"Previous CBS Talks partner")&gt;0,1,0))))</f>
        <v/>
      </c>
      <c r="AC321" s="32" t="str">
        <f aca="false">IF($A321="","",IF(COUNT(G321,J321,M321,P321,AB321)&lt;5,"",G321+J321+M321+P321+AB321))</f>
        <v/>
      </c>
      <c r="AD321" s="32" t="str">
        <f aca="false">IF($A321="","",IF(COUNTIFS(Contacts!$A$3:$A$502,$A321,Contacts!$E$3:$E$502,"Champion",Contacts!$K$3:$K$502,"&lt;&gt;Yes",Contacts!$L$3:$L$502,"&lt;&gt;Yes")+COUNTIFS(Opportunities!$A$3:$A$502,$A321,Opportunities!$C$3:$C$502,"Won",Opportunities!$Q$3:$Q$502,"Satisfied")&gt;0,4,IF(COUNTIFS(Interactions!$B$3:$B$502,$A321,Interactions!$I$3:$I$502,"Yes",Interactions!$A$3:$A$502,"&gt;="&amp;(S_Today-S_WarmDays))&gt;0,3,IF(T321&lt;&gt;"",2,IF(COUNTIFS(Contacts!$A$3:$A$502,$A321,Contacts!$M$3:$M$502,"Yes",Contacts!$K$3:$K$502,"&lt;&gt;Yes",Contacts!$L$3:$L$502,"&lt;&gt;Yes")&gt;0,1,0)))))</f>
        <v/>
      </c>
      <c r="AE321" s="32" t="str">
        <f aca="false">IF($A321="","",IF(Z321="Yes","Do not contact",IF(AC321="","Research",IF(AND(AC321&gt;=S_FitHigh,AD321&gt;=S_AccessHigh),"Priority",IF(AC321&gt;=S_FitHigh,"Build a Path",IF(AD321&gt;=S_AccessHigh,"Quick Win","Low Priority"))))))</f>
        <v/>
      </c>
      <c r="AF321" s="33" t="str">
        <f aca="false">IF($A321="","",IF(_xlfn.MAXIFS(Interactions!$A$3:$A$502,Interactions!$B$3:$B$502,$A321)=0,"",_xlfn.MAXIFS(Interactions!$A$3:$A$502,Interactions!$B$3:$B$502,$A321)))</f>
        <v/>
      </c>
      <c r="AG321" s="32" t="str">
        <f aca="false">IF($A321="","",COUNTIFS(Opportunities!$A$3:$A$502,$A321,Opportunities!$X$3:$X$502,"Yes"))</f>
        <v/>
      </c>
      <c r="AH321" s="32" t="str">
        <f aca="false">IF($A321="","",_xlfn.TEXTJOIN(", ",TRUE(),IF(COUNTIF($A$3:$A$502,$A321)&gt;1,"Duplicate name",""),IF(OR(AND(G321=2,I321=""),AND(J321=2,L321=""),AND(M321=2,O321=""),AND(P321=2,R321="")),"Source missing for a 2",""),IF(F321="","No owner",IF(COUNTIFS(R_TeamName,F321,R_TeamActive,"No")&gt;0,"Needs new owner","")),IF(AND(V321="Yes",X321&lt;&gt;"",X321&lt;S_SemStart),"Path overdue",""),IF(AND(S321&lt;&gt;"",S321&lt;S_Today-365),"Stale research",""),IF(AND(AE321="Research",COUNTIF('Commercial Evidence'!$A$3:$A$502,$A321)=0),"Add commercial evidence","")))</f>
        <v/>
      </c>
      <c r="AI321" s="34" t="str">
        <f aca="false">IF(OR($A321="",Z321="Yes"),"",IF(AND(AE321="Priority",AG321=0,COUNTIFS(Opportunities!$A$3:$A$502,$A321,Opportunities!$Y$3:$Y$502,"Renewal due")=0),600000+(10-AC321)*1000+(4-AD321)*100+ROW()/100000,IF(V321="Yes",700000+IF(X321="",0,X321-40000)/10+ROW()/100000,IF(AND(AE321="Quick Win",U321&lt;&gt;"",AG321=0),800000+(10-AC321)*1000+ROW()/100000,IF(AND(AE321="Build a Path",COUNTIF($V$3:$V$502,"Yes")&lt;S_PathCap),900000+(10-AC321)*1000+(4-AD321)*100+ROW()/100000,"")))))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8"/>
      <c r="T322" s="27"/>
      <c r="U322" s="27"/>
      <c r="V322" s="27"/>
      <c r="W322" s="27"/>
      <c r="X322" s="28"/>
      <c r="Y322" s="27"/>
      <c r="Z322" s="27"/>
      <c r="AA322" s="27"/>
      <c r="AB322" s="32" t="str">
        <f aca="false">IF($A322="","",IF(COUNTIF('Commercial Evidence'!$A$3:$A$502,$A322)=0,"",IF(COUNTIFS('Commercial Evidence'!$A$3:$A$502,$A322,'Commercial Evidence'!$B$3:$B$502,"Previous CBS Talks spend")+COUNTIFS('Commercial Evidence'!$A$3:$A$502,$A322,'Commercial Evidence'!$B$3:$B$502,"Sponsors student organisations")&gt;0,2,IF(COUNTIFS('Commercial Evidence'!$A$3:$A$502,$A322,'Commercial Evidence'!$B$3:$B$502,"Sponsors university activities")+COUNTIFS('Commercial Evidence'!$A$3:$A$502,$A322,'Commercial Evidence'!$B$3:$B$502,"Sponsors similar events")+COUNTIFS('Commercial Evidence'!$A$3:$A$502,$A322,'Commercial Evidence'!$B$3:$B$502,"Previous CBS Talks partner")&gt;0,1,0))))</f>
        <v/>
      </c>
      <c r="AC322" s="32" t="str">
        <f aca="false">IF($A322="","",IF(COUNT(G322,J322,M322,P322,AB322)&lt;5,"",G322+J322+M322+P322+AB322))</f>
        <v/>
      </c>
      <c r="AD322" s="32" t="str">
        <f aca="false">IF($A322="","",IF(COUNTIFS(Contacts!$A$3:$A$502,$A322,Contacts!$E$3:$E$502,"Champion",Contacts!$K$3:$K$502,"&lt;&gt;Yes",Contacts!$L$3:$L$502,"&lt;&gt;Yes")+COUNTIFS(Opportunities!$A$3:$A$502,$A322,Opportunities!$C$3:$C$502,"Won",Opportunities!$Q$3:$Q$502,"Satisfied")&gt;0,4,IF(COUNTIFS(Interactions!$B$3:$B$502,$A322,Interactions!$I$3:$I$502,"Yes",Interactions!$A$3:$A$502,"&gt;="&amp;(S_Today-S_WarmDays))&gt;0,3,IF(T322&lt;&gt;"",2,IF(COUNTIFS(Contacts!$A$3:$A$502,$A322,Contacts!$M$3:$M$502,"Yes",Contacts!$K$3:$K$502,"&lt;&gt;Yes",Contacts!$L$3:$L$502,"&lt;&gt;Yes")&gt;0,1,0)))))</f>
        <v/>
      </c>
      <c r="AE322" s="32" t="str">
        <f aca="false">IF($A322="","",IF(Z322="Yes","Do not contact",IF(AC322="","Research",IF(AND(AC322&gt;=S_FitHigh,AD322&gt;=S_AccessHigh),"Priority",IF(AC322&gt;=S_FitHigh,"Build a Path",IF(AD322&gt;=S_AccessHigh,"Quick Win","Low Priority"))))))</f>
        <v/>
      </c>
      <c r="AF322" s="33" t="str">
        <f aca="false">IF($A322="","",IF(_xlfn.MAXIFS(Interactions!$A$3:$A$502,Interactions!$B$3:$B$502,$A322)=0,"",_xlfn.MAXIFS(Interactions!$A$3:$A$502,Interactions!$B$3:$B$502,$A322)))</f>
        <v/>
      </c>
      <c r="AG322" s="32" t="str">
        <f aca="false">IF($A322="","",COUNTIFS(Opportunities!$A$3:$A$502,$A322,Opportunities!$X$3:$X$502,"Yes"))</f>
        <v/>
      </c>
      <c r="AH322" s="32" t="str">
        <f aca="false">IF($A322="","",_xlfn.TEXTJOIN(", ",TRUE(),IF(COUNTIF($A$3:$A$502,$A322)&gt;1,"Duplicate name",""),IF(OR(AND(G322=2,I322=""),AND(J322=2,L322=""),AND(M322=2,O322=""),AND(P322=2,R322="")),"Source missing for a 2",""),IF(F322="","No owner",IF(COUNTIFS(R_TeamName,F322,R_TeamActive,"No")&gt;0,"Needs new owner","")),IF(AND(V322="Yes",X322&lt;&gt;"",X322&lt;S_SemStart),"Path overdue",""),IF(AND(S322&lt;&gt;"",S322&lt;S_Today-365),"Stale research",""),IF(AND(AE322="Research",COUNTIF('Commercial Evidence'!$A$3:$A$502,$A322)=0),"Add commercial evidence","")))</f>
        <v/>
      </c>
      <c r="AI322" s="34" t="str">
        <f aca="false">IF(OR($A322="",Z322="Yes"),"",IF(AND(AE322="Priority",AG322=0,COUNTIFS(Opportunities!$A$3:$A$502,$A322,Opportunities!$Y$3:$Y$502,"Renewal due")=0),600000+(10-AC322)*1000+(4-AD322)*100+ROW()/100000,IF(V322="Yes",700000+IF(X322="",0,X322-40000)/10+ROW()/100000,IF(AND(AE322="Quick Win",U322&lt;&gt;"",AG322=0),800000+(10-AC322)*1000+ROW()/100000,IF(AND(AE322="Build a Path",COUNTIF($V$3:$V$502,"Yes")&lt;S_PathCap),900000+(10-AC322)*1000+(4-AD322)*100+ROW()/100000,"")))))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8"/>
      <c r="T323" s="27"/>
      <c r="U323" s="27"/>
      <c r="V323" s="27"/>
      <c r="W323" s="27"/>
      <c r="X323" s="28"/>
      <c r="Y323" s="27"/>
      <c r="Z323" s="27"/>
      <c r="AA323" s="27"/>
      <c r="AB323" s="32" t="str">
        <f aca="false">IF($A323="","",IF(COUNTIF('Commercial Evidence'!$A$3:$A$502,$A323)=0,"",IF(COUNTIFS('Commercial Evidence'!$A$3:$A$502,$A323,'Commercial Evidence'!$B$3:$B$502,"Previous CBS Talks spend")+COUNTIFS('Commercial Evidence'!$A$3:$A$502,$A323,'Commercial Evidence'!$B$3:$B$502,"Sponsors student organisations")&gt;0,2,IF(COUNTIFS('Commercial Evidence'!$A$3:$A$502,$A323,'Commercial Evidence'!$B$3:$B$502,"Sponsors university activities")+COUNTIFS('Commercial Evidence'!$A$3:$A$502,$A323,'Commercial Evidence'!$B$3:$B$502,"Sponsors similar events")+COUNTIFS('Commercial Evidence'!$A$3:$A$502,$A323,'Commercial Evidence'!$B$3:$B$502,"Previous CBS Talks partner")&gt;0,1,0))))</f>
        <v/>
      </c>
      <c r="AC323" s="32" t="str">
        <f aca="false">IF($A323="","",IF(COUNT(G323,J323,M323,P323,AB323)&lt;5,"",G323+J323+M323+P323+AB323))</f>
        <v/>
      </c>
      <c r="AD323" s="32" t="str">
        <f aca="false">IF($A323="","",IF(COUNTIFS(Contacts!$A$3:$A$502,$A323,Contacts!$E$3:$E$502,"Champion",Contacts!$K$3:$K$502,"&lt;&gt;Yes",Contacts!$L$3:$L$502,"&lt;&gt;Yes")+COUNTIFS(Opportunities!$A$3:$A$502,$A323,Opportunities!$C$3:$C$502,"Won",Opportunities!$Q$3:$Q$502,"Satisfied")&gt;0,4,IF(COUNTIFS(Interactions!$B$3:$B$502,$A323,Interactions!$I$3:$I$502,"Yes",Interactions!$A$3:$A$502,"&gt;="&amp;(S_Today-S_WarmDays))&gt;0,3,IF(T323&lt;&gt;"",2,IF(COUNTIFS(Contacts!$A$3:$A$502,$A323,Contacts!$M$3:$M$502,"Yes",Contacts!$K$3:$K$502,"&lt;&gt;Yes",Contacts!$L$3:$L$502,"&lt;&gt;Yes")&gt;0,1,0)))))</f>
        <v/>
      </c>
      <c r="AE323" s="32" t="str">
        <f aca="false">IF($A323="","",IF(Z323="Yes","Do not contact",IF(AC323="","Research",IF(AND(AC323&gt;=S_FitHigh,AD323&gt;=S_AccessHigh),"Priority",IF(AC323&gt;=S_FitHigh,"Build a Path",IF(AD323&gt;=S_AccessHigh,"Quick Win","Low Priority"))))))</f>
        <v/>
      </c>
      <c r="AF323" s="33" t="str">
        <f aca="false">IF($A323="","",IF(_xlfn.MAXIFS(Interactions!$A$3:$A$502,Interactions!$B$3:$B$502,$A323)=0,"",_xlfn.MAXIFS(Interactions!$A$3:$A$502,Interactions!$B$3:$B$502,$A323)))</f>
        <v/>
      </c>
      <c r="AG323" s="32" t="str">
        <f aca="false">IF($A323="","",COUNTIFS(Opportunities!$A$3:$A$502,$A323,Opportunities!$X$3:$X$502,"Yes"))</f>
        <v/>
      </c>
      <c r="AH323" s="32" t="str">
        <f aca="false">IF($A323="","",_xlfn.TEXTJOIN(", ",TRUE(),IF(COUNTIF($A$3:$A$502,$A323)&gt;1,"Duplicate name",""),IF(OR(AND(G323=2,I323=""),AND(J323=2,L323=""),AND(M323=2,O323=""),AND(P323=2,R323="")),"Source missing for a 2",""),IF(F323="","No owner",IF(COUNTIFS(R_TeamName,F323,R_TeamActive,"No")&gt;0,"Needs new owner","")),IF(AND(V323="Yes",X323&lt;&gt;"",X323&lt;S_SemStart),"Path overdue",""),IF(AND(S323&lt;&gt;"",S323&lt;S_Today-365),"Stale research",""),IF(AND(AE323="Research",COUNTIF('Commercial Evidence'!$A$3:$A$502,$A323)=0),"Add commercial evidence","")))</f>
        <v/>
      </c>
      <c r="AI323" s="34" t="str">
        <f aca="false">IF(OR($A323="",Z323="Yes"),"",IF(AND(AE323="Priority",AG323=0,COUNTIFS(Opportunities!$A$3:$A$502,$A323,Opportunities!$Y$3:$Y$502,"Renewal due")=0),600000+(10-AC323)*1000+(4-AD323)*100+ROW()/100000,IF(V323="Yes",700000+IF(X323="",0,X323-40000)/10+ROW()/100000,IF(AND(AE323="Quick Win",U323&lt;&gt;"",AG323=0),800000+(10-AC323)*1000+ROW()/100000,IF(AND(AE323="Build a Path",COUNTIF($V$3:$V$502,"Yes")&lt;S_PathCap),900000+(10-AC323)*1000+(4-AD323)*100+ROW()/100000,"")))))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8"/>
      <c r="T324" s="27"/>
      <c r="U324" s="27"/>
      <c r="V324" s="27"/>
      <c r="W324" s="27"/>
      <c r="X324" s="28"/>
      <c r="Y324" s="27"/>
      <c r="Z324" s="27"/>
      <c r="AA324" s="27"/>
      <c r="AB324" s="32" t="str">
        <f aca="false">IF($A324="","",IF(COUNTIF('Commercial Evidence'!$A$3:$A$502,$A324)=0,"",IF(COUNTIFS('Commercial Evidence'!$A$3:$A$502,$A324,'Commercial Evidence'!$B$3:$B$502,"Previous CBS Talks spend")+COUNTIFS('Commercial Evidence'!$A$3:$A$502,$A324,'Commercial Evidence'!$B$3:$B$502,"Sponsors student organisations")&gt;0,2,IF(COUNTIFS('Commercial Evidence'!$A$3:$A$502,$A324,'Commercial Evidence'!$B$3:$B$502,"Sponsors university activities")+COUNTIFS('Commercial Evidence'!$A$3:$A$502,$A324,'Commercial Evidence'!$B$3:$B$502,"Sponsors similar events")+COUNTIFS('Commercial Evidence'!$A$3:$A$502,$A324,'Commercial Evidence'!$B$3:$B$502,"Previous CBS Talks partner")&gt;0,1,0))))</f>
        <v/>
      </c>
      <c r="AC324" s="32" t="str">
        <f aca="false">IF($A324="","",IF(COUNT(G324,J324,M324,P324,AB324)&lt;5,"",G324+J324+M324+P324+AB324))</f>
        <v/>
      </c>
      <c r="AD324" s="32" t="str">
        <f aca="false">IF($A324="","",IF(COUNTIFS(Contacts!$A$3:$A$502,$A324,Contacts!$E$3:$E$502,"Champion",Contacts!$K$3:$K$502,"&lt;&gt;Yes",Contacts!$L$3:$L$502,"&lt;&gt;Yes")+COUNTIFS(Opportunities!$A$3:$A$502,$A324,Opportunities!$C$3:$C$502,"Won",Opportunities!$Q$3:$Q$502,"Satisfied")&gt;0,4,IF(COUNTIFS(Interactions!$B$3:$B$502,$A324,Interactions!$I$3:$I$502,"Yes",Interactions!$A$3:$A$502,"&gt;="&amp;(S_Today-S_WarmDays))&gt;0,3,IF(T324&lt;&gt;"",2,IF(COUNTIFS(Contacts!$A$3:$A$502,$A324,Contacts!$M$3:$M$502,"Yes",Contacts!$K$3:$K$502,"&lt;&gt;Yes",Contacts!$L$3:$L$502,"&lt;&gt;Yes")&gt;0,1,0)))))</f>
        <v/>
      </c>
      <c r="AE324" s="32" t="str">
        <f aca="false">IF($A324="","",IF(Z324="Yes","Do not contact",IF(AC324="","Research",IF(AND(AC324&gt;=S_FitHigh,AD324&gt;=S_AccessHigh),"Priority",IF(AC324&gt;=S_FitHigh,"Build a Path",IF(AD324&gt;=S_AccessHigh,"Quick Win","Low Priority"))))))</f>
        <v/>
      </c>
      <c r="AF324" s="33" t="str">
        <f aca="false">IF($A324="","",IF(_xlfn.MAXIFS(Interactions!$A$3:$A$502,Interactions!$B$3:$B$502,$A324)=0,"",_xlfn.MAXIFS(Interactions!$A$3:$A$502,Interactions!$B$3:$B$502,$A324)))</f>
        <v/>
      </c>
      <c r="AG324" s="32" t="str">
        <f aca="false">IF($A324="","",COUNTIFS(Opportunities!$A$3:$A$502,$A324,Opportunities!$X$3:$X$502,"Yes"))</f>
        <v/>
      </c>
      <c r="AH324" s="32" t="str">
        <f aca="false">IF($A324="","",_xlfn.TEXTJOIN(", ",TRUE(),IF(COUNTIF($A$3:$A$502,$A324)&gt;1,"Duplicate name",""),IF(OR(AND(G324=2,I324=""),AND(J324=2,L324=""),AND(M324=2,O324=""),AND(P324=2,R324="")),"Source missing for a 2",""),IF(F324="","No owner",IF(COUNTIFS(R_TeamName,F324,R_TeamActive,"No")&gt;0,"Needs new owner","")),IF(AND(V324="Yes",X324&lt;&gt;"",X324&lt;S_SemStart),"Path overdue",""),IF(AND(S324&lt;&gt;"",S324&lt;S_Today-365),"Stale research",""),IF(AND(AE324="Research",COUNTIF('Commercial Evidence'!$A$3:$A$502,$A324)=0),"Add commercial evidence","")))</f>
        <v/>
      </c>
      <c r="AI324" s="34" t="str">
        <f aca="false">IF(OR($A324="",Z324="Yes"),"",IF(AND(AE324="Priority",AG324=0,COUNTIFS(Opportunities!$A$3:$A$502,$A324,Opportunities!$Y$3:$Y$502,"Renewal due")=0),600000+(10-AC324)*1000+(4-AD324)*100+ROW()/100000,IF(V324="Yes",700000+IF(X324="",0,X324-40000)/10+ROW()/100000,IF(AND(AE324="Quick Win",U324&lt;&gt;"",AG324=0),800000+(10-AC324)*1000+ROW()/100000,IF(AND(AE324="Build a Path",COUNTIF($V$3:$V$502,"Yes")&lt;S_PathCap),900000+(10-AC324)*1000+(4-AD324)*100+ROW()/100000,"")))))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8"/>
      <c r="T325" s="27"/>
      <c r="U325" s="27"/>
      <c r="V325" s="27"/>
      <c r="W325" s="27"/>
      <c r="X325" s="28"/>
      <c r="Y325" s="27"/>
      <c r="Z325" s="27"/>
      <c r="AA325" s="27"/>
      <c r="AB325" s="32" t="str">
        <f aca="false">IF($A325="","",IF(COUNTIF('Commercial Evidence'!$A$3:$A$502,$A325)=0,"",IF(COUNTIFS('Commercial Evidence'!$A$3:$A$502,$A325,'Commercial Evidence'!$B$3:$B$502,"Previous CBS Talks spend")+COUNTIFS('Commercial Evidence'!$A$3:$A$502,$A325,'Commercial Evidence'!$B$3:$B$502,"Sponsors student organisations")&gt;0,2,IF(COUNTIFS('Commercial Evidence'!$A$3:$A$502,$A325,'Commercial Evidence'!$B$3:$B$502,"Sponsors university activities")+COUNTIFS('Commercial Evidence'!$A$3:$A$502,$A325,'Commercial Evidence'!$B$3:$B$502,"Sponsors similar events")+COUNTIFS('Commercial Evidence'!$A$3:$A$502,$A325,'Commercial Evidence'!$B$3:$B$502,"Previous CBS Talks partner")&gt;0,1,0))))</f>
        <v/>
      </c>
      <c r="AC325" s="32" t="str">
        <f aca="false">IF($A325="","",IF(COUNT(G325,J325,M325,P325,AB325)&lt;5,"",G325+J325+M325+P325+AB325))</f>
        <v/>
      </c>
      <c r="AD325" s="32" t="str">
        <f aca="false">IF($A325="","",IF(COUNTIFS(Contacts!$A$3:$A$502,$A325,Contacts!$E$3:$E$502,"Champion",Contacts!$K$3:$K$502,"&lt;&gt;Yes",Contacts!$L$3:$L$502,"&lt;&gt;Yes")+COUNTIFS(Opportunities!$A$3:$A$502,$A325,Opportunities!$C$3:$C$502,"Won",Opportunities!$Q$3:$Q$502,"Satisfied")&gt;0,4,IF(COUNTIFS(Interactions!$B$3:$B$502,$A325,Interactions!$I$3:$I$502,"Yes",Interactions!$A$3:$A$502,"&gt;="&amp;(S_Today-S_WarmDays))&gt;0,3,IF(T325&lt;&gt;"",2,IF(COUNTIFS(Contacts!$A$3:$A$502,$A325,Contacts!$M$3:$M$502,"Yes",Contacts!$K$3:$K$502,"&lt;&gt;Yes",Contacts!$L$3:$L$502,"&lt;&gt;Yes")&gt;0,1,0)))))</f>
        <v/>
      </c>
      <c r="AE325" s="32" t="str">
        <f aca="false">IF($A325="","",IF(Z325="Yes","Do not contact",IF(AC325="","Research",IF(AND(AC325&gt;=S_FitHigh,AD325&gt;=S_AccessHigh),"Priority",IF(AC325&gt;=S_FitHigh,"Build a Path",IF(AD325&gt;=S_AccessHigh,"Quick Win","Low Priority"))))))</f>
        <v/>
      </c>
      <c r="AF325" s="33" t="str">
        <f aca="false">IF($A325="","",IF(_xlfn.MAXIFS(Interactions!$A$3:$A$502,Interactions!$B$3:$B$502,$A325)=0,"",_xlfn.MAXIFS(Interactions!$A$3:$A$502,Interactions!$B$3:$B$502,$A325)))</f>
        <v/>
      </c>
      <c r="AG325" s="32" t="str">
        <f aca="false">IF($A325="","",COUNTIFS(Opportunities!$A$3:$A$502,$A325,Opportunities!$X$3:$X$502,"Yes"))</f>
        <v/>
      </c>
      <c r="AH325" s="32" t="str">
        <f aca="false">IF($A325="","",_xlfn.TEXTJOIN(", ",TRUE(),IF(COUNTIF($A$3:$A$502,$A325)&gt;1,"Duplicate name",""),IF(OR(AND(G325=2,I325=""),AND(J325=2,L325=""),AND(M325=2,O325=""),AND(P325=2,R325="")),"Source missing for a 2",""),IF(F325="","No owner",IF(COUNTIFS(R_TeamName,F325,R_TeamActive,"No")&gt;0,"Needs new owner","")),IF(AND(V325="Yes",X325&lt;&gt;"",X325&lt;S_SemStart),"Path overdue",""),IF(AND(S325&lt;&gt;"",S325&lt;S_Today-365),"Stale research",""),IF(AND(AE325="Research",COUNTIF('Commercial Evidence'!$A$3:$A$502,$A325)=0),"Add commercial evidence","")))</f>
        <v/>
      </c>
      <c r="AI325" s="34" t="str">
        <f aca="false">IF(OR($A325="",Z325="Yes"),"",IF(AND(AE325="Priority",AG325=0,COUNTIFS(Opportunities!$A$3:$A$502,$A325,Opportunities!$Y$3:$Y$502,"Renewal due")=0),600000+(10-AC325)*1000+(4-AD325)*100+ROW()/100000,IF(V325="Yes",700000+IF(X325="",0,X325-40000)/10+ROW()/100000,IF(AND(AE325="Quick Win",U325&lt;&gt;"",AG325=0),800000+(10-AC325)*1000+ROW()/100000,IF(AND(AE325="Build a Path",COUNTIF($V$3:$V$502,"Yes")&lt;S_PathCap),900000+(10-AC325)*1000+(4-AD325)*100+ROW()/100000,"")))))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8"/>
      <c r="T326" s="27"/>
      <c r="U326" s="27"/>
      <c r="V326" s="27"/>
      <c r="W326" s="27"/>
      <c r="X326" s="28"/>
      <c r="Y326" s="27"/>
      <c r="Z326" s="27"/>
      <c r="AA326" s="27"/>
      <c r="AB326" s="32" t="str">
        <f aca="false">IF($A326="","",IF(COUNTIF('Commercial Evidence'!$A$3:$A$502,$A326)=0,"",IF(COUNTIFS('Commercial Evidence'!$A$3:$A$502,$A326,'Commercial Evidence'!$B$3:$B$502,"Previous CBS Talks spend")+COUNTIFS('Commercial Evidence'!$A$3:$A$502,$A326,'Commercial Evidence'!$B$3:$B$502,"Sponsors student organisations")&gt;0,2,IF(COUNTIFS('Commercial Evidence'!$A$3:$A$502,$A326,'Commercial Evidence'!$B$3:$B$502,"Sponsors university activities")+COUNTIFS('Commercial Evidence'!$A$3:$A$502,$A326,'Commercial Evidence'!$B$3:$B$502,"Sponsors similar events")+COUNTIFS('Commercial Evidence'!$A$3:$A$502,$A326,'Commercial Evidence'!$B$3:$B$502,"Previous CBS Talks partner")&gt;0,1,0))))</f>
        <v/>
      </c>
      <c r="AC326" s="32" t="str">
        <f aca="false">IF($A326="","",IF(COUNT(G326,J326,M326,P326,AB326)&lt;5,"",G326+J326+M326+P326+AB326))</f>
        <v/>
      </c>
      <c r="AD326" s="32" t="str">
        <f aca="false">IF($A326="","",IF(COUNTIFS(Contacts!$A$3:$A$502,$A326,Contacts!$E$3:$E$502,"Champion",Contacts!$K$3:$K$502,"&lt;&gt;Yes",Contacts!$L$3:$L$502,"&lt;&gt;Yes")+COUNTIFS(Opportunities!$A$3:$A$502,$A326,Opportunities!$C$3:$C$502,"Won",Opportunities!$Q$3:$Q$502,"Satisfied")&gt;0,4,IF(COUNTIFS(Interactions!$B$3:$B$502,$A326,Interactions!$I$3:$I$502,"Yes",Interactions!$A$3:$A$502,"&gt;="&amp;(S_Today-S_WarmDays))&gt;0,3,IF(T326&lt;&gt;"",2,IF(COUNTIFS(Contacts!$A$3:$A$502,$A326,Contacts!$M$3:$M$502,"Yes",Contacts!$K$3:$K$502,"&lt;&gt;Yes",Contacts!$L$3:$L$502,"&lt;&gt;Yes")&gt;0,1,0)))))</f>
        <v/>
      </c>
      <c r="AE326" s="32" t="str">
        <f aca="false">IF($A326="","",IF(Z326="Yes","Do not contact",IF(AC326="","Research",IF(AND(AC326&gt;=S_FitHigh,AD326&gt;=S_AccessHigh),"Priority",IF(AC326&gt;=S_FitHigh,"Build a Path",IF(AD326&gt;=S_AccessHigh,"Quick Win","Low Priority"))))))</f>
        <v/>
      </c>
      <c r="AF326" s="33" t="str">
        <f aca="false">IF($A326="","",IF(_xlfn.MAXIFS(Interactions!$A$3:$A$502,Interactions!$B$3:$B$502,$A326)=0,"",_xlfn.MAXIFS(Interactions!$A$3:$A$502,Interactions!$B$3:$B$502,$A326)))</f>
        <v/>
      </c>
      <c r="AG326" s="32" t="str">
        <f aca="false">IF($A326="","",COUNTIFS(Opportunities!$A$3:$A$502,$A326,Opportunities!$X$3:$X$502,"Yes"))</f>
        <v/>
      </c>
      <c r="AH326" s="32" t="str">
        <f aca="false">IF($A326="","",_xlfn.TEXTJOIN(", ",TRUE(),IF(COUNTIF($A$3:$A$502,$A326)&gt;1,"Duplicate name",""),IF(OR(AND(G326=2,I326=""),AND(J326=2,L326=""),AND(M326=2,O326=""),AND(P326=2,R326="")),"Source missing for a 2",""),IF(F326="","No owner",IF(COUNTIFS(R_TeamName,F326,R_TeamActive,"No")&gt;0,"Needs new owner","")),IF(AND(V326="Yes",X326&lt;&gt;"",X326&lt;S_SemStart),"Path overdue",""),IF(AND(S326&lt;&gt;"",S326&lt;S_Today-365),"Stale research",""),IF(AND(AE326="Research",COUNTIF('Commercial Evidence'!$A$3:$A$502,$A326)=0),"Add commercial evidence","")))</f>
        <v/>
      </c>
      <c r="AI326" s="34" t="str">
        <f aca="false">IF(OR($A326="",Z326="Yes"),"",IF(AND(AE326="Priority",AG326=0,COUNTIFS(Opportunities!$A$3:$A$502,$A326,Opportunities!$Y$3:$Y$502,"Renewal due")=0),600000+(10-AC326)*1000+(4-AD326)*100+ROW()/100000,IF(V326="Yes",700000+IF(X326="",0,X326-40000)/10+ROW()/100000,IF(AND(AE326="Quick Win",U326&lt;&gt;"",AG326=0),800000+(10-AC326)*1000+ROW()/100000,IF(AND(AE326="Build a Path",COUNTIF($V$3:$V$502,"Yes")&lt;S_PathCap),900000+(10-AC326)*1000+(4-AD326)*100+ROW()/100000,"")))))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8"/>
      <c r="T327" s="27"/>
      <c r="U327" s="27"/>
      <c r="V327" s="27"/>
      <c r="W327" s="27"/>
      <c r="X327" s="28"/>
      <c r="Y327" s="27"/>
      <c r="Z327" s="27"/>
      <c r="AA327" s="27"/>
      <c r="AB327" s="32" t="str">
        <f aca="false">IF($A327="","",IF(COUNTIF('Commercial Evidence'!$A$3:$A$502,$A327)=0,"",IF(COUNTIFS('Commercial Evidence'!$A$3:$A$502,$A327,'Commercial Evidence'!$B$3:$B$502,"Previous CBS Talks spend")+COUNTIFS('Commercial Evidence'!$A$3:$A$502,$A327,'Commercial Evidence'!$B$3:$B$502,"Sponsors student organisations")&gt;0,2,IF(COUNTIFS('Commercial Evidence'!$A$3:$A$502,$A327,'Commercial Evidence'!$B$3:$B$502,"Sponsors university activities")+COUNTIFS('Commercial Evidence'!$A$3:$A$502,$A327,'Commercial Evidence'!$B$3:$B$502,"Sponsors similar events")+COUNTIFS('Commercial Evidence'!$A$3:$A$502,$A327,'Commercial Evidence'!$B$3:$B$502,"Previous CBS Talks partner")&gt;0,1,0))))</f>
        <v/>
      </c>
      <c r="AC327" s="32" t="str">
        <f aca="false">IF($A327="","",IF(COUNT(G327,J327,M327,P327,AB327)&lt;5,"",G327+J327+M327+P327+AB327))</f>
        <v/>
      </c>
      <c r="AD327" s="32" t="str">
        <f aca="false">IF($A327="","",IF(COUNTIFS(Contacts!$A$3:$A$502,$A327,Contacts!$E$3:$E$502,"Champion",Contacts!$K$3:$K$502,"&lt;&gt;Yes",Contacts!$L$3:$L$502,"&lt;&gt;Yes")+COUNTIFS(Opportunities!$A$3:$A$502,$A327,Opportunities!$C$3:$C$502,"Won",Opportunities!$Q$3:$Q$502,"Satisfied")&gt;0,4,IF(COUNTIFS(Interactions!$B$3:$B$502,$A327,Interactions!$I$3:$I$502,"Yes",Interactions!$A$3:$A$502,"&gt;="&amp;(S_Today-S_WarmDays))&gt;0,3,IF(T327&lt;&gt;"",2,IF(COUNTIFS(Contacts!$A$3:$A$502,$A327,Contacts!$M$3:$M$502,"Yes",Contacts!$K$3:$K$502,"&lt;&gt;Yes",Contacts!$L$3:$L$502,"&lt;&gt;Yes")&gt;0,1,0)))))</f>
        <v/>
      </c>
      <c r="AE327" s="32" t="str">
        <f aca="false">IF($A327="","",IF(Z327="Yes","Do not contact",IF(AC327="","Research",IF(AND(AC327&gt;=S_FitHigh,AD327&gt;=S_AccessHigh),"Priority",IF(AC327&gt;=S_FitHigh,"Build a Path",IF(AD327&gt;=S_AccessHigh,"Quick Win","Low Priority"))))))</f>
        <v/>
      </c>
      <c r="AF327" s="33" t="str">
        <f aca="false">IF($A327="","",IF(_xlfn.MAXIFS(Interactions!$A$3:$A$502,Interactions!$B$3:$B$502,$A327)=0,"",_xlfn.MAXIFS(Interactions!$A$3:$A$502,Interactions!$B$3:$B$502,$A327)))</f>
        <v/>
      </c>
      <c r="AG327" s="32" t="str">
        <f aca="false">IF($A327="","",COUNTIFS(Opportunities!$A$3:$A$502,$A327,Opportunities!$X$3:$X$502,"Yes"))</f>
        <v/>
      </c>
      <c r="AH327" s="32" t="str">
        <f aca="false">IF($A327="","",_xlfn.TEXTJOIN(", ",TRUE(),IF(COUNTIF($A$3:$A$502,$A327)&gt;1,"Duplicate name",""),IF(OR(AND(G327=2,I327=""),AND(J327=2,L327=""),AND(M327=2,O327=""),AND(P327=2,R327="")),"Source missing for a 2",""),IF(F327="","No owner",IF(COUNTIFS(R_TeamName,F327,R_TeamActive,"No")&gt;0,"Needs new owner","")),IF(AND(V327="Yes",X327&lt;&gt;"",X327&lt;S_SemStart),"Path overdue",""),IF(AND(S327&lt;&gt;"",S327&lt;S_Today-365),"Stale research",""),IF(AND(AE327="Research",COUNTIF('Commercial Evidence'!$A$3:$A$502,$A327)=0),"Add commercial evidence","")))</f>
        <v/>
      </c>
      <c r="AI327" s="34" t="str">
        <f aca="false">IF(OR($A327="",Z327="Yes"),"",IF(AND(AE327="Priority",AG327=0,COUNTIFS(Opportunities!$A$3:$A$502,$A327,Opportunities!$Y$3:$Y$502,"Renewal due")=0),600000+(10-AC327)*1000+(4-AD327)*100+ROW()/100000,IF(V327="Yes",700000+IF(X327="",0,X327-40000)/10+ROW()/100000,IF(AND(AE327="Quick Win",U327&lt;&gt;"",AG327=0),800000+(10-AC327)*1000+ROW()/100000,IF(AND(AE327="Build a Path",COUNTIF($V$3:$V$502,"Yes")&lt;S_PathCap),900000+(10-AC327)*1000+(4-AD327)*100+ROW()/100000,"")))))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8"/>
      <c r="T328" s="27"/>
      <c r="U328" s="27"/>
      <c r="V328" s="27"/>
      <c r="W328" s="27"/>
      <c r="X328" s="28"/>
      <c r="Y328" s="27"/>
      <c r="Z328" s="27"/>
      <c r="AA328" s="27"/>
      <c r="AB328" s="32" t="str">
        <f aca="false">IF($A328="","",IF(COUNTIF('Commercial Evidence'!$A$3:$A$502,$A328)=0,"",IF(COUNTIFS('Commercial Evidence'!$A$3:$A$502,$A328,'Commercial Evidence'!$B$3:$B$502,"Previous CBS Talks spend")+COUNTIFS('Commercial Evidence'!$A$3:$A$502,$A328,'Commercial Evidence'!$B$3:$B$502,"Sponsors student organisations")&gt;0,2,IF(COUNTIFS('Commercial Evidence'!$A$3:$A$502,$A328,'Commercial Evidence'!$B$3:$B$502,"Sponsors university activities")+COUNTIFS('Commercial Evidence'!$A$3:$A$502,$A328,'Commercial Evidence'!$B$3:$B$502,"Sponsors similar events")+COUNTIFS('Commercial Evidence'!$A$3:$A$502,$A328,'Commercial Evidence'!$B$3:$B$502,"Previous CBS Talks partner")&gt;0,1,0))))</f>
        <v/>
      </c>
      <c r="AC328" s="32" t="str">
        <f aca="false">IF($A328="","",IF(COUNT(G328,J328,M328,P328,AB328)&lt;5,"",G328+J328+M328+P328+AB328))</f>
        <v/>
      </c>
      <c r="AD328" s="32" t="str">
        <f aca="false">IF($A328="","",IF(COUNTIFS(Contacts!$A$3:$A$502,$A328,Contacts!$E$3:$E$502,"Champion",Contacts!$K$3:$K$502,"&lt;&gt;Yes",Contacts!$L$3:$L$502,"&lt;&gt;Yes")+COUNTIFS(Opportunities!$A$3:$A$502,$A328,Opportunities!$C$3:$C$502,"Won",Opportunities!$Q$3:$Q$502,"Satisfied")&gt;0,4,IF(COUNTIFS(Interactions!$B$3:$B$502,$A328,Interactions!$I$3:$I$502,"Yes",Interactions!$A$3:$A$502,"&gt;="&amp;(S_Today-S_WarmDays))&gt;0,3,IF(T328&lt;&gt;"",2,IF(COUNTIFS(Contacts!$A$3:$A$502,$A328,Contacts!$M$3:$M$502,"Yes",Contacts!$K$3:$K$502,"&lt;&gt;Yes",Contacts!$L$3:$L$502,"&lt;&gt;Yes")&gt;0,1,0)))))</f>
        <v/>
      </c>
      <c r="AE328" s="32" t="str">
        <f aca="false">IF($A328="","",IF(Z328="Yes","Do not contact",IF(AC328="","Research",IF(AND(AC328&gt;=S_FitHigh,AD328&gt;=S_AccessHigh),"Priority",IF(AC328&gt;=S_FitHigh,"Build a Path",IF(AD328&gt;=S_AccessHigh,"Quick Win","Low Priority"))))))</f>
        <v/>
      </c>
      <c r="AF328" s="33" t="str">
        <f aca="false">IF($A328="","",IF(_xlfn.MAXIFS(Interactions!$A$3:$A$502,Interactions!$B$3:$B$502,$A328)=0,"",_xlfn.MAXIFS(Interactions!$A$3:$A$502,Interactions!$B$3:$B$502,$A328)))</f>
        <v/>
      </c>
      <c r="AG328" s="32" t="str">
        <f aca="false">IF($A328="","",COUNTIFS(Opportunities!$A$3:$A$502,$A328,Opportunities!$X$3:$X$502,"Yes"))</f>
        <v/>
      </c>
      <c r="AH328" s="32" t="str">
        <f aca="false">IF($A328="","",_xlfn.TEXTJOIN(", ",TRUE(),IF(COUNTIF($A$3:$A$502,$A328)&gt;1,"Duplicate name",""),IF(OR(AND(G328=2,I328=""),AND(J328=2,L328=""),AND(M328=2,O328=""),AND(P328=2,R328="")),"Source missing for a 2",""),IF(F328="","No owner",IF(COUNTIFS(R_TeamName,F328,R_TeamActive,"No")&gt;0,"Needs new owner","")),IF(AND(V328="Yes",X328&lt;&gt;"",X328&lt;S_SemStart),"Path overdue",""),IF(AND(S328&lt;&gt;"",S328&lt;S_Today-365),"Stale research",""),IF(AND(AE328="Research",COUNTIF('Commercial Evidence'!$A$3:$A$502,$A328)=0),"Add commercial evidence","")))</f>
        <v/>
      </c>
      <c r="AI328" s="34" t="str">
        <f aca="false">IF(OR($A328="",Z328="Yes"),"",IF(AND(AE328="Priority",AG328=0,COUNTIFS(Opportunities!$A$3:$A$502,$A328,Opportunities!$Y$3:$Y$502,"Renewal due")=0),600000+(10-AC328)*1000+(4-AD328)*100+ROW()/100000,IF(V328="Yes",700000+IF(X328="",0,X328-40000)/10+ROW()/100000,IF(AND(AE328="Quick Win",U328&lt;&gt;"",AG328=0),800000+(10-AC328)*1000+ROW()/100000,IF(AND(AE328="Build a Path",COUNTIF($V$3:$V$502,"Yes")&lt;S_PathCap),900000+(10-AC328)*1000+(4-AD328)*100+ROW()/100000,"")))))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8"/>
      <c r="T329" s="27"/>
      <c r="U329" s="27"/>
      <c r="V329" s="27"/>
      <c r="W329" s="27"/>
      <c r="X329" s="28"/>
      <c r="Y329" s="27"/>
      <c r="Z329" s="27"/>
      <c r="AA329" s="27"/>
      <c r="AB329" s="32" t="str">
        <f aca="false">IF($A329="","",IF(COUNTIF('Commercial Evidence'!$A$3:$A$502,$A329)=0,"",IF(COUNTIFS('Commercial Evidence'!$A$3:$A$502,$A329,'Commercial Evidence'!$B$3:$B$502,"Previous CBS Talks spend")+COUNTIFS('Commercial Evidence'!$A$3:$A$502,$A329,'Commercial Evidence'!$B$3:$B$502,"Sponsors student organisations")&gt;0,2,IF(COUNTIFS('Commercial Evidence'!$A$3:$A$502,$A329,'Commercial Evidence'!$B$3:$B$502,"Sponsors university activities")+COUNTIFS('Commercial Evidence'!$A$3:$A$502,$A329,'Commercial Evidence'!$B$3:$B$502,"Sponsors similar events")+COUNTIFS('Commercial Evidence'!$A$3:$A$502,$A329,'Commercial Evidence'!$B$3:$B$502,"Previous CBS Talks partner")&gt;0,1,0))))</f>
        <v/>
      </c>
      <c r="AC329" s="32" t="str">
        <f aca="false">IF($A329="","",IF(COUNT(G329,J329,M329,P329,AB329)&lt;5,"",G329+J329+M329+P329+AB329))</f>
        <v/>
      </c>
      <c r="AD329" s="32" t="str">
        <f aca="false">IF($A329="","",IF(COUNTIFS(Contacts!$A$3:$A$502,$A329,Contacts!$E$3:$E$502,"Champion",Contacts!$K$3:$K$502,"&lt;&gt;Yes",Contacts!$L$3:$L$502,"&lt;&gt;Yes")+COUNTIFS(Opportunities!$A$3:$A$502,$A329,Opportunities!$C$3:$C$502,"Won",Opportunities!$Q$3:$Q$502,"Satisfied")&gt;0,4,IF(COUNTIFS(Interactions!$B$3:$B$502,$A329,Interactions!$I$3:$I$502,"Yes",Interactions!$A$3:$A$502,"&gt;="&amp;(S_Today-S_WarmDays))&gt;0,3,IF(T329&lt;&gt;"",2,IF(COUNTIFS(Contacts!$A$3:$A$502,$A329,Contacts!$M$3:$M$502,"Yes",Contacts!$K$3:$K$502,"&lt;&gt;Yes",Contacts!$L$3:$L$502,"&lt;&gt;Yes")&gt;0,1,0)))))</f>
        <v/>
      </c>
      <c r="AE329" s="32" t="str">
        <f aca="false">IF($A329="","",IF(Z329="Yes","Do not contact",IF(AC329="","Research",IF(AND(AC329&gt;=S_FitHigh,AD329&gt;=S_AccessHigh),"Priority",IF(AC329&gt;=S_FitHigh,"Build a Path",IF(AD329&gt;=S_AccessHigh,"Quick Win","Low Priority"))))))</f>
        <v/>
      </c>
      <c r="AF329" s="33" t="str">
        <f aca="false">IF($A329="","",IF(_xlfn.MAXIFS(Interactions!$A$3:$A$502,Interactions!$B$3:$B$502,$A329)=0,"",_xlfn.MAXIFS(Interactions!$A$3:$A$502,Interactions!$B$3:$B$502,$A329)))</f>
        <v/>
      </c>
      <c r="AG329" s="32" t="str">
        <f aca="false">IF($A329="","",COUNTIFS(Opportunities!$A$3:$A$502,$A329,Opportunities!$X$3:$X$502,"Yes"))</f>
        <v/>
      </c>
      <c r="AH329" s="32" t="str">
        <f aca="false">IF($A329="","",_xlfn.TEXTJOIN(", ",TRUE(),IF(COUNTIF($A$3:$A$502,$A329)&gt;1,"Duplicate name",""),IF(OR(AND(G329=2,I329=""),AND(J329=2,L329=""),AND(M329=2,O329=""),AND(P329=2,R329="")),"Source missing for a 2",""),IF(F329="","No owner",IF(COUNTIFS(R_TeamName,F329,R_TeamActive,"No")&gt;0,"Needs new owner","")),IF(AND(V329="Yes",X329&lt;&gt;"",X329&lt;S_SemStart),"Path overdue",""),IF(AND(S329&lt;&gt;"",S329&lt;S_Today-365),"Stale research",""),IF(AND(AE329="Research",COUNTIF('Commercial Evidence'!$A$3:$A$502,$A329)=0),"Add commercial evidence","")))</f>
        <v/>
      </c>
      <c r="AI329" s="34" t="str">
        <f aca="false">IF(OR($A329="",Z329="Yes"),"",IF(AND(AE329="Priority",AG329=0,COUNTIFS(Opportunities!$A$3:$A$502,$A329,Opportunities!$Y$3:$Y$502,"Renewal due")=0),600000+(10-AC329)*1000+(4-AD329)*100+ROW()/100000,IF(V329="Yes",700000+IF(X329="",0,X329-40000)/10+ROW()/100000,IF(AND(AE329="Quick Win",U329&lt;&gt;"",AG329=0),800000+(10-AC329)*1000+ROW()/100000,IF(AND(AE329="Build a Path",COUNTIF($V$3:$V$502,"Yes")&lt;S_PathCap),900000+(10-AC329)*1000+(4-AD329)*100+ROW()/100000,"")))))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8"/>
      <c r="T330" s="27"/>
      <c r="U330" s="27"/>
      <c r="V330" s="27"/>
      <c r="W330" s="27"/>
      <c r="X330" s="28"/>
      <c r="Y330" s="27"/>
      <c r="Z330" s="27"/>
      <c r="AA330" s="27"/>
      <c r="AB330" s="32" t="str">
        <f aca="false">IF($A330="","",IF(COUNTIF('Commercial Evidence'!$A$3:$A$502,$A330)=0,"",IF(COUNTIFS('Commercial Evidence'!$A$3:$A$502,$A330,'Commercial Evidence'!$B$3:$B$502,"Previous CBS Talks spend")+COUNTIFS('Commercial Evidence'!$A$3:$A$502,$A330,'Commercial Evidence'!$B$3:$B$502,"Sponsors student organisations")&gt;0,2,IF(COUNTIFS('Commercial Evidence'!$A$3:$A$502,$A330,'Commercial Evidence'!$B$3:$B$502,"Sponsors university activities")+COUNTIFS('Commercial Evidence'!$A$3:$A$502,$A330,'Commercial Evidence'!$B$3:$B$502,"Sponsors similar events")+COUNTIFS('Commercial Evidence'!$A$3:$A$502,$A330,'Commercial Evidence'!$B$3:$B$502,"Previous CBS Talks partner")&gt;0,1,0))))</f>
        <v/>
      </c>
      <c r="AC330" s="32" t="str">
        <f aca="false">IF($A330="","",IF(COUNT(G330,J330,M330,P330,AB330)&lt;5,"",G330+J330+M330+P330+AB330))</f>
        <v/>
      </c>
      <c r="AD330" s="32" t="str">
        <f aca="false">IF($A330="","",IF(COUNTIFS(Contacts!$A$3:$A$502,$A330,Contacts!$E$3:$E$502,"Champion",Contacts!$K$3:$K$502,"&lt;&gt;Yes",Contacts!$L$3:$L$502,"&lt;&gt;Yes")+COUNTIFS(Opportunities!$A$3:$A$502,$A330,Opportunities!$C$3:$C$502,"Won",Opportunities!$Q$3:$Q$502,"Satisfied")&gt;0,4,IF(COUNTIFS(Interactions!$B$3:$B$502,$A330,Interactions!$I$3:$I$502,"Yes",Interactions!$A$3:$A$502,"&gt;="&amp;(S_Today-S_WarmDays))&gt;0,3,IF(T330&lt;&gt;"",2,IF(COUNTIFS(Contacts!$A$3:$A$502,$A330,Contacts!$M$3:$M$502,"Yes",Contacts!$K$3:$K$502,"&lt;&gt;Yes",Contacts!$L$3:$L$502,"&lt;&gt;Yes")&gt;0,1,0)))))</f>
        <v/>
      </c>
      <c r="AE330" s="32" t="str">
        <f aca="false">IF($A330="","",IF(Z330="Yes","Do not contact",IF(AC330="","Research",IF(AND(AC330&gt;=S_FitHigh,AD330&gt;=S_AccessHigh),"Priority",IF(AC330&gt;=S_FitHigh,"Build a Path",IF(AD330&gt;=S_AccessHigh,"Quick Win","Low Priority"))))))</f>
        <v/>
      </c>
      <c r="AF330" s="33" t="str">
        <f aca="false">IF($A330="","",IF(_xlfn.MAXIFS(Interactions!$A$3:$A$502,Interactions!$B$3:$B$502,$A330)=0,"",_xlfn.MAXIFS(Interactions!$A$3:$A$502,Interactions!$B$3:$B$502,$A330)))</f>
        <v/>
      </c>
      <c r="AG330" s="32" t="str">
        <f aca="false">IF($A330="","",COUNTIFS(Opportunities!$A$3:$A$502,$A330,Opportunities!$X$3:$X$502,"Yes"))</f>
        <v/>
      </c>
      <c r="AH330" s="32" t="str">
        <f aca="false">IF($A330="","",_xlfn.TEXTJOIN(", ",TRUE(),IF(COUNTIF($A$3:$A$502,$A330)&gt;1,"Duplicate name",""),IF(OR(AND(G330=2,I330=""),AND(J330=2,L330=""),AND(M330=2,O330=""),AND(P330=2,R330="")),"Source missing for a 2",""),IF(F330="","No owner",IF(COUNTIFS(R_TeamName,F330,R_TeamActive,"No")&gt;0,"Needs new owner","")),IF(AND(V330="Yes",X330&lt;&gt;"",X330&lt;S_SemStart),"Path overdue",""),IF(AND(S330&lt;&gt;"",S330&lt;S_Today-365),"Stale research",""),IF(AND(AE330="Research",COUNTIF('Commercial Evidence'!$A$3:$A$502,$A330)=0),"Add commercial evidence","")))</f>
        <v/>
      </c>
      <c r="AI330" s="34" t="str">
        <f aca="false">IF(OR($A330="",Z330="Yes"),"",IF(AND(AE330="Priority",AG330=0,COUNTIFS(Opportunities!$A$3:$A$502,$A330,Opportunities!$Y$3:$Y$502,"Renewal due")=0),600000+(10-AC330)*1000+(4-AD330)*100+ROW()/100000,IF(V330="Yes",700000+IF(X330="",0,X330-40000)/10+ROW()/100000,IF(AND(AE330="Quick Win",U330&lt;&gt;"",AG330=0),800000+(10-AC330)*1000+ROW()/100000,IF(AND(AE330="Build a Path",COUNTIF($V$3:$V$502,"Yes")&lt;S_PathCap),900000+(10-AC330)*1000+(4-AD330)*100+ROW()/100000,"")))))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8"/>
      <c r="T331" s="27"/>
      <c r="U331" s="27"/>
      <c r="V331" s="27"/>
      <c r="W331" s="27"/>
      <c r="X331" s="28"/>
      <c r="Y331" s="27"/>
      <c r="Z331" s="27"/>
      <c r="AA331" s="27"/>
      <c r="AB331" s="32" t="str">
        <f aca="false">IF($A331="","",IF(COUNTIF('Commercial Evidence'!$A$3:$A$502,$A331)=0,"",IF(COUNTIFS('Commercial Evidence'!$A$3:$A$502,$A331,'Commercial Evidence'!$B$3:$B$502,"Previous CBS Talks spend")+COUNTIFS('Commercial Evidence'!$A$3:$A$502,$A331,'Commercial Evidence'!$B$3:$B$502,"Sponsors student organisations")&gt;0,2,IF(COUNTIFS('Commercial Evidence'!$A$3:$A$502,$A331,'Commercial Evidence'!$B$3:$B$502,"Sponsors university activities")+COUNTIFS('Commercial Evidence'!$A$3:$A$502,$A331,'Commercial Evidence'!$B$3:$B$502,"Sponsors similar events")+COUNTIFS('Commercial Evidence'!$A$3:$A$502,$A331,'Commercial Evidence'!$B$3:$B$502,"Previous CBS Talks partner")&gt;0,1,0))))</f>
        <v/>
      </c>
      <c r="AC331" s="32" t="str">
        <f aca="false">IF($A331="","",IF(COUNT(G331,J331,M331,P331,AB331)&lt;5,"",G331+J331+M331+P331+AB331))</f>
        <v/>
      </c>
      <c r="AD331" s="32" t="str">
        <f aca="false">IF($A331="","",IF(COUNTIFS(Contacts!$A$3:$A$502,$A331,Contacts!$E$3:$E$502,"Champion",Contacts!$K$3:$K$502,"&lt;&gt;Yes",Contacts!$L$3:$L$502,"&lt;&gt;Yes")+COUNTIFS(Opportunities!$A$3:$A$502,$A331,Opportunities!$C$3:$C$502,"Won",Opportunities!$Q$3:$Q$502,"Satisfied")&gt;0,4,IF(COUNTIFS(Interactions!$B$3:$B$502,$A331,Interactions!$I$3:$I$502,"Yes",Interactions!$A$3:$A$502,"&gt;="&amp;(S_Today-S_WarmDays))&gt;0,3,IF(T331&lt;&gt;"",2,IF(COUNTIFS(Contacts!$A$3:$A$502,$A331,Contacts!$M$3:$M$502,"Yes",Contacts!$K$3:$K$502,"&lt;&gt;Yes",Contacts!$L$3:$L$502,"&lt;&gt;Yes")&gt;0,1,0)))))</f>
        <v/>
      </c>
      <c r="AE331" s="32" t="str">
        <f aca="false">IF($A331="","",IF(Z331="Yes","Do not contact",IF(AC331="","Research",IF(AND(AC331&gt;=S_FitHigh,AD331&gt;=S_AccessHigh),"Priority",IF(AC331&gt;=S_FitHigh,"Build a Path",IF(AD331&gt;=S_AccessHigh,"Quick Win","Low Priority"))))))</f>
        <v/>
      </c>
      <c r="AF331" s="33" t="str">
        <f aca="false">IF($A331="","",IF(_xlfn.MAXIFS(Interactions!$A$3:$A$502,Interactions!$B$3:$B$502,$A331)=0,"",_xlfn.MAXIFS(Interactions!$A$3:$A$502,Interactions!$B$3:$B$502,$A331)))</f>
        <v/>
      </c>
      <c r="AG331" s="32" t="str">
        <f aca="false">IF($A331="","",COUNTIFS(Opportunities!$A$3:$A$502,$A331,Opportunities!$X$3:$X$502,"Yes"))</f>
        <v/>
      </c>
      <c r="AH331" s="32" t="str">
        <f aca="false">IF($A331="","",_xlfn.TEXTJOIN(", ",TRUE(),IF(COUNTIF($A$3:$A$502,$A331)&gt;1,"Duplicate name",""),IF(OR(AND(G331=2,I331=""),AND(J331=2,L331=""),AND(M331=2,O331=""),AND(P331=2,R331="")),"Source missing for a 2",""),IF(F331="","No owner",IF(COUNTIFS(R_TeamName,F331,R_TeamActive,"No")&gt;0,"Needs new owner","")),IF(AND(V331="Yes",X331&lt;&gt;"",X331&lt;S_SemStart),"Path overdue",""),IF(AND(S331&lt;&gt;"",S331&lt;S_Today-365),"Stale research",""),IF(AND(AE331="Research",COUNTIF('Commercial Evidence'!$A$3:$A$502,$A331)=0),"Add commercial evidence","")))</f>
        <v/>
      </c>
      <c r="AI331" s="34" t="str">
        <f aca="false">IF(OR($A331="",Z331="Yes"),"",IF(AND(AE331="Priority",AG331=0,COUNTIFS(Opportunities!$A$3:$A$502,$A331,Opportunities!$Y$3:$Y$502,"Renewal due")=0),600000+(10-AC331)*1000+(4-AD331)*100+ROW()/100000,IF(V331="Yes",700000+IF(X331="",0,X331-40000)/10+ROW()/100000,IF(AND(AE331="Quick Win",U331&lt;&gt;"",AG331=0),800000+(10-AC331)*1000+ROW()/100000,IF(AND(AE331="Build a Path",COUNTIF($V$3:$V$502,"Yes")&lt;S_PathCap),900000+(10-AC331)*1000+(4-AD331)*100+ROW()/100000,"")))))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8"/>
      <c r="T332" s="27"/>
      <c r="U332" s="27"/>
      <c r="V332" s="27"/>
      <c r="W332" s="27"/>
      <c r="X332" s="28"/>
      <c r="Y332" s="27"/>
      <c r="Z332" s="27"/>
      <c r="AA332" s="27"/>
      <c r="AB332" s="32" t="str">
        <f aca="false">IF($A332="","",IF(COUNTIF('Commercial Evidence'!$A$3:$A$502,$A332)=0,"",IF(COUNTIFS('Commercial Evidence'!$A$3:$A$502,$A332,'Commercial Evidence'!$B$3:$B$502,"Previous CBS Talks spend")+COUNTIFS('Commercial Evidence'!$A$3:$A$502,$A332,'Commercial Evidence'!$B$3:$B$502,"Sponsors student organisations")&gt;0,2,IF(COUNTIFS('Commercial Evidence'!$A$3:$A$502,$A332,'Commercial Evidence'!$B$3:$B$502,"Sponsors university activities")+COUNTIFS('Commercial Evidence'!$A$3:$A$502,$A332,'Commercial Evidence'!$B$3:$B$502,"Sponsors similar events")+COUNTIFS('Commercial Evidence'!$A$3:$A$502,$A332,'Commercial Evidence'!$B$3:$B$502,"Previous CBS Talks partner")&gt;0,1,0))))</f>
        <v/>
      </c>
      <c r="AC332" s="32" t="str">
        <f aca="false">IF($A332="","",IF(COUNT(G332,J332,M332,P332,AB332)&lt;5,"",G332+J332+M332+P332+AB332))</f>
        <v/>
      </c>
      <c r="AD332" s="32" t="str">
        <f aca="false">IF($A332="","",IF(COUNTIFS(Contacts!$A$3:$A$502,$A332,Contacts!$E$3:$E$502,"Champion",Contacts!$K$3:$K$502,"&lt;&gt;Yes",Contacts!$L$3:$L$502,"&lt;&gt;Yes")+COUNTIFS(Opportunities!$A$3:$A$502,$A332,Opportunities!$C$3:$C$502,"Won",Opportunities!$Q$3:$Q$502,"Satisfied")&gt;0,4,IF(COUNTIFS(Interactions!$B$3:$B$502,$A332,Interactions!$I$3:$I$502,"Yes",Interactions!$A$3:$A$502,"&gt;="&amp;(S_Today-S_WarmDays))&gt;0,3,IF(T332&lt;&gt;"",2,IF(COUNTIFS(Contacts!$A$3:$A$502,$A332,Contacts!$M$3:$M$502,"Yes",Contacts!$K$3:$K$502,"&lt;&gt;Yes",Contacts!$L$3:$L$502,"&lt;&gt;Yes")&gt;0,1,0)))))</f>
        <v/>
      </c>
      <c r="AE332" s="32" t="str">
        <f aca="false">IF($A332="","",IF(Z332="Yes","Do not contact",IF(AC332="","Research",IF(AND(AC332&gt;=S_FitHigh,AD332&gt;=S_AccessHigh),"Priority",IF(AC332&gt;=S_FitHigh,"Build a Path",IF(AD332&gt;=S_AccessHigh,"Quick Win","Low Priority"))))))</f>
        <v/>
      </c>
      <c r="AF332" s="33" t="str">
        <f aca="false">IF($A332="","",IF(_xlfn.MAXIFS(Interactions!$A$3:$A$502,Interactions!$B$3:$B$502,$A332)=0,"",_xlfn.MAXIFS(Interactions!$A$3:$A$502,Interactions!$B$3:$B$502,$A332)))</f>
        <v/>
      </c>
      <c r="AG332" s="32" t="str">
        <f aca="false">IF($A332="","",COUNTIFS(Opportunities!$A$3:$A$502,$A332,Opportunities!$X$3:$X$502,"Yes"))</f>
        <v/>
      </c>
      <c r="AH332" s="32" t="str">
        <f aca="false">IF($A332="","",_xlfn.TEXTJOIN(", ",TRUE(),IF(COUNTIF($A$3:$A$502,$A332)&gt;1,"Duplicate name",""),IF(OR(AND(G332=2,I332=""),AND(J332=2,L332=""),AND(M332=2,O332=""),AND(P332=2,R332="")),"Source missing for a 2",""),IF(F332="","No owner",IF(COUNTIFS(R_TeamName,F332,R_TeamActive,"No")&gt;0,"Needs new owner","")),IF(AND(V332="Yes",X332&lt;&gt;"",X332&lt;S_SemStart),"Path overdue",""),IF(AND(S332&lt;&gt;"",S332&lt;S_Today-365),"Stale research",""),IF(AND(AE332="Research",COUNTIF('Commercial Evidence'!$A$3:$A$502,$A332)=0),"Add commercial evidence","")))</f>
        <v/>
      </c>
      <c r="AI332" s="34" t="str">
        <f aca="false">IF(OR($A332="",Z332="Yes"),"",IF(AND(AE332="Priority",AG332=0,COUNTIFS(Opportunities!$A$3:$A$502,$A332,Opportunities!$Y$3:$Y$502,"Renewal due")=0),600000+(10-AC332)*1000+(4-AD332)*100+ROW()/100000,IF(V332="Yes",700000+IF(X332="",0,X332-40000)/10+ROW()/100000,IF(AND(AE332="Quick Win",U332&lt;&gt;"",AG332=0),800000+(10-AC332)*1000+ROW()/100000,IF(AND(AE332="Build a Path",COUNTIF($V$3:$V$502,"Yes")&lt;S_PathCap),900000+(10-AC332)*1000+(4-AD332)*100+ROW()/100000,"")))))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8"/>
      <c r="T333" s="27"/>
      <c r="U333" s="27"/>
      <c r="V333" s="27"/>
      <c r="W333" s="27"/>
      <c r="X333" s="28"/>
      <c r="Y333" s="27"/>
      <c r="Z333" s="27"/>
      <c r="AA333" s="27"/>
      <c r="AB333" s="32" t="str">
        <f aca="false">IF($A333="","",IF(COUNTIF('Commercial Evidence'!$A$3:$A$502,$A333)=0,"",IF(COUNTIFS('Commercial Evidence'!$A$3:$A$502,$A333,'Commercial Evidence'!$B$3:$B$502,"Previous CBS Talks spend")+COUNTIFS('Commercial Evidence'!$A$3:$A$502,$A333,'Commercial Evidence'!$B$3:$B$502,"Sponsors student organisations")&gt;0,2,IF(COUNTIFS('Commercial Evidence'!$A$3:$A$502,$A333,'Commercial Evidence'!$B$3:$B$502,"Sponsors university activities")+COUNTIFS('Commercial Evidence'!$A$3:$A$502,$A333,'Commercial Evidence'!$B$3:$B$502,"Sponsors similar events")+COUNTIFS('Commercial Evidence'!$A$3:$A$502,$A333,'Commercial Evidence'!$B$3:$B$502,"Previous CBS Talks partner")&gt;0,1,0))))</f>
        <v/>
      </c>
      <c r="AC333" s="32" t="str">
        <f aca="false">IF($A333="","",IF(COUNT(G333,J333,M333,P333,AB333)&lt;5,"",G333+J333+M333+P333+AB333))</f>
        <v/>
      </c>
      <c r="AD333" s="32" t="str">
        <f aca="false">IF($A333="","",IF(COUNTIFS(Contacts!$A$3:$A$502,$A333,Contacts!$E$3:$E$502,"Champion",Contacts!$K$3:$K$502,"&lt;&gt;Yes",Contacts!$L$3:$L$502,"&lt;&gt;Yes")+COUNTIFS(Opportunities!$A$3:$A$502,$A333,Opportunities!$C$3:$C$502,"Won",Opportunities!$Q$3:$Q$502,"Satisfied")&gt;0,4,IF(COUNTIFS(Interactions!$B$3:$B$502,$A333,Interactions!$I$3:$I$502,"Yes",Interactions!$A$3:$A$502,"&gt;="&amp;(S_Today-S_WarmDays))&gt;0,3,IF(T333&lt;&gt;"",2,IF(COUNTIFS(Contacts!$A$3:$A$502,$A333,Contacts!$M$3:$M$502,"Yes",Contacts!$K$3:$K$502,"&lt;&gt;Yes",Contacts!$L$3:$L$502,"&lt;&gt;Yes")&gt;0,1,0)))))</f>
        <v/>
      </c>
      <c r="AE333" s="32" t="str">
        <f aca="false">IF($A333="","",IF(Z333="Yes","Do not contact",IF(AC333="","Research",IF(AND(AC333&gt;=S_FitHigh,AD333&gt;=S_AccessHigh),"Priority",IF(AC333&gt;=S_FitHigh,"Build a Path",IF(AD333&gt;=S_AccessHigh,"Quick Win","Low Priority"))))))</f>
        <v/>
      </c>
      <c r="AF333" s="33" t="str">
        <f aca="false">IF($A333="","",IF(_xlfn.MAXIFS(Interactions!$A$3:$A$502,Interactions!$B$3:$B$502,$A333)=0,"",_xlfn.MAXIFS(Interactions!$A$3:$A$502,Interactions!$B$3:$B$502,$A333)))</f>
        <v/>
      </c>
      <c r="AG333" s="32" t="str">
        <f aca="false">IF($A333="","",COUNTIFS(Opportunities!$A$3:$A$502,$A333,Opportunities!$X$3:$X$502,"Yes"))</f>
        <v/>
      </c>
      <c r="AH333" s="32" t="str">
        <f aca="false">IF($A333="","",_xlfn.TEXTJOIN(", ",TRUE(),IF(COUNTIF($A$3:$A$502,$A333)&gt;1,"Duplicate name",""),IF(OR(AND(G333=2,I333=""),AND(J333=2,L333=""),AND(M333=2,O333=""),AND(P333=2,R333="")),"Source missing for a 2",""),IF(F333="","No owner",IF(COUNTIFS(R_TeamName,F333,R_TeamActive,"No")&gt;0,"Needs new owner","")),IF(AND(V333="Yes",X333&lt;&gt;"",X333&lt;S_SemStart),"Path overdue",""),IF(AND(S333&lt;&gt;"",S333&lt;S_Today-365),"Stale research",""),IF(AND(AE333="Research",COUNTIF('Commercial Evidence'!$A$3:$A$502,$A333)=0),"Add commercial evidence","")))</f>
        <v/>
      </c>
      <c r="AI333" s="34" t="str">
        <f aca="false">IF(OR($A333="",Z333="Yes"),"",IF(AND(AE333="Priority",AG333=0,COUNTIFS(Opportunities!$A$3:$A$502,$A333,Opportunities!$Y$3:$Y$502,"Renewal due")=0),600000+(10-AC333)*1000+(4-AD333)*100+ROW()/100000,IF(V333="Yes",700000+IF(X333="",0,X333-40000)/10+ROW()/100000,IF(AND(AE333="Quick Win",U333&lt;&gt;"",AG333=0),800000+(10-AC333)*1000+ROW()/100000,IF(AND(AE333="Build a Path",COUNTIF($V$3:$V$502,"Yes")&lt;S_PathCap),900000+(10-AC333)*1000+(4-AD333)*100+ROW()/100000,"")))))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8"/>
      <c r="T334" s="27"/>
      <c r="U334" s="27"/>
      <c r="V334" s="27"/>
      <c r="W334" s="27"/>
      <c r="X334" s="28"/>
      <c r="Y334" s="27"/>
      <c r="Z334" s="27"/>
      <c r="AA334" s="27"/>
      <c r="AB334" s="32" t="str">
        <f aca="false">IF($A334="","",IF(COUNTIF('Commercial Evidence'!$A$3:$A$502,$A334)=0,"",IF(COUNTIFS('Commercial Evidence'!$A$3:$A$502,$A334,'Commercial Evidence'!$B$3:$B$502,"Previous CBS Talks spend")+COUNTIFS('Commercial Evidence'!$A$3:$A$502,$A334,'Commercial Evidence'!$B$3:$B$502,"Sponsors student organisations")&gt;0,2,IF(COUNTIFS('Commercial Evidence'!$A$3:$A$502,$A334,'Commercial Evidence'!$B$3:$B$502,"Sponsors university activities")+COUNTIFS('Commercial Evidence'!$A$3:$A$502,$A334,'Commercial Evidence'!$B$3:$B$502,"Sponsors similar events")+COUNTIFS('Commercial Evidence'!$A$3:$A$502,$A334,'Commercial Evidence'!$B$3:$B$502,"Previous CBS Talks partner")&gt;0,1,0))))</f>
        <v/>
      </c>
      <c r="AC334" s="32" t="str">
        <f aca="false">IF($A334="","",IF(COUNT(G334,J334,M334,P334,AB334)&lt;5,"",G334+J334+M334+P334+AB334))</f>
        <v/>
      </c>
      <c r="AD334" s="32" t="str">
        <f aca="false">IF($A334="","",IF(COUNTIFS(Contacts!$A$3:$A$502,$A334,Contacts!$E$3:$E$502,"Champion",Contacts!$K$3:$K$502,"&lt;&gt;Yes",Contacts!$L$3:$L$502,"&lt;&gt;Yes")+COUNTIFS(Opportunities!$A$3:$A$502,$A334,Opportunities!$C$3:$C$502,"Won",Opportunities!$Q$3:$Q$502,"Satisfied")&gt;0,4,IF(COUNTIFS(Interactions!$B$3:$B$502,$A334,Interactions!$I$3:$I$502,"Yes",Interactions!$A$3:$A$502,"&gt;="&amp;(S_Today-S_WarmDays))&gt;0,3,IF(T334&lt;&gt;"",2,IF(COUNTIFS(Contacts!$A$3:$A$502,$A334,Contacts!$M$3:$M$502,"Yes",Contacts!$K$3:$K$502,"&lt;&gt;Yes",Contacts!$L$3:$L$502,"&lt;&gt;Yes")&gt;0,1,0)))))</f>
        <v/>
      </c>
      <c r="AE334" s="32" t="str">
        <f aca="false">IF($A334="","",IF(Z334="Yes","Do not contact",IF(AC334="","Research",IF(AND(AC334&gt;=S_FitHigh,AD334&gt;=S_AccessHigh),"Priority",IF(AC334&gt;=S_FitHigh,"Build a Path",IF(AD334&gt;=S_AccessHigh,"Quick Win","Low Priority"))))))</f>
        <v/>
      </c>
      <c r="AF334" s="33" t="str">
        <f aca="false">IF($A334="","",IF(_xlfn.MAXIFS(Interactions!$A$3:$A$502,Interactions!$B$3:$B$502,$A334)=0,"",_xlfn.MAXIFS(Interactions!$A$3:$A$502,Interactions!$B$3:$B$502,$A334)))</f>
        <v/>
      </c>
      <c r="AG334" s="32" t="str">
        <f aca="false">IF($A334="","",COUNTIFS(Opportunities!$A$3:$A$502,$A334,Opportunities!$X$3:$X$502,"Yes"))</f>
        <v/>
      </c>
      <c r="AH334" s="32" t="str">
        <f aca="false">IF($A334="","",_xlfn.TEXTJOIN(", ",TRUE(),IF(COUNTIF($A$3:$A$502,$A334)&gt;1,"Duplicate name",""),IF(OR(AND(G334=2,I334=""),AND(J334=2,L334=""),AND(M334=2,O334=""),AND(P334=2,R334="")),"Source missing for a 2",""),IF(F334="","No owner",IF(COUNTIFS(R_TeamName,F334,R_TeamActive,"No")&gt;0,"Needs new owner","")),IF(AND(V334="Yes",X334&lt;&gt;"",X334&lt;S_SemStart),"Path overdue",""),IF(AND(S334&lt;&gt;"",S334&lt;S_Today-365),"Stale research",""),IF(AND(AE334="Research",COUNTIF('Commercial Evidence'!$A$3:$A$502,$A334)=0),"Add commercial evidence","")))</f>
        <v/>
      </c>
      <c r="AI334" s="34" t="str">
        <f aca="false">IF(OR($A334="",Z334="Yes"),"",IF(AND(AE334="Priority",AG334=0,COUNTIFS(Opportunities!$A$3:$A$502,$A334,Opportunities!$Y$3:$Y$502,"Renewal due")=0),600000+(10-AC334)*1000+(4-AD334)*100+ROW()/100000,IF(V334="Yes",700000+IF(X334="",0,X334-40000)/10+ROW()/100000,IF(AND(AE334="Quick Win",U334&lt;&gt;"",AG334=0),800000+(10-AC334)*1000+ROW()/100000,IF(AND(AE334="Build a Path",COUNTIF($V$3:$V$502,"Yes")&lt;S_PathCap),900000+(10-AC334)*1000+(4-AD334)*100+ROW()/100000,"")))))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8"/>
      <c r="T335" s="27"/>
      <c r="U335" s="27"/>
      <c r="V335" s="27"/>
      <c r="W335" s="27"/>
      <c r="X335" s="28"/>
      <c r="Y335" s="27"/>
      <c r="Z335" s="27"/>
      <c r="AA335" s="27"/>
      <c r="AB335" s="32" t="str">
        <f aca="false">IF($A335="","",IF(COUNTIF('Commercial Evidence'!$A$3:$A$502,$A335)=0,"",IF(COUNTIFS('Commercial Evidence'!$A$3:$A$502,$A335,'Commercial Evidence'!$B$3:$B$502,"Previous CBS Talks spend")+COUNTIFS('Commercial Evidence'!$A$3:$A$502,$A335,'Commercial Evidence'!$B$3:$B$502,"Sponsors student organisations")&gt;0,2,IF(COUNTIFS('Commercial Evidence'!$A$3:$A$502,$A335,'Commercial Evidence'!$B$3:$B$502,"Sponsors university activities")+COUNTIFS('Commercial Evidence'!$A$3:$A$502,$A335,'Commercial Evidence'!$B$3:$B$502,"Sponsors similar events")+COUNTIFS('Commercial Evidence'!$A$3:$A$502,$A335,'Commercial Evidence'!$B$3:$B$502,"Previous CBS Talks partner")&gt;0,1,0))))</f>
        <v/>
      </c>
      <c r="AC335" s="32" t="str">
        <f aca="false">IF($A335="","",IF(COUNT(G335,J335,M335,P335,AB335)&lt;5,"",G335+J335+M335+P335+AB335))</f>
        <v/>
      </c>
      <c r="AD335" s="32" t="str">
        <f aca="false">IF($A335="","",IF(COUNTIFS(Contacts!$A$3:$A$502,$A335,Contacts!$E$3:$E$502,"Champion",Contacts!$K$3:$K$502,"&lt;&gt;Yes",Contacts!$L$3:$L$502,"&lt;&gt;Yes")+COUNTIFS(Opportunities!$A$3:$A$502,$A335,Opportunities!$C$3:$C$502,"Won",Opportunities!$Q$3:$Q$502,"Satisfied")&gt;0,4,IF(COUNTIFS(Interactions!$B$3:$B$502,$A335,Interactions!$I$3:$I$502,"Yes",Interactions!$A$3:$A$502,"&gt;="&amp;(S_Today-S_WarmDays))&gt;0,3,IF(T335&lt;&gt;"",2,IF(COUNTIFS(Contacts!$A$3:$A$502,$A335,Contacts!$M$3:$M$502,"Yes",Contacts!$K$3:$K$502,"&lt;&gt;Yes",Contacts!$L$3:$L$502,"&lt;&gt;Yes")&gt;0,1,0)))))</f>
        <v/>
      </c>
      <c r="AE335" s="32" t="str">
        <f aca="false">IF($A335="","",IF(Z335="Yes","Do not contact",IF(AC335="","Research",IF(AND(AC335&gt;=S_FitHigh,AD335&gt;=S_AccessHigh),"Priority",IF(AC335&gt;=S_FitHigh,"Build a Path",IF(AD335&gt;=S_AccessHigh,"Quick Win","Low Priority"))))))</f>
        <v/>
      </c>
      <c r="AF335" s="33" t="str">
        <f aca="false">IF($A335="","",IF(_xlfn.MAXIFS(Interactions!$A$3:$A$502,Interactions!$B$3:$B$502,$A335)=0,"",_xlfn.MAXIFS(Interactions!$A$3:$A$502,Interactions!$B$3:$B$502,$A335)))</f>
        <v/>
      </c>
      <c r="AG335" s="32" t="str">
        <f aca="false">IF($A335="","",COUNTIFS(Opportunities!$A$3:$A$502,$A335,Opportunities!$X$3:$X$502,"Yes"))</f>
        <v/>
      </c>
      <c r="AH335" s="32" t="str">
        <f aca="false">IF($A335="","",_xlfn.TEXTJOIN(", ",TRUE(),IF(COUNTIF($A$3:$A$502,$A335)&gt;1,"Duplicate name",""),IF(OR(AND(G335=2,I335=""),AND(J335=2,L335=""),AND(M335=2,O335=""),AND(P335=2,R335="")),"Source missing for a 2",""),IF(F335="","No owner",IF(COUNTIFS(R_TeamName,F335,R_TeamActive,"No")&gt;0,"Needs new owner","")),IF(AND(V335="Yes",X335&lt;&gt;"",X335&lt;S_SemStart),"Path overdue",""),IF(AND(S335&lt;&gt;"",S335&lt;S_Today-365),"Stale research",""),IF(AND(AE335="Research",COUNTIF('Commercial Evidence'!$A$3:$A$502,$A335)=0),"Add commercial evidence","")))</f>
        <v/>
      </c>
      <c r="AI335" s="34" t="str">
        <f aca="false">IF(OR($A335="",Z335="Yes"),"",IF(AND(AE335="Priority",AG335=0,COUNTIFS(Opportunities!$A$3:$A$502,$A335,Opportunities!$Y$3:$Y$502,"Renewal due")=0),600000+(10-AC335)*1000+(4-AD335)*100+ROW()/100000,IF(V335="Yes",700000+IF(X335="",0,X335-40000)/10+ROW()/100000,IF(AND(AE335="Quick Win",U335&lt;&gt;"",AG335=0),800000+(10-AC335)*1000+ROW()/100000,IF(AND(AE335="Build a Path",COUNTIF($V$3:$V$502,"Yes")&lt;S_PathCap),900000+(10-AC335)*1000+(4-AD335)*100+ROW()/100000,"")))))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8"/>
      <c r="T336" s="27"/>
      <c r="U336" s="27"/>
      <c r="V336" s="27"/>
      <c r="W336" s="27"/>
      <c r="X336" s="28"/>
      <c r="Y336" s="27"/>
      <c r="Z336" s="27"/>
      <c r="AA336" s="27"/>
      <c r="AB336" s="32" t="str">
        <f aca="false">IF($A336="","",IF(COUNTIF('Commercial Evidence'!$A$3:$A$502,$A336)=0,"",IF(COUNTIFS('Commercial Evidence'!$A$3:$A$502,$A336,'Commercial Evidence'!$B$3:$B$502,"Previous CBS Talks spend")+COUNTIFS('Commercial Evidence'!$A$3:$A$502,$A336,'Commercial Evidence'!$B$3:$B$502,"Sponsors student organisations")&gt;0,2,IF(COUNTIFS('Commercial Evidence'!$A$3:$A$502,$A336,'Commercial Evidence'!$B$3:$B$502,"Sponsors university activities")+COUNTIFS('Commercial Evidence'!$A$3:$A$502,$A336,'Commercial Evidence'!$B$3:$B$502,"Sponsors similar events")+COUNTIFS('Commercial Evidence'!$A$3:$A$502,$A336,'Commercial Evidence'!$B$3:$B$502,"Previous CBS Talks partner")&gt;0,1,0))))</f>
        <v/>
      </c>
      <c r="AC336" s="32" t="str">
        <f aca="false">IF($A336="","",IF(COUNT(G336,J336,M336,P336,AB336)&lt;5,"",G336+J336+M336+P336+AB336))</f>
        <v/>
      </c>
      <c r="AD336" s="32" t="str">
        <f aca="false">IF($A336="","",IF(COUNTIFS(Contacts!$A$3:$A$502,$A336,Contacts!$E$3:$E$502,"Champion",Contacts!$K$3:$K$502,"&lt;&gt;Yes",Contacts!$L$3:$L$502,"&lt;&gt;Yes")+COUNTIFS(Opportunities!$A$3:$A$502,$A336,Opportunities!$C$3:$C$502,"Won",Opportunities!$Q$3:$Q$502,"Satisfied")&gt;0,4,IF(COUNTIFS(Interactions!$B$3:$B$502,$A336,Interactions!$I$3:$I$502,"Yes",Interactions!$A$3:$A$502,"&gt;="&amp;(S_Today-S_WarmDays))&gt;0,3,IF(T336&lt;&gt;"",2,IF(COUNTIFS(Contacts!$A$3:$A$502,$A336,Contacts!$M$3:$M$502,"Yes",Contacts!$K$3:$K$502,"&lt;&gt;Yes",Contacts!$L$3:$L$502,"&lt;&gt;Yes")&gt;0,1,0)))))</f>
        <v/>
      </c>
      <c r="AE336" s="32" t="str">
        <f aca="false">IF($A336="","",IF(Z336="Yes","Do not contact",IF(AC336="","Research",IF(AND(AC336&gt;=S_FitHigh,AD336&gt;=S_AccessHigh),"Priority",IF(AC336&gt;=S_FitHigh,"Build a Path",IF(AD336&gt;=S_AccessHigh,"Quick Win","Low Priority"))))))</f>
        <v/>
      </c>
      <c r="AF336" s="33" t="str">
        <f aca="false">IF($A336="","",IF(_xlfn.MAXIFS(Interactions!$A$3:$A$502,Interactions!$B$3:$B$502,$A336)=0,"",_xlfn.MAXIFS(Interactions!$A$3:$A$502,Interactions!$B$3:$B$502,$A336)))</f>
        <v/>
      </c>
      <c r="AG336" s="32" t="str">
        <f aca="false">IF($A336="","",COUNTIFS(Opportunities!$A$3:$A$502,$A336,Opportunities!$X$3:$X$502,"Yes"))</f>
        <v/>
      </c>
      <c r="AH336" s="32" t="str">
        <f aca="false">IF($A336="","",_xlfn.TEXTJOIN(", ",TRUE(),IF(COUNTIF($A$3:$A$502,$A336)&gt;1,"Duplicate name",""),IF(OR(AND(G336=2,I336=""),AND(J336=2,L336=""),AND(M336=2,O336=""),AND(P336=2,R336="")),"Source missing for a 2",""),IF(F336="","No owner",IF(COUNTIFS(R_TeamName,F336,R_TeamActive,"No")&gt;0,"Needs new owner","")),IF(AND(V336="Yes",X336&lt;&gt;"",X336&lt;S_SemStart),"Path overdue",""),IF(AND(S336&lt;&gt;"",S336&lt;S_Today-365),"Stale research",""),IF(AND(AE336="Research",COUNTIF('Commercial Evidence'!$A$3:$A$502,$A336)=0),"Add commercial evidence","")))</f>
        <v/>
      </c>
      <c r="AI336" s="34" t="str">
        <f aca="false">IF(OR($A336="",Z336="Yes"),"",IF(AND(AE336="Priority",AG336=0,COUNTIFS(Opportunities!$A$3:$A$502,$A336,Opportunities!$Y$3:$Y$502,"Renewal due")=0),600000+(10-AC336)*1000+(4-AD336)*100+ROW()/100000,IF(V336="Yes",700000+IF(X336="",0,X336-40000)/10+ROW()/100000,IF(AND(AE336="Quick Win",U336&lt;&gt;"",AG336=0),800000+(10-AC336)*1000+ROW()/100000,IF(AND(AE336="Build a Path",COUNTIF($V$3:$V$502,"Yes")&lt;S_PathCap),900000+(10-AC336)*1000+(4-AD336)*100+ROW()/100000,"")))))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8"/>
      <c r="T337" s="27"/>
      <c r="U337" s="27"/>
      <c r="V337" s="27"/>
      <c r="W337" s="27"/>
      <c r="X337" s="28"/>
      <c r="Y337" s="27"/>
      <c r="Z337" s="27"/>
      <c r="AA337" s="27"/>
      <c r="AB337" s="32" t="str">
        <f aca="false">IF($A337="","",IF(COUNTIF('Commercial Evidence'!$A$3:$A$502,$A337)=0,"",IF(COUNTIFS('Commercial Evidence'!$A$3:$A$502,$A337,'Commercial Evidence'!$B$3:$B$502,"Previous CBS Talks spend")+COUNTIFS('Commercial Evidence'!$A$3:$A$502,$A337,'Commercial Evidence'!$B$3:$B$502,"Sponsors student organisations")&gt;0,2,IF(COUNTIFS('Commercial Evidence'!$A$3:$A$502,$A337,'Commercial Evidence'!$B$3:$B$502,"Sponsors university activities")+COUNTIFS('Commercial Evidence'!$A$3:$A$502,$A337,'Commercial Evidence'!$B$3:$B$502,"Sponsors similar events")+COUNTIFS('Commercial Evidence'!$A$3:$A$502,$A337,'Commercial Evidence'!$B$3:$B$502,"Previous CBS Talks partner")&gt;0,1,0))))</f>
        <v/>
      </c>
      <c r="AC337" s="32" t="str">
        <f aca="false">IF($A337="","",IF(COUNT(G337,J337,M337,P337,AB337)&lt;5,"",G337+J337+M337+P337+AB337))</f>
        <v/>
      </c>
      <c r="AD337" s="32" t="str">
        <f aca="false">IF($A337="","",IF(COUNTIFS(Contacts!$A$3:$A$502,$A337,Contacts!$E$3:$E$502,"Champion",Contacts!$K$3:$K$502,"&lt;&gt;Yes",Contacts!$L$3:$L$502,"&lt;&gt;Yes")+COUNTIFS(Opportunities!$A$3:$A$502,$A337,Opportunities!$C$3:$C$502,"Won",Opportunities!$Q$3:$Q$502,"Satisfied")&gt;0,4,IF(COUNTIFS(Interactions!$B$3:$B$502,$A337,Interactions!$I$3:$I$502,"Yes",Interactions!$A$3:$A$502,"&gt;="&amp;(S_Today-S_WarmDays))&gt;0,3,IF(T337&lt;&gt;"",2,IF(COUNTIFS(Contacts!$A$3:$A$502,$A337,Contacts!$M$3:$M$502,"Yes",Contacts!$K$3:$K$502,"&lt;&gt;Yes",Contacts!$L$3:$L$502,"&lt;&gt;Yes")&gt;0,1,0)))))</f>
        <v/>
      </c>
      <c r="AE337" s="32" t="str">
        <f aca="false">IF($A337="","",IF(Z337="Yes","Do not contact",IF(AC337="","Research",IF(AND(AC337&gt;=S_FitHigh,AD337&gt;=S_AccessHigh),"Priority",IF(AC337&gt;=S_FitHigh,"Build a Path",IF(AD337&gt;=S_AccessHigh,"Quick Win","Low Priority"))))))</f>
        <v/>
      </c>
      <c r="AF337" s="33" t="str">
        <f aca="false">IF($A337="","",IF(_xlfn.MAXIFS(Interactions!$A$3:$A$502,Interactions!$B$3:$B$502,$A337)=0,"",_xlfn.MAXIFS(Interactions!$A$3:$A$502,Interactions!$B$3:$B$502,$A337)))</f>
        <v/>
      </c>
      <c r="AG337" s="32" t="str">
        <f aca="false">IF($A337="","",COUNTIFS(Opportunities!$A$3:$A$502,$A337,Opportunities!$X$3:$X$502,"Yes"))</f>
        <v/>
      </c>
      <c r="AH337" s="32" t="str">
        <f aca="false">IF($A337="","",_xlfn.TEXTJOIN(", ",TRUE(),IF(COUNTIF($A$3:$A$502,$A337)&gt;1,"Duplicate name",""),IF(OR(AND(G337=2,I337=""),AND(J337=2,L337=""),AND(M337=2,O337=""),AND(P337=2,R337="")),"Source missing for a 2",""),IF(F337="","No owner",IF(COUNTIFS(R_TeamName,F337,R_TeamActive,"No")&gt;0,"Needs new owner","")),IF(AND(V337="Yes",X337&lt;&gt;"",X337&lt;S_SemStart),"Path overdue",""),IF(AND(S337&lt;&gt;"",S337&lt;S_Today-365),"Stale research",""),IF(AND(AE337="Research",COUNTIF('Commercial Evidence'!$A$3:$A$502,$A337)=0),"Add commercial evidence","")))</f>
        <v/>
      </c>
      <c r="AI337" s="34" t="str">
        <f aca="false">IF(OR($A337="",Z337="Yes"),"",IF(AND(AE337="Priority",AG337=0,COUNTIFS(Opportunities!$A$3:$A$502,$A337,Opportunities!$Y$3:$Y$502,"Renewal due")=0),600000+(10-AC337)*1000+(4-AD337)*100+ROW()/100000,IF(V337="Yes",700000+IF(X337="",0,X337-40000)/10+ROW()/100000,IF(AND(AE337="Quick Win",U337&lt;&gt;"",AG337=0),800000+(10-AC337)*1000+ROW()/100000,IF(AND(AE337="Build a Path",COUNTIF($V$3:$V$502,"Yes")&lt;S_PathCap),900000+(10-AC337)*1000+(4-AD337)*100+ROW()/100000,"")))))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8"/>
      <c r="T338" s="27"/>
      <c r="U338" s="27"/>
      <c r="V338" s="27"/>
      <c r="W338" s="27"/>
      <c r="X338" s="28"/>
      <c r="Y338" s="27"/>
      <c r="Z338" s="27"/>
      <c r="AA338" s="27"/>
      <c r="AB338" s="32" t="str">
        <f aca="false">IF($A338="","",IF(COUNTIF('Commercial Evidence'!$A$3:$A$502,$A338)=0,"",IF(COUNTIFS('Commercial Evidence'!$A$3:$A$502,$A338,'Commercial Evidence'!$B$3:$B$502,"Previous CBS Talks spend")+COUNTIFS('Commercial Evidence'!$A$3:$A$502,$A338,'Commercial Evidence'!$B$3:$B$502,"Sponsors student organisations")&gt;0,2,IF(COUNTIFS('Commercial Evidence'!$A$3:$A$502,$A338,'Commercial Evidence'!$B$3:$B$502,"Sponsors university activities")+COUNTIFS('Commercial Evidence'!$A$3:$A$502,$A338,'Commercial Evidence'!$B$3:$B$502,"Sponsors similar events")+COUNTIFS('Commercial Evidence'!$A$3:$A$502,$A338,'Commercial Evidence'!$B$3:$B$502,"Previous CBS Talks partner")&gt;0,1,0))))</f>
        <v/>
      </c>
      <c r="AC338" s="32" t="str">
        <f aca="false">IF($A338="","",IF(COUNT(G338,J338,M338,P338,AB338)&lt;5,"",G338+J338+M338+P338+AB338))</f>
        <v/>
      </c>
      <c r="AD338" s="32" t="str">
        <f aca="false">IF($A338="","",IF(COUNTIFS(Contacts!$A$3:$A$502,$A338,Contacts!$E$3:$E$502,"Champion",Contacts!$K$3:$K$502,"&lt;&gt;Yes",Contacts!$L$3:$L$502,"&lt;&gt;Yes")+COUNTIFS(Opportunities!$A$3:$A$502,$A338,Opportunities!$C$3:$C$502,"Won",Opportunities!$Q$3:$Q$502,"Satisfied")&gt;0,4,IF(COUNTIFS(Interactions!$B$3:$B$502,$A338,Interactions!$I$3:$I$502,"Yes",Interactions!$A$3:$A$502,"&gt;="&amp;(S_Today-S_WarmDays))&gt;0,3,IF(T338&lt;&gt;"",2,IF(COUNTIFS(Contacts!$A$3:$A$502,$A338,Contacts!$M$3:$M$502,"Yes",Contacts!$K$3:$K$502,"&lt;&gt;Yes",Contacts!$L$3:$L$502,"&lt;&gt;Yes")&gt;0,1,0)))))</f>
        <v/>
      </c>
      <c r="AE338" s="32" t="str">
        <f aca="false">IF($A338="","",IF(Z338="Yes","Do not contact",IF(AC338="","Research",IF(AND(AC338&gt;=S_FitHigh,AD338&gt;=S_AccessHigh),"Priority",IF(AC338&gt;=S_FitHigh,"Build a Path",IF(AD338&gt;=S_AccessHigh,"Quick Win","Low Priority"))))))</f>
        <v/>
      </c>
      <c r="AF338" s="33" t="str">
        <f aca="false">IF($A338="","",IF(_xlfn.MAXIFS(Interactions!$A$3:$A$502,Interactions!$B$3:$B$502,$A338)=0,"",_xlfn.MAXIFS(Interactions!$A$3:$A$502,Interactions!$B$3:$B$502,$A338)))</f>
        <v/>
      </c>
      <c r="AG338" s="32" t="str">
        <f aca="false">IF($A338="","",COUNTIFS(Opportunities!$A$3:$A$502,$A338,Opportunities!$X$3:$X$502,"Yes"))</f>
        <v/>
      </c>
      <c r="AH338" s="32" t="str">
        <f aca="false">IF($A338="","",_xlfn.TEXTJOIN(", ",TRUE(),IF(COUNTIF($A$3:$A$502,$A338)&gt;1,"Duplicate name",""),IF(OR(AND(G338=2,I338=""),AND(J338=2,L338=""),AND(M338=2,O338=""),AND(P338=2,R338="")),"Source missing for a 2",""),IF(F338="","No owner",IF(COUNTIFS(R_TeamName,F338,R_TeamActive,"No")&gt;0,"Needs new owner","")),IF(AND(V338="Yes",X338&lt;&gt;"",X338&lt;S_SemStart),"Path overdue",""),IF(AND(S338&lt;&gt;"",S338&lt;S_Today-365),"Stale research",""),IF(AND(AE338="Research",COUNTIF('Commercial Evidence'!$A$3:$A$502,$A338)=0),"Add commercial evidence","")))</f>
        <v/>
      </c>
      <c r="AI338" s="34" t="str">
        <f aca="false">IF(OR($A338="",Z338="Yes"),"",IF(AND(AE338="Priority",AG338=0,COUNTIFS(Opportunities!$A$3:$A$502,$A338,Opportunities!$Y$3:$Y$502,"Renewal due")=0),600000+(10-AC338)*1000+(4-AD338)*100+ROW()/100000,IF(V338="Yes",700000+IF(X338="",0,X338-40000)/10+ROW()/100000,IF(AND(AE338="Quick Win",U338&lt;&gt;"",AG338=0),800000+(10-AC338)*1000+ROW()/100000,IF(AND(AE338="Build a Path",COUNTIF($V$3:$V$502,"Yes")&lt;S_PathCap),900000+(10-AC338)*1000+(4-AD338)*100+ROW()/100000,"")))))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8"/>
      <c r="T339" s="27"/>
      <c r="U339" s="27"/>
      <c r="V339" s="27"/>
      <c r="W339" s="27"/>
      <c r="X339" s="28"/>
      <c r="Y339" s="27"/>
      <c r="Z339" s="27"/>
      <c r="AA339" s="27"/>
      <c r="AB339" s="32" t="str">
        <f aca="false">IF($A339="","",IF(COUNTIF('Commercial Evidence'!$A$3:$A$502,$A339)=0,"",IF(COUNTIFS('Commercial Evidence'!$A$3:$A$502,$A339,'Commercial Evidence'!$B$3:$B$502,"Previous CBS Talks spend")+COUNTIFS('Commercial Evidence'!$A$3:$A$502,$A339,'Commercial Evidence'!$B$3:$B$502,"Sponsors student organisations")&gt;0,2,IF(COUNTIFS('Commercial Evidence'!$A$3:$A$502,$A339,'Commercial Evidence'!$B$3:$B$502,"Sponsors university activities")+COUNTIFS('Commercial Evidence'!$A$3:$A$502,$A339,'Commercial Evidence'!$B$3:$B$502,"Sponsors similar events")+COUNTIFS('Commercial Evidence'!$A$3:$A$502,$A339,'Commercial Evidence'!$B$3:$B$502,"Previous CBS Talks partner")&gt;0,1,0))))</f>
        <v/>
      </c>
      <c r="AC339" s="32" t="str">
        <f aca="false">IF($A339="","",IF(COUNT(G339,J339,M339,P339,AB339)&lt;5,"",G339+J339+M339+P339+AB339))</f>
        <v/>
      </c>
      <c r="AD339" s="32" t="str">
        <f aca="false">IF($A339="","",IF(COUNTIFS(Contacts!$A$3:$A$502,$A339,Contacts!$E$3:$E$502,"Champion",Contacts!$K$3:$K$502,"&lt;&gt;Yes",Contacts!$L$3:$L$502,"&lt;&gt;Yes")+COUNTIFS(Opportunities!$A$3:$A$502,$A339,Opportunities!$C$3:$C$502,"Won",Opportunities!$Q$3:$Q$502,"Satisfied")&gt;0,4,IF(COUNTIFS(Interactions!$B$3:$B$502,$A339,Interactions!$I$3:$I$502,"Yes",Interactions!$A$3:$A$502,"&gt;="&amp;(S_Today-S_WarmDays))&gt;0,3,IF(T339&lt;&gt;"",2,IF(COUNTIFS(Contacts!$A$3:$A$502,$A339,Contacts!$M$3:$M$502,"Yes",Contacts!$K$3:$K$502,"&lt;&gt;Yes",Contacts!$L$3:$L$502,"&lt;&gt;Yes")&gt;0,1,0)))))</f>
        <v/>
      </c>
      <c r="AE339" s="32" t="str">
        <f aca="false">IF($A339="","",IF(Z339="Yes","Do not contact",IF(AC339="","Research",IF(AND(AC339&gt;=S_FitHigh,AD339&gt;=S_AccessHigh),"Priority",IF(AC339&gt;=S_FitHigh,"Build a Path",IF(AD339&gt;=S_AccessHigh,"Quick Win","Low Priority"))))))</f>
        <v/>
      </c>
      <c r="AF339" s="33" t="str">
        <f aca="false">IF($A339="","",IF(_xlfn.MAXIFS(Interactions!$A$3:$A$502,Interactions!$B$3:$B$502,$A339)=0,"",_xlfn.MAXIFS(Interactions!$A$3:$A$502,Interactions!$B$3:$B$502,$A339)))</f>
        <v/>
      </c>
      <c r="AG339" s="32" t="str">
        <f aca="false">IF($A339="","",COUNTIFS(Opportunities!$A$3:$A$502,$A339,Opportunities!$X$3:$X$502,"Yes"))</f>
        <v/>
      </c>
      <c r="AH339" s="32" t="str">
        <f aca="false">IF($A339="","",_xlfn.TEXTJOIN(", ",TRUE(),IF(COUNTIF($A$3:$A$502,$A339)&gt;1,"Duplicate name",""),IF(OR(AND(G339=2,I339=""),AND(J339=2,L339=""),AND(M339=2,O339=""),AND(P339=2,R339="")),"Source missing for a 2",""),IF(F339="","No owner",IF(COUNTIFS(R_TeamName,F339,R_TeamActive,"No")&gt;0,"Needs new owner","")),IF(AND(V339="Yes",X339&lt;&gt;"",X339&lt;S_SemStart),"Path overdue",""),IF(AND(S339&lt;&gt;"",S339&lt;S_Today-365),"Stale research",""),IF(AND(AE339="Research",COUNTIF('Commercial Evidence'!$A$3:$A$502,$A339)=0),"Add commercial evidence","")))</f>
        <v/>
      </c>
      <c r="AI339" s="34" t="str">
        <f aca="false">IF(OR($A339="",Z339="Yes"),"",IF(AND(AE339="Priority",AG339=0,COUNTIFS(Opportunities!$A$3:$A$502,$A339,Opportunities!$Y$3:$Y$502,"Renewal due")=0),600000+(10-AC339)*1000+(4-AD339)*100+ROW()/100000,IF(V339="Yes",700000+IF(X339="",0,X339-40000)/10+ROW()/100000,IF(AND(AE339="Quick Win",U339&lt;&gt;"",AG339=0),800000+(10-AC339)*1000+ROW()/100000,IF(AND(AE339="Build a Path",COUNTIF($V$3:$V$502,"Yes")&lt;S_PathCap),900000+(10-AC339)*1000+(4-AD339)*100+ROW()/100000,"")))))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8"/>
      <c r="T340" s="27"/>
      <c r="U340" s="27"/>
      <c r="V340" s="27"/>
      <c r="W340" s="27"/>
      <c r="X340" s="28"/>
      <c r="Y340" s="27"/>
      <c r="Z340" s="27"/>
      <c r="AA340" s="27"/>
      <c r="AB340" s="32" t="str">
        <f aca="false">IF($A340="","",IF(COUNTIF('Commercial Evidence'!$A$3:$A$502,$A340)=0,"",IF(COUNTIFS('Commercial Evidence'!$A$3:$A$502,$A340,'Commercial Evidence'!$B$3:$B$502,"Previous CBS Talks spend")+COUNTIFS('Commercial Evidence'!$A$3:$A$502,$A340,'Commercial Evidence'!$B$3:$B$502,"Sponsors student organisations")&gt;0,2,IF(COUNTIFS('Commercial Evidence'!$A$3:$A$502,$A340,'Commercial Evidence'!$B$3:$B$502,"Sponsors university activities")+COUNTIFS('Commercial Evidence'!$A$3:$A$502,$A340,'Commercial Evidence'!$B$3:$B$502,"Sponsors similar events")+COUNTIFS('Commercial Evidence'!$A$3:$A$502,$A340,'Commercial Evidence'!$B$3:$B$502,"Previous CBS Talks partner")&gt;0,1,0))))</f>
        <v/>
      </c>
      <c r="AC340" s="32" t="str">
        <f aca="false">IF($A340="","",IF(COUNT(G340,J340,M340,P340,AB340)&lt;5,"",G340+J340+M340+P340+AB340))</f>
        <v/>
      </c>
      <c r="AD340" s="32" t="str">
        <f aca="false">IF($A340="","",IF(COUNTIFS(Contacts!$A$3:$A$502,$A340,Contacts!$E$3:$E$502,"Champion",Contacts!$K$3:$K$502,"&lt;&gt;Yes",Contacts!$L$3:$L$502,"&lt;&gt;Yes")+COUNTIFS(Opportunities!$A$3:$A$502,$A340,Opportunities!$C$3:$C$502,"Won",Opportunities!$Q$3:$Q$502,"Satisfied")&gt;0,4,IF(COUNTIFS(Interactions!$B$3:$B$502,$A340,Interactions!$I$3:$I$502,"Yes",Interactions!$A$3:$A$502,"&gt;="&amp;(S_Today-S_WarmDays))&gt;0,3,IF(T340&lt;&gt;"",2,IF(COUNTIFS(Contacts!$A$3:$A$502,$A340,Contacts!$M$3:$M$502,"Yes",Contacts!$K$3:$K$502,"&lt;&gt;Yes",Contacts!$L$3:$L$502,"&lt;&gt;Yes")&gt;0,1,0)))))</f>
        <v/>
      </c>
      <c r="AE340" s="32" t="str">
        <f aca="false">IF($A340="","",IF(Z340="Yes","Do not contact",IF(AC340="","Research",IF(AND(AC340&gt;=S_FitHigh,AD340&gt;=S_AccessHigh),"Priority",IF(AC340&gt;=S_FitHigh,"Build a Path",IF(AD340&gt;=S_AccessHigh,"Quick Win","Low Priority"))))))</f>
        <v/>
      </c>
      <c r="AF340" s="33" t="str">
        <f aca="false">IF($A340="","",IF(_xlfn.MAXIFS(Interactions!$A$3:$A$502,Interactions!$B$3:$B$502,$A340)=0,"",_xlfn.MAXIFS(Interactions!$A$3:$A$502,Interactions!$B$3:$B$502,$A340)))</f>
        <v/>
      </c>
      <c r="AG340" s="32" t="str">
        <f aca="false">IF($A340="","",COUNTIFS(Opportunities!$A$3:$A$502,$A340,Opportunities!$X$3:$X$502,"Yes"))</f>
        <v/>
      </c>
      <c r="AH340" s="32" t="str">
        <f aca="false">IF($A340="","",_xlfn.TEXTJOIN(", ",TRUE(),IF(COUNTIF($A$3:$A$502,$A340)&gt;1,"Duplicate name",""),IF(OR(AND(G340=2,I340=""),AND(J340=2,L340=""),AND(M340=2,O340=""),AND(P340=2,R340="")),"Source missing for a 2",""),IF(F340="","No owner",IF(COUNTIFS(R_TeamName,F340,R_TeamActive,"No")&gt;0,"Needs new owner","")),IF(AND(V340="Yes",X340&lt;&gt;"",X340&lt;S_SemStart),"Path overdue",""),IF(AND(S340&lt;&gt;"",S340&lt;S_Today-365),"Stale research",""),IF(AND(AE340="Research",COUNTIF('Commercial Evidence'!$A$3:$A$502,$A340)=0),"Add commercial evidence","")))</f>
        <v/>
      </c>
      <c r="AI340" s="34" t="str">
        <f aca="false">IF(OR($A340="",Z340="Yes"),"",IF(AND(AE340="Priority",AG340=0,COUNTIFS(Opportunities!$A$3:$A$502,$A340,Opportunities!$Y$3:$Y$502,"Renewal due")=0),600000+(10-AC340)*1000+(4-AD340)*100+ROW()/100000,IF(V340="Yes",700000+IF(X340="",0,X340-40000)/10+ROW()/100000,IF(AND(AE340="Quick Win",U340&lt;&gt;"",AG340=0),800000+(10-AC340)*1000+ROW()/100000,IF(AND(AE340="Build a Path",COUNTIF($V$3:$V$502,"Yes")&lt;S_PathCap),900000+(10-AC340)*1000+(4-AD340)*100+ROW()/100000,"")))))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8"/>
      <c r="T341" s="27"/>
      <c r="U341" s="27"/>
      <c r="V341" s="27"/>
      <c r="W341" s="27"/>
      <c r="X341" s="28"/>
      <c r="Y341" s="27"/>
      <c r="Z341" s="27"/>
      <c r="AA341" s="27"/>
      <c r="AB341" s="32" t="str">
        <f aca="false">IF($A341="","",IF(COUNTIF('Commercial Evidence'!$A$3:$A$502,$A341)=0,"",IF(COUNTIFS('Commercial Evidence'!$A$3:$A$502,$A341,'Commercial Evidence'!$B$3:$B$502,"Previous CBS Talks spend")+COUNTIFS('Commercial Evidence'!$A$3:$A$502,$A341,'Commercial Evidence'!$B$3:$B$502,"Sponsors student organisations")&gt;0,2,IF(COUNTIFS('Commercial Evidence'!$A$3:$A$502,$A341,'Commercial Evidence'!$B$3:$B$502,"Sponsors university activities")+COUNTIFS('Commercial Evidence'!$A$3:$A$502,$A341,'Commercial Evidence'!$B$3:$B$502,"Sponsors similar events")+COUNTIFS('Commercial Evidence'!$A$3:$A$502,$A341,'Commercial Evidence'!$B$3:$B$502,"Previous CBS Talks partner")&gt;0,1,0))))</f>
        <v/>
      </c>
      <c r="AC341" s="32" t="str">
        <f aca="false">IF($A341="","",IF(COUNT(G341,J341,M341,P341,AB341)&lt;5,"",G341+J341+M341+P341+AB341))</f>
        <v/>
      </c>
      <c r="AD341" s="32" t="str">
        <f aca="false">IF($A341="","",IF(COUNTIFS(Contacts!$A$3:$A$502,$A341,Contacts!$E$3:$E$502,"Champion",Contacts!$K$3:$K$502,"&lt;&gt;Yes",Contacts!$L$3:$L$502,"&lt;&gt;Yes")+COUNTIFS(Opportunities!$A$3:$A$502,$A341,Opportunities!$C$3:$C$502,"Won",Opportunities!$Q$3:$Q$502,"Satisfied")&gt;0,4,IF(COUNTIFS(Interactions!$B$3:$B$502,$A341,Interactions!$I$3:$I$502,"Yes",Interactions!$A$3:$A$502,"&gt;="&amp;(S_Today-S_WarmDays))&gt;0,3,IF(T341&lt;&gt;"",2,IF(COUNTIFS(Contacts!$A$3:$A$502,$A341,Contacts!$M$3:$M$502,"Yes",Contacts!$K$3:$K$502,"&lt;&gt;Yes",Contacts!$L$3:$L$502,"&lt;&gt;Yes")&gt;0,1,0)))))</f>
        <v/>
      </c>
      <c r="AE341" s="32" t="str">
        <f aca="false">IF($A341="","",IF(Z341="Yes","Do not contact",IF(AC341="","Research",IF(AND(AC341&gt;=S_FitHigh,AD341&gt;=S_AccessHigh),"Priority",IF(AC341&gt;=S_FitHigh,"Build a Path",IF(AD341&gt;=S_AccessHigh,"Quick Win","Low Priority"))))))</f>
        <v/>
      </c>
      <c r="AF341" s="33" t="str">
        <f aca="false">IF($A341="","",IF(_xlfn.MAXIFS(Interactions!$A$3:$A$502,Interactions!$B$3:$B$502,$A341)=0,"",_xlfn.MAXIFS(Interactions!$A$3:$A$502,Interactions!$B$3:$B$502,$A341)))</f>
        <v/>
      </c>
      <c r="AG341" s="32" t="str">
        <f aca="false">IF($A341="","",COUNTIFS(Opportunities!$A$3:$A$502,$A341,Opportunities!$X$3:$X$502,"Yes"))</f>
        <v/>
      </c>
      <c r="AH341" s="32" t="str">
        <f aca="false">IF($A341="","",_xlfn.TEXTJOIN(", ",TRUE(),IF(COUNTIF($A$3:$A$502,$A341)&gt;1,"Duplicate name",""),IF(OR(AND(G341=2,I341=""),AND(J341=2,L341=""),AND(M341=2,O341=""),AND(P341=2,R341="")),"Source missing for a 2",""),IF(F341="","No owner",IF(COUNTIFS(R_TeamName,F341,R_TeamActive,"No")&gt;0,"Needs new owner","")),IF(AND(V341="Yes",X341&lt;&gt;"",X341&lt;S_SemStart),"Path overdue",""),IF(AND(S341&lt;&gt;"",S341&lt;S_Today-365),"Stale research",""),IF(AND(AE341="Research",COUNTIF('Commercial Evidence'!$A$3:$A$502,$A341)=0),"Add commercial evidence","")))</f>
        <v/>
      </c>
      <c r="AI341" s="34" t="str">
        <f aca="false">IF(OR($A341="",Z341="Yes"),"",IF(AND(AE341="Priority",AG341=0,COUNTIFS(Opportunities!$A$3:$A$502,$A341,Opportunities!$Y$3:$Y$502,"Renewal due")=0),600000+(10-AC341)*1000+(4-AD341)*100+ROW()/100000,IF(V341="Yes",700000+IF(X341="",0,X341-40000)/10+ROW()/100000,IF(AND(AE341="Quick Win",U341&lt;&gt;"",AG341=0),800000+(10-AC341)*1000+ROW()/100000,IF(AND(AE341="Build a Path",COUNTIF($V$3:$V$502,"Yes")&lt;S_PathCap),900000+(10-AC341)*1000+(4-AD341)*100+ROW()/100000,"")))))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8"/>
      <c r="T342" s="27"/>
      <c r="U342" s="27"/>
      <c r="V342" s="27"/>
      <c r="W342" s="27"/>
      <c r="X342" s="28"/>
      <c r="Y342" s="27"/>
      <c r="Z342" s="27"/>
      <c r="AA342" s="27"/>
      <c r="AB342" s="32" t="str">
        <f aca="false">IF($A342="","",IF(COUNTIF('Commercial Evidence'!$A$3:$A$502,$A342)=0,"",IF(COUNTIFS('Commercial Evidence'!$A$3:$A$502,$A342,'Commercial Evidence'!$B$3:$B$502,"Previous CBS Talks spend")+COUNTIFS('Commercial Evidence'!$A$3:$A$502,$A342,'Commercial Evidence'!$B$3:$B$502,"Sponsors student organisations")&gt;0,2,IF(COUNTIFS('Commercial Evidence'!$A$3:$A$502,$A342,'Commercial Evidence'!$B$3:$B$502,"Sponsors university activities")+COUNTIFS('Commercial Evidence'!$A$3:$A$502,$A342,'Commercial Evidence'!$B$3:$B$502,"Sponsors similar events")+COUNTIFS('Commercial Evidence'!$A$3:$A$502,$A342,'Commercial Evidence'!$B$3:$B$502,"Previous CBS Talks partner")&gt;0,1,0))))</f>
        <v/>
      </c>
      <c r="AC342" s="32" t="str">
        <f aca="false">IF($A342="","",IF(COUNT(G342,J342,M342,P342,AB342)&lt;5,"",G342+J342+M342+P342+AB342))</f>
        <v/>
      </c>
      <c r="AD342" s="32" t="str">
        <f aca="false">IF($A342="","",IF(COUNTIFS(Contacts!$A$3:$A$502,$A342,Contacts!$E$3:$E$502,"Champion",Contacts!$K$3:$K$502,"&lt;&gt;Yes",Contacts!$L$3:$L$502,"&lt;&gt;Yes")+COUNTIFS(Opportunities!$A$3:$A$502,$A342,Opportunities!$C$3:$C$502,"Won",Opportunities!$Q$3:$Q$502,"Satisfied")&gt;0,4,IF(COUNTIFS(Interactions!$B$3:$B$502,$A342,Interactions!$I$3:$I$502,"Yes",Interactions!$A$3:$A$502,"&gt;="&amp;(S_Today-S_WarmDays))&gt;0,3,IF(T342&lt;&gt;"",2,IF(COUNTIFS(Contacts!$A$3:$A$502,$A342,Contacts!$M$3:$M$502,"Yes",Contacts!$K$3:$K$502,"&lt;&gt;Yes",Contacts!$L$3:$L$502,"&lt;&gt;Yes")&gt;0,1,0)))))</f>
        <v/>
      </c>
      <c r="AE342" s="32" t="str">
        <f aca="false">IF($A342="","",IF(Z342="Yes","Do not contact",IF(AC342="","Research",IF(AND(AC342&gt;=S_FitHigh,AD342&gt;=S_AccessHigh),"Priority",IF(AC342&gt;=S_FitHigh,"Build a Path",IF(AD342&gt;=S_AccessHigh,"Quick Win","Low Priority"))))))</f>
        <v/>
      </c>
      <c r="AF342" s="33" t="str">
        <f aca="false">IF($A342="","",IF(_xlfn.MAXIFS(Interactions!$A$3:$A$502,Interactions!$B$3:$B$502,$A342)=0,"",_xlfn.MAXIFS(Interactions!$A$3:$A$502,Interactions!$B$3:$B$502,$A342)))</f>
        <v/>
      </c>
      <c r="AG342" s="32" t="str">
        <f aca="false">IF($A342="","",COUNTIFS(Opportunities!$A$3:$A$502,$A342,Opportunities!$X$3:$X$502,"Yes"))</f>
        <v/>
      </c>
      <c r="AH342" s="32" t="str">
        <f aca="false">IF($A342="","",_xlfn.TEXTJOIN(", ",TRUE(),IF(COUNTIF($A$3:$A$502,$A342)&gt;1,"Duplicate name",""),IF(OR(AND(G342=2,I342=""),AND(J342=2,L342=""),AND(M342=2,O342=""),AND(P342=2,R342="")),"Source missing for a 2",""),IF(F342="","No owner",IF(COUNTIFS(R_TeamName,F342,R_TeamActive,"No")&gt;0,"Needs new owner","")),IF(AND(V342="Yes",X342&lt;&gt;"",X342&lt;S_SemStart),"Path overdue",""),IF(AND(S342&lt;&gt;"",S342&lt;S_Today-365),"Stale research",""),IF(AND(AE342="Research",COUNTIF('Commercial Evidence'!$A$3:$A$502,$A342)=0),"Add commercial evidence","")))</f>
        <v/>
      </c>
      <c r="AI342" s="34" t="str">
        <f aca="false">IF(OR($A342="",Z342="Yes"),"",IF(AND(AE342="Priority",AG342=0,COUNTIFS(Opportunities!$A$3:$A$502,$A342,Opportunities!$Y$3:$Y$502,"Renewal due")=0),600000+(10-AC342)*1000+(4-AD342)*100+ROW()/100000,IF(V342="Yes",700000+IF(X342="",0,X342-40000)/10+ROW()/100000,IF(AND(AE342="Quick Win",U342&lt;&gt;"",AG342=0),800000+(10-AC342)*1000+ROW()/100000,IF(AND(AE342="Build a Path",COUNTIF($V$3:$V$502,"Yes")&lt;S_PathCap),900000+(10-AC342)*1000+(4-AD342)*100+ROW()/100000,"")))))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8"/>
      <c r="T343" s="27"/>
      <c r="U343" s="27"/>
      <c r="V343" s="27"/>
      <c r="W343" s="27"/>
      <c r="X343" s="28"/>
      <c r="Y343" s="27"/>
      <c r="Z343" s="27"/>
      <c r="AA343" s="27"/>
      <c r="AB343" s="32" t="str">
        <f aca="false">IF($A343="","",IF(COUNTIF('Commercial Evidence'!$A$3:$A$502,$A343)=0,"",IF(COUNTIFS('Commercial Evidence'!$A$3:$A$502,$A343,'Commercial Evidence'!$B$3:$B$502,"Previous CBS Talks spend")+COUNTIFS('Commercial Evidence'!$A$3:$A$502,$A343,'Commercial Evidence'!$B$3:$B$502,"Sponsors student organisations")&gt;0,2,IF(COUNTIFS('Commercial Evidence'!$A$3:$A$502,$A343,'Commercial Evidence'!$B$3:$B$502,"Sponsors university activities")+COUNTIFS('Commercial Evidence'!$A$3:$A$502,$A343,'Commercial Evidence'!$B$3:$B$502,"Sponsors similar events")+COUNTIFS('Commercial Evidence'!$A$3:$A$502,$A343,'Commercial Evidence'!$B$3:$B$502,"Previous CBS Talks partner")&gt;0,1,0))))</f>
        <v/>
      </c>
      <c r="AC343" s="32" t="str">
        <f aca="false">IF($A343="","",IF(COUNT(G343,J343,M343,P343,AB343)&lt;5,"",G343+J343+M343+P343+AB343))</f>
        <v/>
      </c>
      <c r="AD343" s="32" t="str">
        <f aca="false">IF($A343="","",IF(COUNTIFS(Contacts!$A$3:$A$502,$A343,Contacts!$E$3:$E$502,"Champion",Contacts!$K$3:$K$502,"&lt;&gt;Yes",Contacts!$L$3:$L$502,"&lt;&gt;Yes")+COUNTIFS(Opportunities!$A$3:$A$502,$A343,Opportunities!$C$3:$C$502,"Won",Opportunities!$Q$3:$Q$502,"Satisfied")&gt;0,4,IF(COUNTIFS(Interactions!$B$3:$B$502,$A343,Interactions!$I$3:$I$502,"Yes",Interactions!$A$3:$A$502,"&gt;="&amp;(S_Today-S_WarmDays))&gt;0,3,IF(T343&lt;&gt;"",2,IF(COUNTIFS(Contacts!$A$3:$A$502,$A343,Contacts!$M$3:$M$502,"Yes",Contacts!$K$3:$K$502,"&lt;&gt;Yes",Contacts!$L$3:$L$502,"&lt;&gt;Yes")&gt;0,1,0)))))</f>
        <v/>
      </c>
      <c r="AE343" s="32" t="str">
        <f aca="false">IF($A343="","",IF(Z343="Yes","Do not contact",IF(AC343="","Research",IF(AND(AC343&gt;=S_FitHigh,AD343&gt;=S_AccessHigh),"Priority",IF(AC343&gt;=S_FitHigh,"Build a Path",IF(AD343&gt;=S_AccessHigh,"Quick Win","Low Priority"))))))</f>
        <v/>
      </c>
      <c r="AF343" s="33" t="str">
        <f aca="false">IF($A343="","",IF(_xlfn.MAXIFS(Interactions!$A$3:$A$502,Interactions!$B$3:$B$502,$A343)=0,"",_xlfn.MAXIFS(Interactions!$A$3:$A$502,Interactions!$B$3:$B$502,$A343)))</f>
        <v/>
      </c>
      <c r="AG343" s="32" t="str">
        <f aca="false">IF($A343="","",COUNTIFS(Opportunities!$A$3:$A$502,$A343,Opportunities!$X$3:$X$502,"Yes"))</f>
        <v/>
      </c>
      <c r="AH343" s="32" t="str">
        <f aca="false">IF($A343="","",_xlfn.TEXTJOIN(", ",TRUE(),IF(COUNTIF($A$3:$A$502,$A343)&gt;1,"Duplicate name",""),IF(OR(AND(G343=2,I343=""),AND(J343=2,L343=""),AND(M343=2,O343=""),AND(P343=2,R343="")),"Source missing for a 2",""),IF(F343="","No owner",IF(COUNTIFS(R_TeamName,F343,R_TeamActive,"No")&gt;0,"Needs new owner","")),IF(AND(V343="Yes",X343&lt;&gt;"",X343&lt;S_SemStart),"Path overdue",""),IF(AND(S343&lt;&gt;"",S343&lt;S_Today-365),"Stale research",""),IF(AND(AE343="Research",COUNTIF('Commercial Evidence'!$A$3:$A$502,$A343)=0),"Add commercial evidence","")))</f>
        <v/>
      </c>
      <c r="AI343" s="34" t="str">
        <f aca="false">IF(OR($A343="",Z343="Yes"),"",IF(AND(AE343="Priority",AG343=0,COUNTIFS(Opportunities!$A$3:$A$502,$A343,Opportunities!$Y$3:$Y$502,"Renewal due")=0),600000+(10-AC343)*1000+(4-AD343)*100+ROW()/100000,IF(V343="Yes",700000+IF(X343="",0,X343-40000)/10+ROW()/100000,IF(AND(AE343="Quick Win",U343&lt;&gt;"",AG343=0),800000+(10-AC343)*1000+ROW()/100000,IF(AND(AE343="Build a Path",COUNTIF($V$3:$V$502,"Yes")&lt;S_PathCap),900000+(10-AC343)*1000+(4-AD343)*100+ROW()/100000,"")))))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8"/>
      <c r="T344" s="27"/>
      <c r="U344" s="27"/>
      <c r="V344" s="27"/>
      <c r="W344" s="27"/>
      <c r="X344" s="28"/>
      <c r="Y344" s="27"/>
      <c r="Z344" s="27"/>
      <c r="AA344" s="27"/>
      <c r="AB344" s="32" t="str">
        <f aca="false">IF($A344="","",IF(COUNTIF('Commercial Evidence'!$A$3:$A$502,$A344)=0,"",IF(COUNTIFS('Commercial Evidence'!$A$3:$A$502,$A344,'Commercial Evidence'!$B$3:$B$502,"Previous CBS Talks spend")+COUNTIFS('Commercial Evidence'!$A$3:$A$502,$A344,'Commercial Evidence'!$B$3:$B$502,"Sponsors student organisations")&gt;0,2,IF(COUNTIFS('Commercial Evidence'!$A$3:$A$502,$A344,'Commercial Evidence'!$B$3:$B$502,"Sponsors university activities")+COUNTIFS('Commercial Evidence'!$A$3:$A$502,$A344,'Commercial Evidence'!$B$3:$B$502,"Sponsors similar events")+COUNTIFS('Commercial Evidence'!$A$3:$A$502,$A344,'Commercial Evidence'!$B$3:$B$502,"Previous CBS Talks partner")&gt;0,1,0))))</f>
        <v/>
      </c>
      <c r="AC344" s="32" t="str">
        <f aca="false">IF($A344="","",IF(COUNT(G344,J344,M344,P344,AB344)&lt;5,"",G344+J344+M344+P344+AB344))</f>
        <v/>
      </c>
      <c r="AD344" s="32" t="str">
        <f aca="false">IF($A344="","",IF(COUNTIFS(Contacts!$A$3:$A$502,$A344,Contacts!$E$3:$E$502,"Champion",Contacts!$K$3:$K$502,"&lt;&gt;Yes",Contacts!$L$3:$L$502,"&lt;&gt;Yes")+COUNTIFS(Opportunities!$A$3:$A$502,$A344,Opportunities!$C$3:$C$502,"Won",Opportunities!$Q$3:$Q$502,"Satisfied")&gt;0,4,IF(COUNTIFS(Interactions!$B$3:$B$502,$A344,Interactions!$I$3:$I$502,"Yes",Interactions!$A$3:$A$502,"&gt;="&amp;(S_Today-S_WarmDays))&gt;0,3,IF(T344&lt;&gt;"",2,IF(COUNTIFS(Contacts!$A$3:$A$502,$A344,Contacts!$M$3:$M$502,"Yes",Contacts!$K$3:$K$502,"&lt;&gt;Yes",Contacts!$L$3:$L$502,"&lt;&gt;Yes")&gt;0,1,0)))))</f>
        <v/>
      </c>
      <c r="AE344" s="32" t="str">
        <f aca="false">IF($A344="","",IF(Z344="Yes","Do not contact",IF(AC344="","Research",IF(AND(AC344&gt;=S_FitHigh,AD344&gt;=S_AccessHigh),"Priority",IF(AC344&gt;=S_FitHigh,"Build a Path",IF(AD344&gt;=S_AccessHigh,"Quick Win","Low Priority"))))))</f>
        <v/>
      </c>
      <c r="AF344" s="33" t="str">
        <f aca="false">IF($A344="","",IF(_xlfn.MAXIFS(Interactions!$A$3:$A$502,Interactions!$B$3:$B$502,$A344)=0,"",_xlfn.MAXIFS(Interactions!$A$3:$A$502,Interactions!$B$3:$B$502,$A344)))</f>
        <v/>
      </c>
      <c r="AG344" s="32" t="str">
        <f aca="false">IF($A344="","",COUNTIFS(Opportunities!$A$3:$A$502,$A344,Opportunities!$X$3:$X$502,"Yes"))</f>
        <v/>
      </c>
      <c r="AH344" s="32" t="str">
        <f aca="false">IF($A344="","",_xlfn.TEXTJOIN(", ",TRUE(),IF(COUNTIF($A$3:$A$502,$A344)&gt;1,"Duplicate name",""),IF(OR(AND(G344=2,I344=""),AND(J344=2,L344=""),AND(M344=2,O344=""),AND(P344=2,R344="")),"Source missing for a 2",""),IF(F344="","No owner",IF(COUNTIFS(R_TeamName,F344,R_TeamActive,"No")&gt;0,"Needs new owner","")),IF(AND(V344="Yes",X344&lt;&gt;"",X344&lt;S_SemStart),"Path overdue",""),IF(AND(S344&lt;&gt;"",S344&lt;S_Today-365),"Stale research",""),IF(AND(AE344="Research",COUNTIF('Commercial Evidence'!$A$3:$A$502,$A344)=0),"Add commercial evidence","")))</f>
        <v/>
      </c>
      <c r="AI344" s="34" t="str">
        <f aca="false">IF(OR($A344="",Z344="Yes"),"",IF(AND(AE344="Priority",AG344=0,COUNTIFS(Opportunities!$A$3:$A$502,$A344,Opportunities!$Y$3:$Y$502,"Renewal due")=0),600000+(10-AC344)*1000+(4-AD344)*100+ROW()/100000,IF(V344="Yes",700000+IF(X344="",0,X344-40000)/10+ROW()/100000,IF(AND(AE344="Quick Win",U344&lt;&gt;"",AG344=0),800000+(10-AC344)*1000+ROW()/100000,IF(AND(AE344="Build a Path",COUNTIF($V$3:$V$502,"Yes")&lt;S_PathCap),900000+(10-AC344)*1000+(4-AD344)*100+ROW()/100000,"")))))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8"/>
      <c r="T345" s="27"/>
      <c r="U345" s="27"/>
      <c r="V345" s="27"/>
      <c r="W345" s="27"/>
      <c r="X345" s="28"/>
      <c r="Y345" s="27"/>
      <c r="Z345" s="27"/>
      <c r="AA345" s="27"/>
      <c r="AB345" s="32" t="str">
        <f aca="false">IF($A345="","",IF(COUNTIF('Commercial Evidence'!$A$3:$A$502,$A345)=0,"",IF(COUNTIFS('Commercial Evidence'!$A$3:$A$502,$A345,'Commercial Evidence'!$B$3:$B$502,"Previous CBS Talks spend")+COUNTIFS('Commercial Evidence'!$A$3:$A$502,$A345,'Commercial Evidence'!$B$3:$B$502,"Sponsors student organisations")&gt;0,2,IF(COUNTIFS('Commercial Evidence'!$A$3:$A$502,$A345,'Commercial Evidence'!$B$3:$B$502,"Sponsors university activities")+COUNTIFS('Commercial Evidence'!$A$3:$A$502,$A345,'Commercial Evidence'!$B$3:$B$502,"Sponsors similar events")+COUNTIFS('Commercial Evidence'!$A$3:$A$502,$A345,'Commercial Evidence'!$B$3:$B$502,"Previous CBS Talks partner")&gt;0,1,0))))</f>
        <v/>
      </c>
      <c r="AC345" s="32" t="str">
        <f aca="false">IF($A345="","",IF(COUNT(G345,J345,M345,P345,AB345)&lt;5,"",G345+J345+M345+P345+AB345))</f>
        <v/>
      </c>
      <c r="AD345" s="32" t="str">
        <f aca="false">IF($A345="","",IF(COUNTIFS(Contacts!$A$3:$A$502,$A345,Contacts!$E$3:$E$502,"Champion",Contacts!$K$3:$K$502,"&lt;&gt;Yes",Contacts!$L$3:$L$502,"&lt;&gt;Yes")+COUNTIFS(Opportunities!$A$3:$A$502,$A345,Opportunities!$C$3:$C$502,"Won",Opportunities!$Q$3:$Q$502,"Satisfied")&gt;0,4,IF(COUNTIFS(Interactions!$B$3:$B$502,$A345,Interactions!$I$3:$I$502,"Yes",Interactions!$A$3:$A$502,"&gt;="&amp;(S_Today-S_WarmDays))&gt;0,3,IF(T345&lt;&gt;"",2,IF(COUNTIFS(Contacts!$A$3:$A$502,$A345,Contacts!$M$3:$M$502,"Yes",Contacts!$K$3:$K$502,"&lt;&gt;Yes",Contacts!$L$3:$L$502,"&lt;&gt;Yes")&gt;0,1,0)))))</f>
        <v/>
      </c>
      <c r="AE345" s="32" t="str">
        <f aca="false">IF($A345="","",IF(Z345="Yes","Do not contact",IF(AC345="","Research",IF(AND(AC345&gt;=S_FitHigh,AD345&gt;=S_AccessHigh),"Priority",IF(AC345&gt;=S_FitHigh,"Build a Path",IF(AD345&gt;=S_AccessHigh,"Quick Win","Low Priority"))))))</f>
        <v/>
      </c>
      <c r="AF345" s="33" t="str">
        <f aca="false">IF($A345="","",IF(_xlfn.MAXIFS(Interactions!$A$3:$A$502,Interactions!$B$3:$B$502,$A345)=0,"",_xlfn.MAXIFS(Interactions!$A$3:$A$502,Interactions!$B$3:$B$502,$A345)))</f>
        <v/>
      </c>
      <c r="AG345" s="32" t="str">
        <f aca="false">IF($A345="","",COUNTIFS(Opportunities!$A$3:$A$502,$A345,Opportunities!$X$3:$X$502,"Yes"))</f>
        <v/>
      </c>
      <c r="AH345" s="32" t="str">
        <f aca="false">IF($A345="","",_xlfn.TEXTJOIN(", ",TRUE(),IF(COUNTIF($A$3:$A$502,$A345)&gt;1,"Duplicate name",""),IF(OR(AND(G345=2,I345=""),AND(J345=2,L345=""),AND(M345=2,O345=""),AND(P345=2,R345="")),"Source missing for a 2",""),IF(F345="","No owner",IF(COUNTIFS(R_TeamName,F345,R_TeamActive,"No")&gt;0,"Needs new owner","")),IF(AND(V345="Yes",X345&lt;&gt;"",X345&lt;S_SemStart),"Path overdue",""),IF(AND(S345&lt;&gt;"",S345&lt;S_Today-365),"Stale research",""),IF(AND(AE345="Research",COUNTIF('Commercial Evidence'!$A$3:$A$502,$A345)=0),"Add commercial evidence","")))</f>
        <v/>
      </c>
      <c r="AI345" s="34" t="str">
        <f aca="false">IF(OR($A345="",Z345="Yes"),"",IF(AND(AE345="Priority",AG345=0,COUNTIFS(Opportunities!$A$3:$A$502,$A345,Opportunities!$Y$3:$Y$502,"Renewal due")=0),600000+(10-AC345)*1000+(4-AD345)*100+ROW()/100000,IF(V345="Yes",700000+IF(X345="",0,X345-40000)/10+ROW()/100000,IF(AND(AE345="Quick Win",U345&lt;&gt;"",AG345=0),800000+(10-AC345)*1000+ROW()/100000,IF(AND(AE345="Build a Path",COUNTIF($V$3:$V$502,"Yes")&lt;S_PathCap),900000+(10-AC345)*1000+(4-AD345)*100+ROW()/100000,"")))))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8"/>
      <c r="T346" s="27"/>
      <c r="U346" s="27"/>
      <c r="V346" s="27"/>
      <c r="W346" s="27"/>
      <c r="X346" s="28"/>
      <c r="Y346" s="27"/>
      <c r="Z346" s="27"/>
      <c r="AA346" s="27"/>
      <c r="AB346" s="32" t="str">
        <f aca="false">IF($A346="","",IF(COUNTIF('Commercial Evidence'!$A$3:$A$502,$A346)=0,"",IF(COUNTIFS('Commercial Evidence'!$A$3:$A$502,$A346,'Commercial Evidence'!$B$3:$B$502,"Previous CBS Talks spend")+COUNTIFS('Commercial Evidence'!$A$3:$A$502,$A346,'Commercial Evidence'!$B$3:$B$502,"Sponsors student organisations")&gt;0,2,IF(COUNTIFS('Commercial Evidence'!$A$3:$A$502,$A346,'Commercial Evidence'!$B$3:$B$502,"Sponsors university activities")+COUNTIFS('Commercial Evidence'!$A$3:$A$502,$A346,'Commercial Evidence'!$B$3:$B$502,"Sponsors similar events")+COUNTIFS('Commercial Evidence'!$A$3:$A$502,$A346,'Commercial Evidence'!$B$3:$B$502,"Previous CBS Talks partner")&gt;0,1,0))))</f>
        <v/>
      </c>
      <c r="AC346" s="32" t="str">
        <f aca="false">IF($A346="","",IF(COUNT(G346,J346,M346,P346,AB346)&lt;5,"",G346+J346+M346+P346+AB346))</f>
        <v/>
      </c>
      <c r="AD346" s="32" t="str">
        <f aca="false">IF($A346="","",IF(COUNTIFS(Contacts!$A$3:$A$502,$A346,Contacts!$E$3:$E$502,"Champion",Contacts!$K$3:$K$502,"&lt;&gt;Yes",Contacts!$L$3:$L$502,"&lt;&gt;Yes")+COUNTIFS(Opportunities!$A$3:$A$502,$A346,Opportunities!$C$3:$C$502,"Won",Opportunities!$Q$3:$Q$502,"Satisfied")&gt;0,4,IF(COUNTIFS(Interactions!$B$3:$B$502,$A346,Interactions!$I$3:$I$502,"Yes",Interactions!$A$3:$A$502,"&gt;="&amp;(S_Today-S_WarmDays))&gt;0,3,IF(T346&lt;&gt;"",2,IF(COUNTIFS(Contacts!$A$3:$A$502,$A346,Contacts!$M$3:$M$502,"Yes",Contacts!$K$3:$K$502,"&lt;&gt;Yes",Contacts!$L$3:$L$502,"&lt;&gt;Yes")&gt;0,1,0)))))</f>
        <v/>
      </c>
      <c r="AE346" s="32" t="str">
        <f aca="false">IF($A346="","",IF(Z346="Yes","Do not contact",IF(AC346="","Research",IF(AND(AC346&gt;=S_FitHigh,AD346&gt;=S_AccessHigh),"Priority",IF(AC346&gt;=S_FitHigh,"Build a Path",IF(AD346&gt;=S_AccessHigh,"Quick Win","Low Priority"))))))</f>
        <v/>
      </c>
      <c r="AF346" s="33" t="str">
        <f aca="false">IF($A346="","",IF(_xlfn.MAXIFS(Interactions!$A$3:$A$502,Interactions!$B$3:$B$502,$A346)=0,"",_xlfn.MAXIFS(Interactions!$A$3:$A$502,Interactions!$B$3:$B$502,$A346)))</f>
        <v/>
      </c>
      <c r="AG346" s="32" t="str">
        <f aca="false">IF($A346="","",COUNTIFS(Opportunities!$A$3:$A$502,$A346,Opportunities!$X$3:$X$502,"Yes"))</f>
        <v/>
      </c>
      <c r="AH346" s="32" t="str">
        <f aca="false">IF($A346="","",_xlfn.TEXTJOIN(", ",TRUE(),IF(COUNTIF($A$3:$A$502,$A346)&gt;1,"Duplicate name",""),IF(OR(AND(G346=2,I346=""),AND(J346=2,L346=""),AND(M346=2,O346=""),AND(P346=2,R346="")),"Source missing for a 2",""),IF(F346="","No owner",IF(COUNTIFS(R_TeamName,F346,R_TeamActive,"No")&gt;0,"Needs new owner","")),IF(AND(V346="Yes",X346&lt;&gt;"",X346&lt;S_SemStart),"Path overdue",""),IF(AND(S346&lt;&gt;"",S346&lt;S_Today-365),"Stale research",""),IF(AND(AE346="Research",COUNTIF('Commercial Evidence'!$A$3:$A$502,$A346)=0),"Add commercial evidence","")))</f>
        <v/>
      </c>
      <c r="AI346" s="34" t="str">
        <f aca="false">IF(OR($A346="",Z346="Yes"),"",IF(AND(AE346="Priority",AG346=0,COUNTIFS(Opportunities!$A$3:$A$502,$A346,Opportunities!$Y$3:$Y$502,"Renewal due")=0),600000+(10-AC346)*1000+(4-AD346)*100+ROW()/100000,IF(V346="Yes",700000+IF(X346="",0,X346-40000)/10+ROW()/100000,IF(AND(AE346="Quick Win",U346&lt;&gt;"",AG346=0),800000+(10-AC346)*1000+ROW()/100000,IF(AND(AE346="Build a Path",COUNTIF($V$3:$V$502,"Yes")&lt;S_PathCap),900000+(10-AC346)*1000+(4-AD346)*100+ROW()/100000,"")))))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8"/>
      <c r="T347" s="27"/>
      <c r="U347" s="27"/>
      <c r="V347" s="27"/>
      <c r="W347" s="27"/>
      <c r="X347" s="28"/>
      <c r="Y347" s="27"/>
      <c r="Z347" s="27"/>
      <c r="AA347" s="27"/>
      <c r="AB347" s="32" t="str">
        <f aca="false">IF($A347="","",IF(COUNTIF('Commercial Evidence'!$A$3:$A$502,$A347)=0,"",IF(COUNTIFS('Commercial Evidence'!$A$3:$A$502,$A347,'Commercial Evidence'!$B$3:$B$502,"Previous CBS Talks spend")+COUNTIFS('Commercial Evidence'!$A$3:$A$502,$A347,'Commercial Evidence'!$B$3:$B$502,"Sponsors student organisations")&gt;0,2,IF(COUNTIFS('Commercial Evidence'!$A$3:$A$502,$A347,'Commercial Evidence'!$B$3:$B$502,"Sponsors university activities")+COUNTIFS('Commercial Evidence'!$A$3:$A$502,$A347,'Commercial Evidence'!$B$3:$B$502,"Sponsors similar events")+COUNTIFS('Commercial Evidence'!$A$3:$A$502,$A347,'Commercial Evidence'!$B$3:$B$502,"Previous CBS Talks partner")&gt;0,1,0))))</f>
        <v/>
      </c>
      <c r="AC347" s="32" t="str">
        <f aca="false">IF($A347="","",IF(COUNT(G347,J347,M347,P347,AB347)&lt;5,"",G347+J347+M347+P347+AB347))</f>
        <v/>
      </c>
      <c r="AD347" s="32" t="str">
        <f aca="false">IF($A347="","",IF(COUNTIFS(Contacts!$A$3:$A$502,$A347,Contacts!$E$3:$E$502,"Champion",Contacts!$K$3:$K$502,"&lt;&gt;Yes",Contacts!$L$3:$L$502,"&lt;&gt;Yes")+COUNTIFS(Opportunities!$A$3:$A$502,$A347,Opportunities!$C$3:$C$502,"Won",Opportunities!$Q$3:$Q$502,"Satisfied")&gt;0,4,IF(COUNTIFS(Interactions!$B$3:$B$502,$A347,Interactions!$I$3:$I$502,"Yes",Interactions!$A$3:$A$502,"&gt;="&amp;(S_Today-S_WarmDays))&gt;0,3,IF(T347&lt;&gt;"",2,IF(COUNTIFS(Contacts!$A$3:$A$502,$A347,Contacts!$M$3:$M$502,"Yes",Contacts!$K$3:$K$502,"&lt;&gt;Yes",Contacts!$L$3:$L$502,"&lt;&gt;Yes")&gt;0,1,0)))))</f>
        <v/>
      </c>
      <c r="AE347" s="32" t="str">
        <f aca="false">IF($A347="","",IF(Z347="Yes","Do not contact",IF(AC347="","Research",IF(AND(AC347&gt;=S_FitHigh,AD347&gt;=S_AccessHigh),"Priority",IF(AC347&gt;=S_FitHigh,"Build a Path",IF(AD347&gt;=S_AccessHigh,"Quick Win","Low Priority"))))))</f>
        <v/>
      </c>
      <c r="AF347" s="33" t="str">
        <f aca="false">IF($A347="","",IF(_xlfn.MAXIFS(Interactions!$A$3:$A$502,Interactions!$B$3:$B$502,$A347)=0,"",_xlfn.MAXIFS(Interactions!$A$3:$A$502,Interactions!$B$3:$B$502,$A347)))</f>
        <v/>
      </c>
      <c r="AG347" s="32" t="str">
        <f aca="false">IF($A347="","",COUNTIFS(Opportunities!$A$3:$A$502,$A347,Opportunities!$X$3:$X$502,"Yes"))</f>
        <v/>
      </c>
      <c r="AH347" s="32" t="str">
        <f aca="false">IF($A347="","",_xlfn.TEXTJOIN(", ",TRUE(),IF(COUNTIF($A$3:$A$502,$A347)&gt;1,"Duplicate name",""),IF(OR(AND(G347=2,I347=""),AND(J347=2,L347=""),AND(M347=2,O347=""),AND(P347=2,R347="")),"Source missing for a 2",""),IF(F347="","No owner",IF(COUNTIFS(R_TeamName,F347,R_TeamActive,"No")&gt;0,"Needs new owner","")),IF(AND(V347="Yes",X347&lt;&gt;"",X347&lt;S_SemStart),"Path overdue",""),IF(AND(S347&lt;&gt;"",S347&lt;S_Today-365),"Stale research",""),IF(AND(AE347="Research",COUNTIF('Commercial Evidence'!$A$3:$A$502,$A347)=0),"Add commercial evidence","")))</f>
        <v/>
      </c>
      <c r="AI347" s="34" t="str">
        <f aca="false">IF(OR($A347="",Z347="Yes"),"",IF(AND(AE347="Priority",AG347=0,COUNTIFS(Opportunities!$A$3:$A$502,$A347,Opportunities!$Y$3:$Y$502,"Renewal due")=0),600000+(10-AC347)*1000+(4-AD347)*100+ROW()/100000,IF(V347="Yes",700000+IF(X347="",0,X347-40000)/10+ROW()/100000,IF(AND(AE347="Quick Win",U347&lt;&gt;"",AG347=0),800000+(10-AC347)*1000+ROW()/100000,IF(AND(AE347="Build a Path",COUNTIF($V$3:$V$502,"Yes")&lt;S_PathCap),900000+(10-AC347)*1000+(4-AD347)*100+ROW()/100000,"")))))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8"/>
      <c r="T348" s="27"/>
      <c r="U348" s="27"/>
      <c r="V348" s="27"/>
      <c r="W348" s="27"/>
      <c r="X348" s="28"/>
      <c r="Y348" s="27"/>
      <c r="Z348" s="27"/>
      <c r="AA348" s="27"/>
      <c r="AB348" s="32" t="str">
        <f aca="false">IF($A348="","",IF(COUNTIF('Commercial Evidence'!$A$3:$A$502,$A348)=0,"",IF(COUNTIFS('Commercial Evidence'!$A$3:$A$502,$A348,'Commercial Evidence'!$B$3:$B$502,"Previous CBS Talks spend")+COUNTIFS('Commercial Evidence'!$A$3:$A$502,$A348,'Commercial Evidence'!$B$3:$B$502,"Sponsors student organisations")&gt;0,2,IF(COUNTIFS('Commercial Evidence'!$A$3:$A$502,$A348,'Commercial Evidence'!$B$3:$B$502,"Sponsors university activities")+COUNTIFS('Commercial Evidence'!$A$3:$A$502,$A348,'Commercial Evidence'!$B$3:$B$502,"Sponsors similar events")+COUNTIFS('Commercial Evidence'!$A$3:$A$502,$A348,'Commercial Evidence'!$B$3:$B$502,"Previous CBS Talks partner")&gt;0,1,0))))</f>
        <v/>
      </c>
      <c r="AC348" s="32" t="str">
        <f aca="false">IF($A348="","",IF(COUNT(G348,J348,M348,P348,AB348)&lt;5,"",G348+J348+M348+P348+AB348))</f>
        <v/>
      </c>
      <c r="AD348" s="32" t="str">
        <f aca="false">IF($A348="","",IF(COUNTIFS(Contacts!$A$3:$A$502,$A348,Contacts!$E$3:$E$502,"Champion",Contacts!$K$3:$K$502,"&lt;&gt;Yes",Contacts!$L$3:$L$502,"&lt;&gt;Yes")+COUNTIFS(Opportunities!$A$3:$A$502,$A348,Opportunities!$C$3:$C$502,"Won",Opportunities!$Q$3:$Q$502,"Satisfied")&gt;0,4,IF(COUNTIFS(Interactions!$B$3:$B$502,$A348,Interactions!$I$3:$I$502,"Yes",Interactions!$A$3:$A$502,"&gt;="&amp;(S_Today-S_WarmDays))&gt;0,3,IF(T348&lt;&gt;"",2,IF(COUNTIFS(Contacts!$A$3:$A$502,$A348,Contacts!$M$3:$M$502,"Yes",Contacts!$K$3:$K$502,"&lt;&gt;Yes",Contacts!$L$3:$L$502,"&lt;&gt;Yes")&gt;0,1,0)))))</f>
        <v/>
      </c>
      <c r="AE348" s="32" t="str">
        <f aca="false">IF($A348="","",IF(Z348="Yes","Do not contact",IF(AC348="","Research",IF(AND(AC348&gt;=S_FitHigh,AD348&gt;=S_AccessHigh),"Priority",IF(AC348&gt;=S_FitHigh,"Build a Path",IF(AD348&gt;=S_AccessHigh,"Quick Win","Low Priority"))))))</f>
        <v/>
      </c>
      <c r="AF348" s="33" t="str">
        <f aca="false">IF($A348="","",IF(_xlfn.MAXIFS(Interactions!$A$3:$A$502,Interactions!$B$3:$B$502,$A348)=0,"",_xlfn.MAXIFS(Interactions!$A$3:$A$502,Interactions!$B$3:$B$502,$A348)))</f>
        <v/>
      </c>
      <c r="AG348" s="32" t="str">
        <f aca="false">IF($A348="","",COUNTIFS(Opportunities!$A$3:$A$502,$A348,Opportunities!$X$3:$X$502,"Yes"))</f>
        <v/>
      </c>
      <c r="AH348" s="32" t="str">
        <f aca="false">IF($A348="","",_xlfn.TEXTJOIN(", ",TRUE(),IF(COUNTIF($A$3:$A$502,$A348)&gt;1,"Duplicate name",""),IF(OR(AND(G348=2,I348=""),AND(J348=2,L348=""),AND(M348=2,O348=""),AND(P348=2,R348="")),"Source missing for a 2",""),IF(F348="","No owner",IF(COUNTIFS(R_TeamName,F348,R_TeamActive,"No")&gt;0,"Needs new owner","")),IF(AND(V348="Yes",X348&lt;&gt;"",X348&lt;S_SemStart),"Path overdue",""),IF(AND(S348&lt;&gt;"",S348&lt;S_Today-365),"Stale research",""),IF(AND(AE348="Research",COUNTIF('Commercial Evidence'!$A$3:$A$502,$A348)=0),"Add commercial evidence","")))</f>
        <v/>
      </c>
      <c r="AI348" s="34" t="str">
        <f aca="false">IF(OR($A348="",Z348="Yes"),"",IF(AND(AE348="Priority",AG348=0,COUNTIFS(Opportunities!$A$3:$A$502,$A348,Opportunities!$Y$3:$Y$502,"Renewal due")=0),600000+(10-AC348)*1000+(4-AD348)*100+ROW()/100000,IF(V348="Yes",700000+IF(X348="",0,X348-40000)/10+ROW()/100000,IF(AND(AE348="Quick Win",U348&lt;&gt;"",AG348=0),800000+(10-AC348)*1000+ROW()/100000,IF(AND(AE348="Build a Path",COUNTIF($V$3:$V$502,"Yes")&lt;S_PathCap),900000+(10-AC348)*1000+(4-AD348)*100+ROW()/100000,"")))))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8"/>
      <c r="T349" s="27"/>
      <c r="U349" s="27"/>
      <c r="V349" s="27"/>
      <c r="W349" s="27"/>
      <c r="X349" s="28"/>
      <c r="Y349" s="27"/>
      <c r="Z349" s="27"/>
      <c r="AA349" s="27"/>
      <c r="AB349" s="32" t="str">
        <f aca="false">IF($A349="","",IF(COUNTIF('Commercial Evidence'!$A$3:$A$502,$A349)=0,"",IF(COUNTIFS('Commercial Evidence'!$A$3:$A$502,$A349,'Commercial Evidence'!$B$3:$B$502,"Previous CBS Talks spend")+COUNTIFS('Commercial Evidence'!$A$3:$A$502,$A349,'Commercial Evidence'!$B$3:$B$502,"Sponsors student organisations")&gt;0,2,IF(COUNTIFS('Commercial Evidence'!$A$3:$A$502,$A349,'Commercial Evidence'!$B$3:$B$502,"Sponsors university activities")+COUNTIFS('Commercial Evidence'!$A$3:$A$502,$A349,'Commercial Evidence'!$B$3:$B$502,"Sponsors similar events")+COUNTIFS('Commercial Evidence'!$A$3:$A$502,$A349,'Commercial Evidence'!$B$3:$B$502,"Previous CBS Talks partner")&gt;0,1,0))))</f>
        <v/>
      </c>
      <c r="AC349" s="32" t="str">
        <f aca="false">IF($A349="","",IF(COUNT(G349,J349,M349,P349,AB349)&lt;5,"",G349+J349+M349+P349+AB349))</f>
        <v/>
      </c>
      <c r="AD349" s="32" t="str">
        <f aca="false">IF($A349="","",IF(COUNTIFS(Contacts!$A$3:$A$502,$A349,Contacts!$E$3:$E$502,"Champion",Contacts!$K$3:$K$502,"&lt;&gt;Yes",Contacts!$L$3:$L$502,"&lt;&gt;Yes")+COUNTIFS(Opportunities!$A$3:$A$502,$A349,Opportunities!$C$3:$C$502,"Won",Opportunities!$Q$3:$Q$502,"Satisfied")&gt;0,4,IF(COUNTIFS(Interactions!$B$3:$B$502,$A349,Interactions!$I$3:$I$502,"Yes",Interactions!$A$3:$A$502,"&gt;="&amp;(S_Today-S_WarmDays))&gt;0,3,IF(T349&lt;&gt;"",2,IF(COUNTIFS(Contacts!$A$3:$A$502,$A349,Contacts!$M$3:$M$502,"Yes",Contacts!$K$3:$K$502,"&lt;&gt;Yes",Contacts!$L$3:$L$502,"&lt;&gt;Yes")&gt;0,1,0)))))</f>
        <v/>
      </c>
      <c r="AE349" s="32" t="str">
        <f aca="false">IF($A349="","",IF(Z349="Yes","Do not contact",IF(AC349="","Research",IF(AND(AC349&gt;=S_FitHigh,AD349&gt;=S_AccessHigh),"Priority",IF(AC349&gt;=S_FitHigh,"Build a Path",IF(AD349&gt;=S_AccessHigh,"Quick Win","Low Priority"))))))</f>
        <v/>
      </c>
      <c r="AF349" s="33" t="str">
        <f aca="false">IF($A349="","",IF(_xlfn.MAXIFS(Interactions!$A$3:$A$502,Interactions!$B$3:$B$502,$A349)=0,"",_xlfn.MAXIFS(Interactions!$A$3:$A$502,Interactions!$B$3:$B$502,$A349)))</f>
        <v/>
      </c>
      <c r="AG349" s="32" t="str">
        <f aca="false">IF($A349="","",COUNTIFS(Opportunities!$A$3:$A$502,$A349,Opportunities!$X$3:$X$502,"Yes"))</f>
        <v/>
      </c>
      <c r="AH349" s="32" t="str">
        <f aca="false">IF($A349="","",_xlfn.TEXTJOIN(", ",TRUE(),IF(COUNTIF($A$3:$A$502,$A349)&gt;1,"Duplicate name",""),IF(OR(AND(G349=2,I349=""),AND(J349=2,L349=""),AND(M349=2,O349=""),AND(P349=2,R349="")),"Source missing for a 2",""),IF(F349="","No owner",IF(COUNTIFS(R_TeamName,F349,R_TeamActive,"No")&gt;0,"Needs new owner","")),IF(AND(V349="Yes",X349&lt;&gt;"",X349&lt;S_SemStart),"Path overdue",""),IF(AND(S349&lt;&gt;"",S349&lt;S_Today-365),"Stale research",""),IF(AND(AE349="Research",COUNTIF('Commercial Evidence'!$A$3:$A$502,$A349)=0),"Add commercial evidence","")))</f>
        <v/>
      </c>
      <c r="AI349" s="34" t="str">
        <f aca="false">IF(OR($A349="",Z349="Yes"),"",IF(AND(AE349="Priority",AG349=0,COUNTIFS(Opportunities!$A$3:$A$502,$A349,Opportunities!$Y$3:$Y$502,"Renewal due")=0),600000+(10-AC349)*1000+(4-AD349)*100+ROW()/100000,IF(V349="Yes",700000+IF(X349="",0,X349-40000)/10+ROW()/100000,IF(AND(AE349="Quick Win",U349&lt;&gt;"",AG349=0),800000+(10-AC349)*1000+ROW()/100000,IF(AND(AE349="Build a Path",COUNTIF($V$3:$V$502,"Yes")&lt;S_PathCap),900000+(10-AC349)*1000+(4-AD349)*100+ROW()/100000,"")))))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8"/>
      <c r="T350" s="27"/>
      <c r="U350" s="27"/>
      <c r="V350" s="27"/>
      <c r="W350" s="27"/>
      <c r="X350" s="28"/>
      <c r="Y350" s="27"/>
      <c r="Z350" s="27"/>
      <c r="AA350" s="27"/>
      <c r="AB350" s="32" t="str">
        <f aca="false">IF($A350="","",IF(COUNTIF('Commercial Evidence'!$A$3:$A$502,$A350)=0,"",IF(COUNTIFS('Commercial Evidence'!$A$3:$A$502,$A350,'Commercial Evidence'!$B$3:$B$502,"Previous CBS Talks spend")+COUNTIFS('Commercial Evidence'!$A$3:$A$502,$A350,'Commercial Evidence'!$B$3:$B$502,"Sponsors student organisations")&gt;0,2,IF(COUNTIFS('Commercial Evidence'!$A$3:$A$502,$A350,'Commercial Evidence'!$B$3:$B$502,"Sponsors university activities")+COUNTIFS('Commercial Evidence'!$A$3:$A$502,$A350,'Commercial Evidence'!$B$3:$B$502,"Sponsors similar events")+COUNTIFS('Commercial Evidence'!$A$3:$A$502,$A350,'Commercial Evidence'!$B$3:$B$502,"Previous CBS Talks partner")&gt;0,1,0))))</f>
        <v/>
      </c>
      <c r="AC350" s="32" t="str">
        <f aca="false">IF($A350="","",IF(COUNT(G350,J350,M350,P350,AB350)&lt;5,"",G350+J350+M350+P350+AB350))</f>
        <v/>
      </c>
      <c r="AD350" s="32" t="str">
        <f aca="false">IF($A350="","",IF(COUNTIFS(Contacts!$A$3:$A$502,$A350,Contacts!$E$3:$E$502,"Champion",Contacts!$K$3:$K$502,"&lt;&gt;Yes",Contacts!$L$3:$L$502,"&lt;&gt;Yes")+COUNTIFS(Opportunities!$A$3:$A$502,$A350,Opportunities!$C$3:$C$502,"Won",Opportunities!$Q$3:$Q$502,"Satisfied")&gt;0,4,IF(COUNTIFS(Interactions!$B$3:$B$502,$A350,Interactions!$I$3:$I$502,"Yes",Interactions!$A$3:$A$502,"&gt;="&amp;(S_Today-S_WarmDays))&gt;0,3,IF(T350&lt;&gt;"",2,IF(COUNTIFS(Contacts!$A$3:$A$502,$A350,Contacts!$M$3:$M$502,"Yes",Contacts!$K$3:$K$502,"&lt;&gt;Yes",Contacts!$L$3:$L$502,"&lt;&gt;Yes")&gt;0,1,0)))))</f>
        <v/>
      </c>
      <c r="AE350" s="32" t="str">
        <f aca="false">IF($A350="","",IF(Z350="Yes","Do not contact",IF(AC350="","Research",IF(AND(AC350&gt;=S_FitHigh,AD350&gt;=S_AccessHigh),"Priority",IF(AC350&gt;=S_FitHigh,"Build a Path",IF(AD350&gt;=S_AccessHigh,"Quick Win","Low Priority"))))))</f>
        <v/>
      </c>
      <c r="AF350" s="33" t="str">
        <f aca="false">IF($A350="","",IF(_xlfn.MAXIFS(Interactions!$A$3:$A$502,Interactions!$B$3:$B$502,$A350)=0,"",_xlfn.MAXIFS(Interactions!$A$3:$A$502,Interactions!$B$3:$B$502,$A350)))</f>
        <v/>
      </c>
      <c r="AG350" s="32" t="str">
        <f aca="false">IF($A350="","",COUNTIFS(Opportunities!$A$3:$A$502,$A350,Opportunities!$X$3:$X$502,"Yes"))</f>
        <v/>
      </c>
      <c r="AH350" s="32" t="str">
        <f aca="false">IF($A350="","",_xlfn.TEXTJOIN(", ",TRUE(),IF(COUNTIF($A$3:$A$502,$A350)&gt;1,"Duplicate name",""),IF(OR(AND(G350=2,I350=""),AND(J350=2,L350=""),AND(M350=2,O350=""),AND(P350=2,R350="")),"Source missing for a 2",""),IF(F350="","No owner",IF(COUNTIFS(R_TeamName,F350,R_TeamActive,"No")&gt;0,"Needs new owner","")),IF(AND(V350="Yes",X350&lt;&gt;"",X350&lt;S_SemStart),"Path overdue",""),IF(AND(S350&lt;&gt;"",S350&lt;S_Today-365),"Stale research",""),IF(AND(AE350="Research",COUNTIF('Commercial Evidence'!$A$3:$A$502,$A350)=0),"Add commercial evidence","")))</f>
        <v/>
      </c>
      <c r="AI350" s="34" t="str">
        <f aca="false">IF(OR($A350="",Z350="Yes"),"",IF(AND(AE350="Priority",AG350=0,COUNTIFS(Opportunities!$A$3:$A$502,$A350,Opportunities!$Y$3:$Y$502,"Renewal due")=0),600000+(10-AC350)*1000+(4-AD350)*100+ROW()/100000,IF(V350="Yes",700000+IF(X350="",0,X350-40000)/10+ROW()/100000,IF(AND(AE350="Quick Win",U350&lt;&gt;"",AG350=0),800000+(10-AC350)*1000+ROW()/100000,IF(AND(AE350="Build a Path",COUNTIF($V$3:$V$502,"Yes")&lt;S_PathCap),900000+(10-AC350)*1000+(4-AD350)*100+ROW()/100000,"")))))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8"/>
      <c r="T351" s="27"/>
      <c r="U351" s="27"/>
      <c r="V351" s="27"/>
      <c r="W351" s="27"/>
      <c r="X351" s="28"/>
      <c r="Y351" s="27"/>
      <c r="Z351" s="27"/>
      <c r="AA351" s="27"/>
      <c r="AB351" s="32" t="str">
        <f aca="false">IF($A351="","",IF(COUNTIF('Commercial Evidence'!$A$3:$A$502,$A351)=0,"",IF(COUNTIFS('Commercial Evidence'!$A$3:$A$502,$A351,'Commercial Evidence'!$B$3:$B$502,"Previous CBS Talks spend")+COUNTIFS('Commercial Evidence'!$A$3:$A$502,$A351,'Commercial Evidence'!$B$3:$B$502,"Sponsors student organisations")&gt;0,2,IF(COUNTIFS('Commercial Evidence'!$A$3:$A$502,$A351,'Commercial Evidence'!$B$3:$B$502,"Sponsors university activities")+COUNTIFS('Commercial Evidence'!$A$3:$A$502,$A351,'Commercial Evidence'!$B$3:$B$502,"Sponsors similar events")+COUNTIFS('Commercial Evidence'!$A$3:$A$502,$A351,'Commercial Evidence'!$B$3:$B$502,"Previous CBS Talks partner")&gt;0,1,0))))</f>
        <v/>
      </c>
      <c r="AC351" s="32" t="str">
        <f aca="false">IF($A351="","",IF(COUNT(G351,J351,M351,P351,AB351)&lt;5,"",G351+J351+M351+P351+AB351))</f>
        <v/>
      </c>
      <c r="AD351" s="32" t="str">
        <f aca="false">IF($A351="","",IF(COUNTIFS(Contacts!$A$3:$A$502,$A351,Contacts!$E$3:$E$502,"Champion",Contacts!$K$3:$K$502,"&lt;&gt;Yes",Contacts!$L$3:$L$502,"&lt;&gt;Yes")+COUNTIFS(Opportunities!$A$3:$A$502,$A351,Opportunities!$C$3:$C$502,"Won",Opportunities!$Q$3:$Q$502,"Satisfied")&gt;0,4,IF(COUNTIFS(Interactions!$B$3:$B$502,$A351,Interactions!$I$3:$I$502,"Yes",Interactions!$A$3:$A$502,"&gt;="&amp;(S_Today-S_WarmDays))&gt;0,3,IF(T351&lt;&gt;"",2,IF(COUNTIFS(Contacts!$A$3:$A$502,$A351,Contacts!$M$3:$M$502,"Yes",Contacts!$K$3:$K$502,"&lt;&gt;Yes",Contacts!$L$3:$L$502,"&lt;&gt;Yes")&gt;0,1,0)))))</f>
        <v/>
      </c>
      <c r="AE351" s="32" t="str">
        <f aca="false">IF($A351="","",IF(Z351="Yes","Do not contact",IF(AC351="","Research",IF(AND(AC351&gt;=S_FitHigh,AD351&gt;=S_AccessHigh),"Priority",IF(AC351&gt;=S_FitHigh,"Build a Path",IF(AD351&gt;=S_AccessHigh,"Quick Win","Low Priority"))))))</f>
        <v/>
      </c>
      <c r="AF351" s="33" t="str">
        <f aca="false">IF($A351="","",IF(_xlfn.MAXIFS(Interactions!$A$3:$A$502,Interactions!$B$3:$B$502,$A351)=0,"",_xlfn.MAXIFS(Interactions!$A$3:$A$502,Interactions!$B$3:$B$502,$A351)))</f>
        <v/>
      </c>
      <c r="AG351" s="32" t="str">
        <f aca="false">IF($A351="","",COUNTIFS(Opportunities!$A$3:$A$502,$A351,Opportunities!$X$3:$X$502,"Yes"))</f>
        <v/>
      </c>
      <c r="AH351" s="32" t="str">
        <f aca="false">IF($A351="","",_xlfn.TEXTJOIN(", ",TRUE(),IF(COUNTIF($A$3:$A$502,$A351)&gt;1,"Duplicate name",""),IF(OR(AND(G351=2,I351=""),AND(J351=2,L351=""),AND(M351=2,O351=""),AND(P351=2,R351="")),"Source missing for a 2",""),IF(F351="","No owner",IF(COUNTIFS(R_TeamName,F351,R_TeamActive,"No")&gt;0,"Needs new owner","")),IF(AND(V351="Yes",X351&lt;&gt;"",X351&lt;S_SemStart),"Path overdue",""),IF(AND(S351&lt;&gt;"",S351&lt;S_Today-365),"Stale research",""),IF(AND(AE351="Research",COUNTIF('Commercial Evidence'!$A$3:$A$502,$A351)=0),"Add commercial evidence","")))</f>
        <v/>
      </c>
      <c r="AI351" s="34" t="str">
        <f aca="false">IF(OR($A351="",Z351="Yes"),"",IF(AND(AE351="Priority",AG351=0,COUNTIFS(Opportunities!$A$3:$A$502,$A351,Opportunities!$Y$3:$Y$502,"Renewal due")=0),600000+(10-AC351)*1000+(4-AD351)*100+ROW()/100000,IF(V351="Yes",700000+IF(X351="",0,X351-40000)/10+ROW()/100000,IF(AND(AE351="Quick Win",U351&lt;&gt;"",AG351=0),800000+(10-AC351)*1000+ROW()/100000,IF(AND(AE351="Build a Path",COUNTIF($V$3:$V$502,"Yes")&lt;S_PathCap),900000+(10-AC351)*1000+(4-AD351)*100+ROW()/100000,"")))))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8"/>
      <c r="T352" s="27"/>
      <c r="U352" s="27"/>
      <c r="V352" s="27"/>
      <c r="W352" s="27"/>
      <c r="X352" s="28"/>
      <c r="Y352" s="27"/>
      <c r="Z352" s="27"/>
      <c r="AA352" s="27"/>
      <c r="AB352" s="32" t="str">
        <f aca="false">IF($A352="","",IF(COUNTIF('Commercial Evidence'!$A$3:$A$502,$A352)=0,"",IF(COUNTIFS('Commercial Evidence'!$A$3:$A$502,$A352,'Commercial Evidence'!$B$3:$B$502,"Previous CBS Talks spend")+COUNTIFS('Commercial Evidence'!$A$3:$A$502,$A352,'Commercial Evidence'!$B$3:$B$502,"Sponsors student organisations")&gt;0,2,IF(COUNTIFS('Commercial Evidence'!$A$3:$A$502,$A352,'Commercial Evidence'!$B$3:$B$502,"Sponsors university activities")+COUNTIFS('Commercial Evidence'!$A$3:$A$502,$A352,'Commercial Evidence'!$B$3:$B$502,"Sponsors similar events")+COUNTIFS('Commercial Evidence'!$A$3:$A$502,$A352,'Commercial Evidence'!$B$3:$B$502,"Previous CBS Talks partner")&gt;0,1,0))))</f>
        <v/>
      </c>
      <c r="AC352" s="32" t="str">
        <f aca="false">IF($A352="","",IF(COUNT(G352,J352,M352,P352,AB352)&lt;5,"",G352+J352+M352+P352+AB352))</f>
        <v/>
      </c>
      <c r="AD352" s="32" t="str">
        <f aca="false">IF($A352="","",IF(COUNTIFS(Contacts!$A$3:$A$502,$A352,Contacts!$E$3:$E$502,"Champion",Contacts!$K$3:$K$502,"&lt;&gt;Yes",Contacts!$L$3:$L$502,"&lt;&gt;Yes")+COUNTIFS(Opportunities!$A$3:$A$502,$A352,Opportunities!$C$3:$C$502,"Won",Opportunities!$Q$3:$Q$502,"Satisfied")&gt;0,4,IF(COUNTIFS(Interactions!$B$3:$B$502,$A352,Interactions!$I$3:$I$502,"Yes",Interactions!$A$3:$A$502,"&gt;="&amp;(S_Today-S_WarmDays))&gt;0,3,IF(T352&lt;&gt;"",2,IF(COUNTIFS(Contacts!$A$3:$A$502,$A352,Contacts!$M$3:$M$502,"Yes",Contacts!$K$3:$K$502,"&lt;&gt;Yes",Contacts!$L$3:$L$502,"&lt;&gt;Yes")&gt;0,1,0)))))</f>
        <v/>
      </c>
      <c r="AE352" s="32" t="str">
        <f aca="false">IF($A352="","",IF(Z352="Yes","Do not contact",IF(AC352="","Research",IF(AND(AC352&gt;=S_FitHigh,AD352&gt;=S_AccessHigh),"Priority",IF(AC352&gt;=S_FitHigh,"Build a Path",IF(AD352&gt;=S_AccessHigh,"Quick Win","Low Priority"))))))</f>
        <v/>
      </c>
      <c r="AF352" s="33" t="str">
        <f aca="false">IF($A352="","",IF(_xlfn.MAXIFS(Interactions!$A$3:$A$502,Interactions!$B$3:$B$502,$A352)=0,"",_xlfn.MAXIFS(Interactions!$A$3:$A$502,Interactions!$B$3:$B$502,$A352)))</f>
        <v/>
      </c>
      <c r="AG352" s="32" t="str">
        <f aca="false">IF($A352="","",COUNTIFS(Opportunities!$A$3:$A$502,$A352,Opportunities!$X$3:$X$502,"Yes"))</f>
        <v/>
      </c>
      <c r="AH352" s="32" t="str">
        <f aca="false">IF($A352="","",_xlfn.TEXTJOIN(", ",TRUE(),IF(COUNTIF($A$3:$A$502,$A352)&gt;1,"Duplicate name",""),IF(OR(AND(G352=2,I352=""),AND(J352=2,L352=""),AND(M352=2,O352=""),AND(P352=2,R352="")),"Source missing for a 2",""),IF(F352="","No owner",IF(COUNTIFS(R_TeamName,F352,R_TeamActive,"No")&gt;0,"Needs new owner","")),IF(AND(V352="Yes",X352&lt;&gt;"",X352&lt;S_SemStart),"Path overdue",""),IF(AND(S352&lt;&gt;"",S352&lt;S_Today-365),"Stale research",""),IF(AND(AE352="Research",COUNTIF('Commercial Evidence'!$A$3:$A$502,$A352)=0),"Add commercial evidence","")))</f>
        <v/>
      </c>
      <c r="AI352" s="34" t="str">
        <f aca="false">IF(OR($A352="",Z352="Yes"),"",IF(AND(AE352="Priority",AG352=0,COUNTIFS(Opportunities!$A$3:$A$502,$A352,Opportunities!$Y$3:$Y$502,"Renewal due")=0),600000+(10-AC352)*1000+(4-AD352)*100+ROW()/100000,IF(V352="Yes",700000+IF(X352="",0,X352-40000)/10+ROW()/100000,IF(AND(AE352="Quick Win",U352&lt;&gt;"",AG352=0),800000+(10-AC352)*1000+ROW()/100000,IF(AND(AE352="Build a Path",COUNTIF($V$3:$V$502,"Yes")&lt;S_PathCap),900000+(10-AC352)*1000+(4-AD352)*100+ROW()/100000,"")))))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8"/>
      <c r="T353" s="27"/>
      <c r="U353" s="27"/>
      <c r="V353" s="27"/>
      <c r="W353" s="27"/>
      <c r="X353" s="28"/>
      <c r="Y353" s="27"/>
      <c r="Z353" s="27"/>
      <c r="AA353" s="27"/>
      <c r="AB353" s="32" t="str">
        <f aca="false">IF($A353="","",IF(COUNTIF('Commercial Evidence'!$A$3:$A$502,$A353)=0,"",IF(COUNTIFS('Commercial Evidence'!$A$3:$A$502,$A353,'Commercial Evidence'!$B$3:$B$502,"Previous CBS Talks spend")+COUNTIFS('Commercial Evidence'!$A$3:$A$502,$A353,'Commercial Evidence'!$B$3:$B$502,"Sponsors student organisations")&gt;0,2,IF(COUNTIFS('Commercial Evidence'!$A$3:$A$502,$A353,'Commercial Evidence'!$B$3:$B$502,"Sponsors university activities")+COUNTIFS('Commercial Evidence'!$A$3:$A$502,$A353,'Commercial Evidence'!$B$3:$B$502,"Sponsors similar events")+COUNTIFS('Commercial Evidence'!$A$3:$A$502,$A353,'Commercial Evidence'!$B$3:$B$502,"Previous CBS Talks partner")&gt;0,1,0))))</f>
        <v/>
      </c>
      <c r="AC353" s="32" t="str">
        <f aca="false">IF($A353="","",IF(COUNT(G353,J353,M353,P353,AB353)&lt;5,"",G353+J353+M353+P353+AB353))</f>
        <v/>
      </c>
      <c r="AD353" s="32" t="str">
        <f aca="false">IF($A353="","",IF(COUNTIFS(Contacts!$A$3:$A$502,$A353,Contacts!$E$3:$E$502,"Champion",Contacts!$K$3:$K$502,"&lt;&gt;Yes",Contacts!$L$3:$L$502,"&lt;&gt;Yes")+COUNTIFS(Opportunities!$A$3:$A$502,$A353,Opportunities!$C$3:$C$502,"Won",Opportunities!$Q$3:$Q$502,"Satisfied")&gt;0,4,IF(COUNTIFS(Interactions!$B$3:$B$502,$A353,Interactions!$I$3:$I$502,"Yes",Interactions!$A$3:$A$502,"&gt;="&amp;(S_Today-S_WarmDays))&gt;0,3,IF(T353&lt;&gt;"",2,IF(COUNTIFS(Contacts!$A$3:$A$502,$A353,Contacts!$M$3:$M$502,"Yes",Contacts!$K$3:$K$502,"&lt;&gt;Yes",Contacts!$L$3:$L$502,"&lt;&gt;Yes")&gt;0,1,0)))))</f>
        <v/>
      </c>
      <c r="AE353" s="32" t="str">
        <f aca="false">IF($A353="","",IF(Z353="Yes","Do not contact",IF(AC353="","Research",IF(AND(AC353&gt;=S_FitHigh,AD353&gt;=S_AccessHigh),"Priority",IF(AC353&gt;=S_FitHigh,"Build a Path",IF(AD353&gt;=S_AccessHigh,"Quick Win","Low Priority"))))))</f>
        <v/>
      </c>
      <c r="AF353" s="33" t="str">
        <f aca="false">IF($A353="","",IF(_xlfn.MAXIFS(Interactions!$A$3:$A$502,Interactions!$B$3:$B$502,$A353)=0,"",_xlfn.MAXIFS(Interactions!$A$3:$A$502,Interactions!$B$3:$B$502,$A353)))</f>
        <v/>
      </c>
      <c r="AG353" s="32" t="str">
        <f aca="false">IF($A353="","",COUNTIFS(Opportunities!$A$3:$A$502,$A353,Opportunities!$X$3:$X$502,"Yes"))</f>
        <v/>
      </c>
      <c r="AH353" s="32" t="str">
        <f aca="false">IF($A353="","",_xlfn.TEXTJOIN(", ",TRUE(),IF(COUNTIF($A$3:$A$502,$A353)&gt;1,"Duplicate name",""),IF(OR(AND(G353=2,I353=""),AND(J353=2,L353=""),AND(M353=2,O353=""),AND(P353=2,R353="")),"Source missing for a 2",""),IF(F353="","No owner",IF(COUNTIFS(R_TeamName,F353,R_TeamActive,"No")&gt;0,"Needs new owner","")),IF(AND(V353="Yes",X353&lt;&gt;"",X353&lt;S_SemStart),"Path overdue",""),IF(AND(S353&lt;&gt;"",S353&lt;S_Today-365),"Stale research",""),IF(AND(AE353="Research",COUNTIF('Commercial Evidence'!$A$3:$A$502,$A353)=0),"Add commercial evidence","")))</f>
        <v/>
      </c>
      <c r="AI353" s="34" t="str">
        <f aca="false">IF(OR($A353="",Z353="Yes"),"",IF(AND(AE353="Priority",AG353=0,COUNTIFS(Opportunities!$A$3:$A$502,$A353,Opportunities!$Y$3:$Y$502,"Renewal due")=0),600000+(10-AC353)*1000+(4-AD353)*100+ROW()/100000,IF(V353="Yes",700000+IF(X353="",0,X353-40000)/10+ROW()/100000,IF(AND(AE353="Quick Win",U353&lt;&gt;"",AG353=0),800000+(10-AC353)*1000+ROW()/100000,IF(AND(AE353="Build a Path",COUNTIF($V$3:$V$502,"Yes")&lt;S_PathCap),900000+(10-AC353)*1000+(4-AD353)*100+ROW()/100000,"")))))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8"/>
      <c r="T354" s="27"/>
      <c r="U354" s="27"/>
      <c r="V354" s="27"/>
      <c r="W354" s="27"/>
      <c r="X354" s="28"/>
      <c r="Y354" s="27"/>
      <c r="Z354" s="27"/>
      <c r="AA354" s="27"/>
      <c r="AB354" s="32" t="str">
        <f aca="false">IF($A354="","",IF(COUNTIF('Commercial Evidence'!$A$3:$A$502,$A354)=0,"",IF(COUNTIFS('Commercial Evidence'!$A$3:$A$502,$A354,'Commercial Evidence'!$B$3:$B$502,"Previous CBS Talks spend")+COUNTIFS('Commercial Evidence'!$A$3:$A$502,$A354,'Commercial Evidence'!$B$3:$B$502,"Sponsors student organisations")&gt;0,2,IF(COUNTIFS('Commercial Evidence'!$A$3:$A$502,$A354,'Commercial Evidence'!$B$3:$B$502,"Sponsors university activities")+COUNTIFS('Commercial Evidence'!$A$3:$A$502,$A354,'Commercial Evidence'!$B$3:$B$502,"Sponsors similar events")+COUNTIFS('Commercial Evidence'!$A$3:$A$502,$A354,'Commercial Evidence'!$B$3:$B$502,"Previous CBS Talks partner")&gt;0,1,0))))</f>
        <v/>
      </c>
      <c r="AC354" s="32" t="str">
        <f aca="false">IF($A354="","",IF(COUNT(G354,J354,M354,P354,AB354)&lt;5,"",G354+J354+M354+P354+AB354))</f>
        <v/>
      </c>
      <c r="AD354" s="32" t="str">
        <f aca="false">IF($A354="","",IF(COUNTIFS(Contacts!$A$3:$A$502,$A354,Contacts!$E$3:$E$502,"Champion",Contacts!$K$3:$K$502,"&lt;&gt;Yes",Contacts!$L$3:$L$502,"&lt;&gt;Yes")+COUNTIFS(Opportunities!$A$3:$A$502,$A354,Opportunities!$C$3:$C$502,"Won",Opportunities!$Q$3:$Q$502,"Satisfied")&gt;0,4,IF(COUNTIFS(Interactions!$B$3:$B$502,$A354,Interactions!$I$3:$I$502,"Yes",Interactions!$A$3:$A$502,"&gt;="&amp;(S_Today-S_WarmDays))&gt;0,3,IF(T354&lt;&gt;"",2,IF(COUNTIFS(Contacts!$A$3:$A$502,$A354,Contacts!$M$3:$M$502,"Yes",Contacts!$K$3:$K$502,"&lt;&gt;Yes",Contacts!$L$3:$L$502,"&lt;&gt;Yes")&gt;0,1,0)))))</f>
        <v/>
      </c>
      <c r="AE354" s="32" t="str">
        <f aca="false">IF($A354="","",IF(Z354="Yes","Do not contact",IF(AC354="","Research",IF(AND(AC354&gt;=S_FitHigh,AD354&gt;=S_AccessHigh),"Priority",IF(AC354&gt;=S_FitHigh,"Build a Path",IF(AD354&gt;=S_AccessHigh,"Quick Win","Low Priority"))))))</f>
        <v/>
      </c>
      <c r="AF354" s="33" t="str">
        <f aca="false">IF($A354="","",IF(_xlfn.MAXIFS(Interactions!$A$3:$A$502,Interactions!$B$3:$B$502,$A354)=0,"",_xlfn.MAXIFS(Interactions!$A$3:$A$502,Interactions!$B$3:$B$502,$A354)))</f>
        <v/>
      </c>
      <c r="AG354" s="32" t="str">
        <f aca="false">IF($A354="","",COUNTIFS(Opportunities!$A$3:$A$502,$A354,Opportunities!$X$3:$X$502,"Yes"))</f>
        <v/>
      </c>
      <c r="AH354" s="32" t="str">
        <f aca="false">IF($A354="","",_xlfn.TEXTJOIN(", ",TRUE(),IF(COUNTIF($A$3:$A$502,$A354)&gt;1,"Duplicate name",""),IF(OR(AND(G354=2,I354=""),AND(J354=2,L354=""),AND(M354=2,O354=""),AND(P354=2,R354="")),"Source missing for a 2",""),IF(F354="","No owner",IF(COUNTIFS(R_TeamName,F354,R_TeamActive,"No")&gt;0,"Needs new owner","")),IF(AND(V354="Yes",X354&lt;&gt;"",X354&lt;S_SemStart),"Path overdue",""),IF(AND(S354&lt;&gt;"",S354&lt;S_Today-365),"Stale research",""),IF(AND(AE354="Research",COUNTIF('Commercial Evidence'!$A$3:$A$502,$A354)=0),"Add commercial evidence","")))</f>
        <v/>
      </c>
      <c r="AI354" s="34" t="str">
        <f aca="false">IF(OR($A354="",Z354="Yes"),"",IF(AND(AE354="Priority",AG354=0,COUNTIFS(Opportunities!$A$3:$A$502,$A354,Opportunities!$Y$3:$Y$502,"Renewal due")=0),600000+(10-AC354)*1000+(4-AD354)*100+ROW()/100000,IF(V354="Yes",700000+IF(X354="",0,X354-40000)/10+ROW()/100000,IF(AND(AE354="Quick Win",U354&lt;&gt;"",AG354=0),800000+(10-AC354)*1000+ROW()/100000,IF(AND(AE354="Build a Path",COUNTIF($V$3:$V$502,"Yes")&lt;S_PathCap),900000+(10-AC354)*1000+(4-AD354)*100+ROW()/100000,"")))))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8"/>
      <c r="T355" s="27"/>
      <c r="U355" s="27"/>
      <c r="V355" s="27"/>
      <c r="W355" s="27"/>
      <c r="X355" s="28"/>
      <c r="Y355" s="27"/>
      <c r="Z355" s="27"/>
      <c r="AA355" s="27"/>
      <c r="AB355" s="32" t="str">
        <f aca="false">IF($A355="","",IF(COUNTIF('Commercial Evidence'!$A$3:$A$502,$A355)=0,"",IF(COUNTIFS('Commercial Evidence'!$A$3:$A$502,$A355,'Commercial Evidence'!$B$3:$B$502,"Previous CBS Talks spend")+COUNTIFS('Commercial Evidence'!$A$3:$A$502,$A355,'Commercial Evidence'!$B$3:$B$502,"Sponsors student organisations")&gt;0,2,IF(COUNTIFS('Commercial Evidence'!$A$3:$A$502,$A355,'Commercial Evidence'!$B$3:$B$502,"Sponsors university activities")+COUNTIFS('Commercial Evidence'!$A$3:$A$502,$A355,'Commercial Evidence'!$B$3:$B$502,"Sponsors similar events")+COUNTIFS('Commercial Evidence'!$A$3:$A$502,$A355,'Commercial Evidence'!$B$3:$B$502,"Previous CBS Talks partner")&gt;0,1,0))))</f>
        <v/>
      </c>
      <c r="AC355" s="32" t="str">
        <f aca="false">IF($A355="","",IF(COUNT(G355,J355,M355,P355,AB355)&lt;5,"",G355+J355+M355+P355+AB355))</f>
        <v/>
      </c>
      <c r="AD355" s="32" t="str">
        <f aca="false">IF($A355="","",IF(COUNTIFS(Contacts!$A$3:$A$502,$A355,Contacts!$E$3:$E$502,"Champion",Contacts!$K$3:$K$502,"&lt;&gt;Yes",Contacts!$L$3:$L$502,"&lt;&gt;Yes")+COUNTIFS(Opportunities!$A$3:$A$502,$A355,Opportunities!$C$3:$C$502,"Won",Opportunities!$Q$3:$Q$502,"Satisfied")&gt;0,4,IF(COUNTIFS(Interactions!$B$3:$B$502,$A355,Interactions!$I$3:$I$502,"Yes",Interactions!$A$3:$A$502,"&gt;="&amp;(S_Today-S_WarmDays))&gt;0,3,IF(T355&lt;&gt;"",2,IF(COUNTIFS(Contacts!$A$3:$A$502,$A355,Contacts!$M$3:$M$502,"Yes",Contacts!$K$3:$K$502,"&lt;&gt;Yes",Contacts!$L$3:$L$502,"&lt;&gt;Yes")&gt;0,1,0)))))</f>
        <v/>
      </c>
      <c r="AE355" s="32" t="str">
        <f aca="false">IF($A355="","",IF(Z355="Yes","Do not contact",IF(AC355="","Research",IF(AND(AC355&gt;=S_FitHigh,AD355&gt;=S_AccessHigh),"Priority",IF(AC355&gt;=S_FitHigh,"Build a Path",IF(AD355&gt;=S_AccessHigh,"Quick Win","Low Priority"))))))</f>
        <v/>
      </c>
      <c r="AF355" s="33" t="str">
        <f aca="false">IF($A355="","",IF(_xlfn.MAXIFS(Interactions!$A$3:$A$502,Interactions!$B$3:$B$502,$A355)=0,"",_xlfn.MAXIFS(Interactions!$A$3:$A$502,Interactions!$B$3:$B$502,$A355)))</f>
        <v/>
      </c>
      <c r="AG355" s="32" t="str">
        <f aca="false">IF($A355="","",COUNTIFS(Opportunities!$A$3:$A$502,$A355,Opportunities!$X$3:$X$502,"Yes"))</f>
        <v/>
      </c>
      <c r="AH355" s="32" t="str">
        <f aca="false">IF($A355="","",_xlfn.TEXTJOIN(", ",TRUE(),IF(COUNTIF($A$3:$A$502,$A355)&gt;1,"Duplicate name",""),IF(OR(AND(G355=2,I355=""),AND(J355=2,L355=""),AND(M355=2,O355=""),AND(P355=2,R355="")),"Source missing for a 2",""),IF(F355="","No owner",IF(COUNTIFS(R_TeamName,F355,R_TeamActive,"No")&gt;0,"Needs new owner","")),IF(AND(V355="Yes",X355&lt;&gt;"",X355&lt;S_SemStart),"Path overdue",""),IF(AND(S355&lt;&gt;"",S355&lt;S_Today-365),"Stale research",""),IF(AND(AE355="Research",COUNTIF('Commercial Evidence'!$A$3:$A$502,$A355)=0),"Add commercial evidence","")))</f>
        <v/>
      </c>
      <c r="AI355" s="34" t="str">
        <f aca="false">IF(OR($A355="",Z355="Yes"),"",IF(AND(AE355="Priority",AG355=0,COUNTIFS(Opportunities!$A$3:$A$502,$A355,Opportunities!$Y$3:$Y$502,"Renewal due")=0),600000+(10-AC355)*1000+(4-AD355)*100+ROW()/100000,IF(V355="Yes",700000+IF(X355="",0,X355-40000)/10+ROW()/100000,IF(AND(AE355="Quick Win",U355&lt;&gt;"",AG355=0),800000+(10-AC355)*1000+ROW()/100000,IF(AND(AE355="Build a Path",COUNTIF($V$3:$V$502,"Yes")&lt;S_PathCap),900000+(10-AC355)*1000+(4-AD355)*100+ROW()/100000,"")))))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8"/>
      <c r="T356" s="27"/>
      <c r="U356" s="27"/>
      <c r="V356" s="27"/>
      <c r="W356" s="27"/>
      <c r="X356" s="28"/>
      <c r="Y356" s="27"/>
      <c r="Z356" s="27"/>
      <c r="AA356" s="27"/>
      <c r="AB356" s="32" t="str">
        <f aca="false">IF($A356="","",IF(COUNTIF('Commercial Evidence'!$A$3:$A$502,$A356)=0,"",IF(COUNTIFS('Commercial Evidence'!$A$3:$A$502,$A356,'Commercial Evidence'!$B$3:$B$502,"Previous CBS Talks spend")+COUNTIFS('Commercial Evidence'!$A$3:$A$502,$A356,'Commercial Evidence'!$B$3:$B$502,"Sponsors student organisations")&gt;0,2,IF(COUNTIFS('Commercial Evidence'!$A$3:$A$502,$A356,'Commercial Evidence'!$B$3:$B$502,"Sponsors university activities")+COUNTIFS('Commercial Evidence'!$A$3:$A$502,$A356,'Commercial Evidence'!$B$3:$B$502,"Sponsors similar events")+COUNTIFS('Commercial Evidence'!$A$3:$A$502,$A356,'Commercial Evidence'!$B$3:$B$502,"Previous CBS Talks partner")&gt;0,1,0))))</f>
        <v/>
      </c>
      <c r="AC356" s="32" t="str">
        <f aca="false">IF($A356="","",IF(COUNT(G356,J356,M356,P356,AB356)&lt;5,"",G356+J356+M356+P356+AB356))</f>
        <v/>
      </c>
      <c r="AD356" s="32" t="str">
        <f aca="false">IF($A356="","",IF(COUNTIFS(Contacts!$A$3:$A$502,$A356,Contacts!$E$3:$E$502,"Champion",Contacts!$K$3:$K$502,"&lt;&gt;Yes",Contacts!$L$3:$L$502,"&lt;&gt;Yes")+COUNTIFS(Opportunities!$A$3:$A$502,$A356,Opportunities!$C$3:$C$502,"Won",Opportunities!$Q$3:$Q$502,"Satisfied")&gt;0,4,IF(COUNTIFS(Interactions!$B$3:$B$502,$A356,Interactions!$I$3:$I$502,"Yes",Interactions!$A$3:$A$502,"&gt;="&amp;(S_Today-S_WarmDays))&gt;0,3,IF(T356&lt;&gt;"",2,IF(COUNTIFS(Contacts!$A$3:$A$502,$A356,Contacts!$M$3:$M$502,"Yes",Contacts!$K$3:$K$502,"&lt;&gt;Yes",Contacts!$L$3:$L$502,"&lt;&gt;Yes")&gt;0,1,0)))))</f>
        <v/>
      </c>
      <c r="AE356" s="32" t="str">
        <f aca="false">IF($A356="","",IF(Z356="Yes","Do not contact",IF(AC356="","Research",IF(AND(AC356&gt;=S_FitHigh,AD356&gt;=S_AccessHigh),"Priority",IF(AC356&gt;=S_FitHigh,"Build a Path",IF(AD356&gt;=S_AccessHigh,"Quick Win","Low Priority"))))))</f>
        <v/>
      </c>
      <c r="AF356" s="33" t="str">
        <f aca="false">IF($A356="","",IF(_xlfn.MAXIFS(Interactions!$A$3:$A$502,Interactions!$B$3:$B$502,$A356)=0,"",_xlfn.MAXIFS(Interactions!$A$3:$A$502,Interactions!$B$3:$B$502,$A356)))</f>
        <v/>
      </c>
      <c r="AG356" s="32" t="str">
        <f aca="false">IF($A356="","",COUNTIFS(Opportunities!$A$3:$A$502,$A356,Opportunities!$X$3:$X$502,"Yes"))</f>
        <v/>
      </c>
      <c r="AH356" s="32" t="str">
        <f aca="false">IF($A356="","",_xlfn.TEXTJOIN(", ",TRUE(),IF(COUNTIF($A$3:$A$502,$A356)&gt;1,"Duplicate name",""),IF(OR(AND(G356=2,I356=""),AND(J356=2,L356=""),AND(M356=2,O356=""),AND(P356=2,R356="")),"Source missing for a 2",""),IF(F356="","No owner",IF(COUNTIFS(R_TeamName,F356,R_TeamActive,"No")&gt;0,"Needs new owner","")),IF(AND(V356="Yes",X356&lt;&gt;"",X356&lt;S_SemStart),"Path overdue",""),IF(AND(S356&lt;&gt;"",S356&lt;S_Today-365),"Stale research",""),IF(AND(AE356="Research",COUNTIF('Commercial Evidence'!$A$3:$A$502,$A356)=0),"Add commercial evidence","")))</f>
        <v/>
      </c>
      <c r="AI356" s="34" t="str">
        <f aca="false">IF(OR($A356="",Z356="Yes"),"",IF(AND(AE356="Priority",AG356=0,COUNTIFS(Opportunities!$A$3:$A$502,$A356,Opportunities!$Y$3:$Y$502,"Renewal due")=0),600000+(10-AC356)*1000+(4-AD356)*100+ROW()/100000,IF(V356="Yes",700000+IF(X356="",0,X356-40000)/10+ROW()/100000,IF(AND(AE356="Quick Win",U356&lt;&gt;"",AG356=0),800000+(10-AC356)*1000+ROW()/100000,IF(AND(AE356="Build a Path",COUNTIF($V$3:$V$502,"Yes")&lt;S_PathCap),900000+(10-AC356)*1000+(4-AD356)*100+ROW()/100000,"")))))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8"/>
      <c r="T357" s="27"/>
      <c r="U357" s="27"/>
      <c r="V357" s="27"/>
      <c r="W357" s="27"/>
      <c r="X357" s="28"/>
      <c r="Y357" s="27"/>
      <c r="Z357" s="27"/>
      <c r="AA357" s="27"/>
      <c r="AB357" s="32" t="str">
        <f aca="false">IF($A357="","",IF(COUNTIF('Commercial Evidence'!$A$3:$A$502,$A357)=0,"",IF(COUNTIFS('Commercial Evidence'!$A$3:$A$502,$A357,'Commercial Evidence'!$B$3:$B$502,"Previous CBS Talks spend")+COUNTIFS('Commercial Evidence'!$A$3:$A$502,$A357,'Commercial Evidence'!$B$3:$B$502,"Sponsors student organisations")&gt;0,2,IF(COUNTIFS('Commercial Evidence'!$A$3:$A$502,$A357,'Commercial Evidence'!$B$3:$B$502,"Sponsors university activities")+COUNTIFS('Commercial Evidence'!$A$3:$A$502,$A357,'Commercial Evidence'!$B$3:$B$502,"Sponsors similar events")+COUNTIFS('Commercial Evidence'!$A$3:$A$502,$A357,'Commercial Evidence'!$B$3:$B$502,"Previous CBS Talks partner")&gt;0,1,0))))</f>
        <v/>
      </c>
      <c r="AC357" s="32" t="str">
        <f aca="false">IF($A357="","",IF(COUNT(G357,J357,M357,P357,AB357)&lt;5,"",G357+J357+M357+P357+AB357))</f>
        <v/>
      </c>
      <c r="AD357" s="32" t="str">
        <f aca="false">IF($A357="","",IF(COUNTIFS(Contacts!$A$3:$A$502,$A357,Contacts!$E$3:$E$502,"Champion",Contacts!$K$3:$K$502,"&lt;&gt;Yes",Contacts!$L$3:$L$502,"&lt;&gt;Yes")+COUNTIFS(Opportunities!$A$3:$A$502,$A357,Opportunities!$C$3:$C$502,"Won",Opportunities!$Q$3:$Q$502,"Satisfied")&gt;0,4,IF(COUNTIFS(Interactions!$B$3:$B$502,$A357,Interactions!$I$3:$I$502,"Yes",Interactions!$A$3:$A$502,"&gt;="&amp;(S_Today-S_WarmDays))&gt;0,3,IF(T357&lt;&gt;"",2,IF(COUNTIFS(Contacts!$A$3:$A$502,$A357,Contacts!$M$3:$M$502,"Yes",Contacts!$K$3:$K$502,"&lt;&gt;Yes",Contacts!$L$3:$L$502,"&lt;&gt;Yes")&gt;0,1,0)))))</f>
        <v/>
      </c>
      <c r="AE357" s="32" t="str">
        <f aca="false">IF($A357="","",IF(Z357="Yes","Do not contact",IF(AC357="","Research",IF(AND(AC357&gt;=S_FitHigh,AD357&gt;=S_AccessHigh),"Priority",IF(AC357&gt;=S_FitHigh,"Build a Path",IF(AD357&gt;=S_AccessHigh,"Quick Win","Low Priority"))))))</f>
        <v/>
      </c>
      <c r="AF357" s="33" t="str">
        <f aca="false">IF($A357="","",IF(_xlfn.MAXIFS(Interactions!$A$3:$A$502,Interactions!$B$3:$B$502,$A357)=0,"",_xlfn.MAXIFS(Interactions!$A$3:$A$502,Interactions!$B$3:$B$502,$A357)))</f>
        <v/>
      </c>
      <c r="AG357" s="32" t="str">
        <f aca="false">IF($A357="","",COUNTIFS(Opportunities!$A$3:$A$502,$A357,Opportunities!$X$3:$X$502,"Yes"))</f>
        <v/>
      </c>
      <c r="AH357" s="32" t="str">
        <f aca="false">IF($A357="","",_xlfn.TEXTJOIN(", ",TRUE(),IF(COUNTIF($A$3:$A$502,$A357)&gt;1,"Duplicate name",""),IF(OR(AND(G357=2,I357=""),AND(J357=2,L357=""),AND(M357=2,O357=""),AND(P357=2,R357="")),"Source missing for a 2",""),IF(F357="","No owner",IF(COUNTIFS(R_TeamName,F357,R_TeamActive,"No")&gt;0,"Needs new owner","")),IF(AND(V357="Yes",X357&lt;&gt;"",X357&lt;S_SemStart),"Path overdue",""),IF(AND(S357&lt;&gt;"",S357&lt;S_Today-365),"Stale research",""),IF(AND(AE357="Research",COUNTIF('Commercial Evidence'!$A$3:$A$502,$A357)=0),"Add commercial evidence","")))</f>
        <v/>
      </c>
      <c r="AI357" s="34" t="str">
        <f aca="false">IF(OR($A357="",Z357="Yes"),"",IF(AND(AE357="Priority",AG357=0,COUNTIFS(Opportunities!$A$3:$A$502,$A357,Opportunities!$Y$3:$Y$502,"Renewal due")=0),600000+(10-AC357)*1000+(4-AD357)*100+ROW()/100000,IF(V357="Yes",700000+IF(X357="",0,X357-40000)/10+ROW()/100000,IF(AND(AE357="Quick Win",U357&lt;&gt;"",AG357=0),800000+(10-AC357)*1000+ROW()/100000,IF(AND(AE357="Build a Path",COUNTIF($V$3:$V$502,"Yes")&lt;S_PathCap),900000+(10-AC357)*1000+(4-AD357)*100+ROW()/100000,"")))))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8"/>
      <c r="T358" s="27"/>
      <c r="U358" s="27"/>
      <c r="V358" s="27"/>
      <c r="W358" s="27"/>
      <c r="X358" s="28"/>
      <c r="Y358" s="27"/>
      <c r="Z358" s="27"/>
      <c r="AA358" s="27"/>
      <c r="AB358" s="32" t="str">
        <f aca="false">IF($A358="","",IF(COUNTIF('Commercial Evidence'!$A$3:$A$502,$A358)=0,"",IF(COUNTIFS('Commercial Evidence'!$A$3:$A$502,$A358,'Commercial Evidence'!$B$3:$B$502,"Previous CBS Talks spend")+COUNTIFS('Commercial Evidence'!$A$3:$A$502,$A358,'Commercial Evidence'!$B$3:$B$502,"Sponsors student organisations")&gt;0,2,IF(COUNTIFS('Commercial Evidence'!$A$3:$A$502,$A358,'Commercial Evidence'!$B$3:$B$502,"Sponsors university activities")+COUNTIFS('Commercial Evidence'!$A$3:$A$502,$A358,'Commercial Evidence'!$B$3:$B$502,"Sponsors similar events")+COUNTIFS('Commercial Evidence'!$A$3:$A$502,$A358,'Commercial Evidence'!$B$3:$B$502,"Previous CBS Talks partner")&gt;0,1,0))))</f>
        <v/>
      </c>
      <c r="AC358" s="32" t="str">
        <f aca="false">IF($A358="","",IF(COUNT(G358,J358,M358,P358,AB358)&lt;5,"",G358+J358+M358+P358+AB358))</f>
        <v/>
      </c>
      <c r="AD358" s="32" t="str">
        <f aca="false">IF($A358="","",IF(COUNTIFS(Contacts!$A$3:$A$502,$A358,Contacts!$E$3:$E$502,"Champion",Contacts!$K$3:$K$502,"&lt;&gt;Yes",Contacts!$L$3:$L$502,"&lt;&gt;Yes")+COUNTIFS(Opportunities!$A$3:$A$502,$A358,Opportunities!$C$3:$C$502,"Won",Opportunities!$Q$3:$Q$502,"Satisfied")&gt;0,4,IF(COUNTIFS(Interactions!$B$3:$B$502,$A358,Interactions!$I$3:$I$502,"Yes",Interactions!$A$3:$A$502,"&gt;="&amp;(S_Today-S_WarmDays))&gt;0,3,IF(T358&lt;&gt;"",2,IF(COUNTIFS(Contacts!$A$3:$A$502,$A358,Contacts!$M$3:$M$502,"Yes",Contacts!$K$3:$K$502,"&lt;&gt;Yes",Contacts!$L$3:$L$502,"&lt;&gt;Yes")&gt;0,1,0)))))</f>
        <v/>
      </c>
      <c r="AE358" s="32" t="str">
        <f aca="false">IF($A358="","",IF(Z358="Yes","Do not contact",IF(AC358="","Research",IF(AND(AC358&gt;=S_FitHigh,AD358&gt;=S_AccessHigh),"Priority",IF(AC358&gt;=S_FitHigh,"Build a Path",IF(AD358&gt;=S_AccessHigh,"Quick Win","Low Priority"))))))</f>
        <v/>
      </c>
      <c r="AF358" s="33" t="str">
        <f aca="false">IF($A358="","",IF(_xlfn.MAXIFS(Interactions!$A$3:$A$502,Interactions!$B$3:$B$502,$A358)=0,"",_xlfn.MAXIFS(Interactions!$A$3:$A$502,Interactions!$B$3:$B$502,$A358)))</f>
        <v/>
      </c>
      <c r="AG358" s="32" t="str">
        <f aca="false">IF($A358="","",COUNTIFS(Opportunities!$A$3:$A$502,$A358,Opportunities!$X$3:$X$502,"Yes"))</f>
        <v/>
      </c>
      <c r="AH358" s="32" t="str">
        <f aca="false">IF($A358="","",_xlfn.TEXTJOIN(", ",TRUE(),IF(COUNTIF($A$3:$A$502,$A358)&gt;1,"Duplicate name",""),IF(OR(AND(G358=2,I358=""),AND(J358=2,L358=""),AND(M358=2,O358=""),AND(P358=2,R358="")),"Source missing for a 2",""),IF(F358="","No owner",IF(COUNTIFS(R_TeamName,F358,R_TeamActive,"No")&gt;0,"Needs new owner","")),IF(AND(V358="Yes",X358&lt;&gt;"",X358&lt;S_SemStart),"Path overdue",""),IF(AND(S358&lt;&gt;"",S358&lt;S_Today-365),"Stale research",""),IF(AND(AE358="Research",COUNTIF('Commercial Evidence'!$A$3:$A$502,$A358)=0),"Add commercial evidence","")))</f>
        <v/>
      </c>
      <c r="AI358" s="34" t="str">
        <f aca="false">IF(OR($A358="",Z358="Yes"),"",IF(AND(AE358="Priority",AG358=0,COUNTIFS(Opportunities!$A$3:$A$502,$A358,Opportunities!$Y$3:$Y$502,"Renewal due")=0),600000+(10-AC358)*1000+(4-AD358)*100+ROW()/100000,IF(V358="Yes",700000+IF(X358="",0,X358-40000)/10+ROW()/100000,IF(AND(AE358="Quick Win",U358&lt;&gt;"",AG358=0),800000+(10-AC358)*1000+ROW()/100000,IF(AND(AE358="Build a Path",COUNTIF($V$3:$V$502,"Yes")&lt;S_PathCap),900000+(10-AC358)*1000+(4-AD358)*100+ROW()/100000,"")))))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8"/>
      <c r="T359" s="27"/>
      <c r="U359" s="27"/>
      <c r="V359" s="27"/>
      <c r="W359" s="27"/>
      <c r="X359" s="28"/>
      <c r="Y359" s="27"/>
      <c r="Z359" s="27"/>
      <c r="AA359" s="27"/>
      <c r="AB359" s="32" t="str">
        <f aca="false">IF($A359="","",IF(COUNTIF('Commercial Evidence'!$A$3:$A$502,$A359)=0,"",IF(COUNTIFS('Commercial Evidence'!$A$3:$A$502,$A359,'Commercial Evidence'!$B$3:$B$502,"Previous CBS Talks spend")+COUNTIFS('Commercial Evidence'!$A$3:$A$502,$A359,'Commercial Evidence'!$B$3:$B$502,"Sponsors student organisations")&gt;0,2,IF(COUNTIFS('Commercial Evidence'!$A$3:$A$502,$A359,'Commercial Evidence'!$B$3:$B$502,"Sponsors university activities")+COUNTIFS('Commercial Evidence'!$A$3:$A$502,$A359,'Commercial Evidence'!$B$3:$B$502,"Sponsors similar events")+COUNTIFS('Commercial Evidence'!$A$3:$A$502,$A359,'Commercial Evidence'!$B$3:$B$502,"Previous CBS Talks partner")&gt;0,1,0))))</f>
        <v/>
      </c>
      <c r="AC359" s="32" t="str">
        <f aca="false">IF($A359="","",IF(COUNT(G359,J359,M359,P359,AB359)&lt;5,"",G359+J359+M359+P359+AB359))</f>
        <v/>
      </c>
      <c r="AD359" s="32" t="str">
        <f aca="false">IF($A359="","",IF(COUNTIFS(Contacts!$A$3:$A$502,$A359,Contacts!$E$3:$E$502,"Champion",Contacts!$K$3:$K$502,"&lt;&gt;Yes",Contacts!$L$3:$L$502,"&lt;&gt;Yes")+COUNTIFS(Opportunities!$A$3:$A$502,$A359,Opportunities!$C$3:$C$502,"Won",Opportunities!$Q$3:$Q$502,"Satisfied")&gt;0,4,IF(COUNTIFS(Interactions!$B$3:$B$502,$A359,Interactions!$I$3:$I$502,"Yes",Interactions!$A$3:$A$502,"&gt;="&amp;(S_Today-S_WarmDays))&gt;0,3,IF(T359&lt;&gt;"",2,IF(COUNTIFS(Contacts!$A$3:$A$502,$A359,Contacts!$M$3:$M$502,"Yes",Contacts!$K$3:$K$502,"&lt;&gt;Yes",Contacts!$L$3:$L$502,"&lt;&gt;Yes")&gt;0,1,0)))))</f>
        <v/>
      </c>
      <c r="AE359" s="32" t="str">
        <f aca="false">IF($A359="","",IF(Z359="Yes","Do not contact",IF(AC359="","Research",IF(AND(AC359&gt;=S_FitHigh,AD359&gt;=S_AccessHigh),"Priority",IF(AC359&gt;=S_FitHigh,"Build a Path",IF(AD359&gt;=S_AccessHigh,"Quick Win","Low Priority"))))))</f>
        <v/>
      </c>
      <c r="AF359" s="33" t="str">
        <f aca="false">IF($A359="","",IF(_xlfn.MAXIFS(Interactions!$A$3:$A$502,Interactions!$B$3:$B$502,$A359)=0,"",_xlfn.MAXIFS(Interactions!$A$3:$A$502,Interactions!$B$3:$B$502,$A359)))</f>
        <v/>
      </c>
      <c r="AG359" s="32" t="str">
        <f aca="false">IF($A359="","",COUNTIFS(Opportunities!$A$3:$A$502,$A359,Opportunities!$X$3:$X$502,"Yes"))</f>
        <v/>
      </c>
      <c r="AH359" s="32" t="str">
        <f aca="false">IF($A359="","",_xlfn.TEXTJOIN(", ",TRUE(),IF(COUNTIF($A$3:$A$502,$A359)&gt;1,"Duplicate name",""),IF(OR(AND(G359=2,I359=""),AND(J359=2,L359=""),AND(M359=2,O359=""),AND(P359=2,R359="")),"Source missing for a 2",""),IF(F359="","No owner",IF(COUNTIFS(R_TeamName,F359,R_TeamActive,"No")&gt;0,"Needs new owner","")),IF(AND(V359="Yes",X359&lt;&gt;"",X359&lt;S_SemStart),"Path overdue",""),IF(AND(S359&lt;&gt;"",S359&lt;S_Today-365),"Stale research",""),IF(AND(AE359="Research",COUNTIF('Commercial Evidence'!$A$3:$A$502,$A359)=0),"Add commercial evidence","")))</f>
        <v/>
      </c>
      <c r="AI359" s="34" t="str">
        <f aca="false">IF(OR($A359="",Z359="Yes"),"",IF(AND(AE359="Priority",AG359=0,COUNTIFS(Opportunities!$A$3:$A$502,$A359,Opportunities!$Y$3:$Y$502,"Renewal due")=0),600000+(10-AC359)*1000+(4-AD359)*100+ROW()/100000,IF(V359="Yes",700000+IF(X359="",0,X359-40000)/10+ROW()/100000,IF(AND(AE359="Quick Win",U359&lt;&gt;"",AG359=0),800000+(10-AC359)*1000+ROW()/100000,IF(AND(AE359="Build a Path",COUNTIF($V$3:$V$502,"Yes")&lt;S_PathCap),900000+(10-AC359)*1000+(4-AD359)*100+ROW()/100000,"")))))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8"/>
      <c r="T360" s="27"/>
      <c r="U360" s="27"/>
      <c r="V360" s="27"/>
      <c r="W360" s="27"/>
      <c r="X360" s="28"/>
      <c r="Y360" s="27"/>
      <c r="Z360" s="27"/>
      <c r="AA360" s="27"/>
      <c r="AB360" s="32" t="str">
        <f aca="false">IF($A360="","",IF(COUNTIF('Commercial Evidence'!$A$3:$A$502,$A360)=0,"",IF(COUNTIFS('Commercial Evidence'!$A$3:$A$502,$A360,'Commercial Evidence'!$B$3:$B$502,"Previous CBS Talks spend")+COUNTIFS('Commercial Evidence'!$A$3:$A$502,$A360,'Commercial Evidence'!$B$3:$B$502,"Sponsors student organisations")&gt;0,2,IF(COUNTIFS('Commercial Evidence'!$A$3:$A$502,$A360,'Commercial Evidence'!$B$3:$B$502,"Sponsors university activities")+COUNTIFS('Commercial Evidence'!$A$3:$A$502,$A360,'Commercial Evidence'!$B$3:$B$502,"Sponsors similar events")+COUNTIFS('Commercial Evidence'!$A$3:$A$502,$A360,'Commercial Evidence'!$B$3:$B$502,"Previous CBS Talks partner")&gt;0,1,0))))</f>
        <v/>
      </c>
      <c r="AC360" s="32" t="str">
        <f aca="false">IF($A360="","",IF(COUNT(G360,J360,M360,P360,AB360)&lt;5,"",G360+J360+M360+P360+AB360))</f>
        <v/>
      </c>
      <c r="AD360" s="32" t="str">
        <f aca="false">IF($A360="","",IF(COUNTIFS(Contacts!$A$3:$A$502,$A360,Contacts!$E$3:$E$502,"Champion",Contacts!$K$3:$K$502,"&lt;&gt;Yes",Contacts!$L$3:$L$502,"&lt;&gt;Yes")+COUNTIFS(Opportunities!$A$3:$A$502,$A360,Opportunities!$C$3:$C$502,"Won",Opportunities!$Q$3:$Q$502,"Satisfied")&gt;0,4,IF(COUNTIFS(Interactions!$B$3:$B$502,$A360,Interactions!$I$3:$I$502,"Yes",Interactions!$A$3:$A$502,"&gt;="&amp;(S_Today-S_WarmDays))&gt;0,3,IF(T360&lt;&gt;"",2,IF(COUNTIFS(Contacts!$A$3:$A$502,$A360,Contacts!$M$3:$M$502,"Yes",Contacts!$K$3:$K$502,"&lt;&gt;Yes",Contacts!$L$3:$L$502,"&lt;&gt;Yes")&gt;0,1,0)))))</f>
        <v/>
      </c>
      <c r="AE360" s="32" t="str">
        <f aca="false">IF($A360="","",IF(Z360="Yes","Do not contact",IF(AC360="","Research",IF(AND(AC360&gt;=S_FitHigh,AD360&gt;=S_AccessHigh),"Priority",IF(AC360&gt;=S_FitHigh,"Build a Path",IF(AD360&gt;=S_AccessHigh,"Quick Win","Low Priority"))))))</f>
        <v/>
      </c>
      <c r="AF360" s="33" t="str">
        <f aca="false">IF($A360="","",IF(_xlfn.MAXIFS(Interactions!$A$3:$A$502,Interactions!$B$3:$B$502,$A360)=0,"",_xlfn.MAXIFS(Interactions!$A$3:$A$502,Interactions!$B$3:$B$502,$A360)))</f>
        <v/>
      </c>
      <c r="AG360" s="32" t="str">
        <f aca="false">IF($A360="","",COUNTIFS(Opportunities!$A$3:$A$502,$A360,Opportunities!$X$3:$X$502,"Yes"))</f>
        <v/>
      </c>
      <c r="AH360" s="32" t="str">
        <f aca="false">IF($A360="","",_xlfn.TEXTJOIN(", ",TRUE(),IF(COUNTIF($A$3:$A$502,$A360)&gt;1,"Duplicate name",""),IF(OR(AND(G360=2,I360=""),AND(J360=2,L360=""),AND(M360=2,O360=""),AND(P360=2,R360="")),"Source missing for a 2",""),IF(F360="","No owner",IF(COUNTIFS(R_TeamName,F360,R_TeamActive,"No")&gt;0,"Needs new owner","")),IF(AND(V360="Yes",X360&lt;&gt;"",X360&lt;S_SemStart),"Path overdue",""),IF(AND(S360&lt;&gt;"",S360&lt;S_Today-365),"Stale research",""),IF(AND(AE360="Research",COUNTIF('Commercial Evidence'!$A$3:$A$502,$A360)=0),"Add commercial evidence","")))</f>
        <v/>
      </c>
      <c r="AI360" s="34" t="str">
        <f aca="false">IF(OR($A360="",Z360="Yes"),"",IF(AND(AE360="Priority",AG360=0,COUNTIFS(Opportunities!$A$3:$A$502,$A360,Opportunities!$Y$3:$Y$502,"Renewal due")=0),600000+(10-AC360)*1000+(4-AD360)*100+ROW()/100000,IF(V360="Yes",700000+IF(X360="",0,X360-40000)/10+ROW()/100000,IF(AND(AE360="Quick Win",U360&lt;&gt;"",AG360=0),800000+(10-AC360)*1000+ROW()/100000,IF(AND(AE360="Build a Path",COUNTIF($V$3:$V$502,"Yes")&lt;S_PathCap),900000+(10-AC360)*1000+(4-AD360)*100+ROW()/100000,"")))))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8"/>
      <c r="T361" s="27"/>
      <c r="U361" s="27"/>
      <c r="V361" s="27"/>
      <c r="W361" s="27"/>
      <c r="X361" s="28"/>
      <c r="Y361" s="27"/>
      <c r="Z361" s="27"/>
      <c r="AA361" s="27"/>
      <c r="AB361" s="32" t="str">
        <f aca="false">IF($A361="","",IF(COUNTIF('Commercial Evidence'!$A$3:$A$502,$A361)=0,"",IF(COUNTIFS('Commercial Evidence'!$A$3:$A$502,$A361,'Commercial Evidence'!$B$3:$B$502,"Previous CBS Talks spend")+COUNTIFS('Commercial Evidence'!$A$3:$A$502,$A361,'Commercial Evidence'!$B$3:$B$502,"Sponsors student organisations")&gt;0,2,IF(COUNTIFS('Commercial Evidence'!$A$3:$A$502,$A361,'Commercial Evidence'!$B$3:$B$502,"Sponsors university activities")+COUNTIFS('Commercial Evidence'!$A$3:$A$502,$A361,'Commercial Evidence'!$B$3:$B$502,"Sponsors similar events")+COUNTIFS('Commercial Evidence'!$A$3:$A$502,$A361,'Commercial Evidence'!$B$3:$B$502,"Previous CBS Talks partner")&gt;0,1,0))))</f>
        <v/>
      </c>
      <c r="AC361" s="32" t="str">
        <f aca="false">IF($A361="","",IF(COUNT(G361,J361,M361,P361,AB361)&lt;5,"",G361+J361+M361+P361+AB361))</f>
        <v/>
      </c>
      <c r="AD361" s="32" t="str">
        <f aca="false">IF($A361="","",IF(COUNTIFS(Contacts!$A$3:$A$502,$A361,Contacts!$E$3:$E$502,"Champion",Contacts!$K$3:$K$502,"&lt;&gt;Yes",Contacts!$L$3:$L$502,"&lt;&gt;Yes")+COUNTIFS(Opportunities!$A$3:$A$502,$A361,Opportunities!$C$3:$C$502,"Won",Opportunities!$Q$3:$Q$502,"Satisfied")&gt;0,4,IF(COUNTIFS(Interactions!$B$3:$B$502,$A361,Interactions!$I$3:$I$502,"Yes",Interactions!$A$3:$A$502,"&gt;="&amp;(S_Today-S_WarmDays))&gt;0,3,IF(T361&lt;&gt;"",2,IF(COUNTIFS(Contacts!$A$3:$A$502,$A361,Contacts!$M$3:$M$502,"Yes",Contacts!$K$3:$K$502,"&lt;&gt;Yes",Contacts!$L$3:$L$502,"&lt;&gt;Yes")&gt;0,1,0)))))</f>
        <v/>
      </c>
      <c r="AE361" s="32" t="str">
        <f aca="false">IF($A361="","",IF(Z361="Yes","Do not contact",IF(AC361="","Research",IF(AND(AC361&gt;=S_FitHigh,AD361&gt;=S_AccessHigh),"Priority",IF(AC361&gt;=S_FitHigh,"Build a Path",IF(AD361&gt;=S_AccessHigh,"Quick Win","Low Priority"))))))</f>
        <v/>
      </c>
      <c r="AF361" s="33" t="str">
        <f aca="false">IF($A361="","",IF(_xlfn.MAXIFS(Interactions!$A$3:$A$502,Interactions!$B$3:$B$502,$A361)=0,"",_xlfn.MAXIFS(Interactions!$A$3:$A$502,Interactions!$B$3:$B$502,$A361)))</f>
        <v/>
      </c>
      <c r="AG361" s="32" t="str">
        <f aca="false">IF($A361="","",COUNTIFS(Opportunities!$A$3:$A$502,$A361,Opportunities!$X$3:$X$502,"Yes"))</f>
        <v/>
      </c>
      <c r="AH361" s="32" t="str">
        <f aca="false">IF($A361="","",_xlfn.TEXTJOIN(", ",TRUE(),IF(COUNTIF($A$3:$A$502,$A361)&gt;1,"Duplicate name",""),IF(OR(AND(G361=2,I361=""),AND(J361=2,L361=""),AND(M361=2,O361=""),AND(P361=2,R361="")),"Source missing for a 2",""),IF(F361="","No owner",IF(COUNTIFS(R_TeamName,F361,R_TeamActive,"No")&gt;0,"Needs new owner","")),IF(AND(V361="Yes",X361&lt;&gt;"",X361&lt;S_SemStart),"Path overdue",""),IF(AND(S361&lt;&gt;"",S361&lt;S_Today-365),"Stale research",""),IF(AND(AE361="Research",COUNTIF('Commercial Evidence'!$A$3:$A$502,$A361)=0),"Add commercial evidence","")))</f>
        <v/>
      </c>
      <c r="AI361" s="34" t="str">
        <f aca="false">IF(OR($A361="",Z361="Yes"),"",IF(AND(AE361="Priority",AG361=0,COUNTIFS(Opportunities!$A$3:$A$502,$A361,Opportunities!$Y$3:$Y$502,"Renewal due")=0),600000+(10-AC361)*1000+(4-AD361)*100+ROW()/100000,IF(V361="Yes",700000+IF(X361="",0,X361-40000)/10+ROW()/100000,IF(AND(AE361="Quick Win",U361&lt;&gt;"",AG361=0),800000+(10-AC361)*1000+ROW()/100000,IF(AND(AE361="Build a Path",COUNTIF($V$3:$V$502,"Yes")&lt;S_PathCap),900000+(10-AC361)*1000+(4-AD361)*100+ROW()/100000,"")))))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8"/>
      <c r="T362" s="27"/>
      <c r="U362" s="27"/>
      <c r="V362" s="27"/>
      <c r="W362" s="27"/>
      <c r="X362" s="28"/>
      <c r="Y362" s="27"/>
      <c r="Z362" s="27"/>
      <c r="AA362" s="27"/>
      <c r="AB362" s="32" t="str">
        <f aca="false">IF($A362="","",IF(COUNTIF('Commercial Evidence'!$A$3:$A$502,$A362)=0,"",IF(COUNTIFS('Commercial Evidence'!$A$3:$A$502,$A362,'Commercial Evidence'!$B$3:$B$502,"Previous CBS Talks spend")+COUNTIFS('Commercial Evidence'!$A$3:$A$502,$A362,'Commercial Evidence'!$B$3:$B$502,"Sponsors student organisations")&gt;0,2,IF(COUNTIFS('Commercial Evidence'!$A$3:$A$502,$A362,'Commercial Evidence'!$B$3:$B$502,"Sponsors university activities")+COUNTIFS('Commercial Evidence'!$A$3:$A$502,$A362,'Commercial Evidence'!$B$3:$B$502,"Sponsors similar events")+COUNTIFS('Commercial Evidence'!$A$3:$A$502,$A362,'Commercial Evidence'!$B$3:$B$502,"Previous CBS Talks partner")&gt;0,1,0))))</f>
        <v/>
      </c>
      <c r="AC362" s="32" t="str">
        <f aca="false">IF($A362="","",IF(COUNT(G362,J362,M362,P362,AB362)&lt;5,"",G362+J362+M362+P362+AB362))</f>
        <v/>
      </c>
      <c r="AD362" s="32" t="str">
        <f aca="false">IF($A362="","",IF(COUNTIFS(Contacts!$A$3:$A$502,$A362,Contacts!$E$3:$E$502,"Champion",Contacts!$K$3:$K$502,"&lt;&gt;Yes",Contacts!$L$3:$L$502,"&lt;&gt;Yes")+COUNTIFS(Opportunities!$A$3:$A$502,$A362,Opportunities!$C$3:$C$502,"Won",Opportunities!$Q$3:$Q$502,"Satisfied")&gt;0,4,IF(COUNTIFS(Interactions!$B$3:$B$502,$A362,Interactions!$I$3:$I$502,"Yes",Interactions!$A$3:$A$502,"&gt;="&amp;(S_Today-S_WarmDays))&gt;0,3,IF(T362&lt;&gt;"",2,IF(COUNTIFS(Contacts!$A$3:$A$502,$A362,Contacts!$M$3:$M$502,"Yes",Contacts!$K$3:$K$502,"&lt;&gt;Yes",Contacts!$L$3:$L$502,"&lt;&gt;Yes")&gt;0,1,0)))))</f>
        <v/>
      </c>
      <c r="AE362" s="32" t="str">
        <f aca="false">IF($A362="","",IF(Z362="Yes","Do not contact",IF(AC362="","Research",IF(AND(AC362&gt;=S_FitHigh,AD362&gt;=S_AccessHigh),"Priority",IF(AC362&gt;=S_FitHigh,"Build a Path",IF(AD362&gt;=S_AccessHigh,"Quick Win","Low Priority"))))))</f>
        <v/>
      </c>
      <c r="AF362" s="33" t="str">
        <f aca="false">IF($A362="","",IF(_xlfn.MAXIFS(Interactions!$A$3:$A$502,Interactions!$B$3:$B$502,$A362)=0,"",_xlfn.MAXIFS(Interactions!$A$3:$A$502,Interactions!$B$3:$B$502,$A362)))</f>
        <v/>
      </c>
      <c r="AG362" s="32" t="str">
        <f aca="false">IF($A362="","",COUNTIFS(Opportunities!$A$3:$A$502,$A362,Opportunities!$X$3:$X$502,"Yes"))</f>
        <v/>
      </c>
      <c r="AH362" s="32" t="str">
        <f aca="false">IF($A362="","",_xlfn.TEXTJOIN(", ",TRUE(),IF(COUNTIF($A$3:$A$502,$A362)&gt;1,"Duplicate name",""),IF(OR(AND(G362=2,I362=""),AND(J362=2,L362=""),AND(M362=2,O362=""),AND(P362=2,R362="")),"Source missing for a 2",""),IF(F362="","No owner",IF(COUNTIFS(R_TeamName,F362,R_TeamActive,"No")&gt;0,"Needs new owner","")),IF(AND(V362="Yes",X362&lt;&gt;"",X362&lt;S_SemStart),"Path overdue",""),IF(AND(S362&lt;&gt;"",S362&lt;S_Today-365),"Stale research",""),IF(AND(AE362="Research",COUNTIF('Commercial Evidence'!$A$3:$A$502,$A362)=0),"Add commercial evidence","")))</f>
        <v/>
      </c>
      <c r="AI362" s="34" t="str">
        <f aca="false">IF(OR($A362="",Z362="Yes"),"",IF(AND(AE362="Priority",AG362=0,COUNTIFS(Opportunities!$A$3:$A$502,$A362,Opportunities!$Y$3:$Y$502,"Renewal due")=0),600000+(10-AC362)*1000+(4-AD362)*100+ROW()/100000,IF(V362="Yes",700000+IF(X362="",0,X362-40000)/10+ROW()/100000,IF(AND(AE362="Quick Win",U362&lt;&gt;"",AG362=0),800000+(10-AC362)*1000+ROW()/100000,IF(AND(AE362="Build a Path",COUNTIF($V$3:$V$502,"Yes")&lt;S_PathCap),900000+(10-AC362)*1000+(4-AD362)*100+ROW()/100000,"")))))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8"/>
      <c r="T363" s="27"/>
      <c r="U363" s="27"/>
      <c r="V363" s="27"/>
      <c r="W363" s="27"/>
      <c r="X363" s="28"/>
      <c r="Y363" s="27"/>
      <c r="Z363" s="27"/>
      <c r="AA363" s="27"/>
      <c r="AB363" s="32" t="str">
        <f aca="false">IF($A363="","",IF(COUNTIF('Commercial Evidence'!$A$3:$A$502,$A363)=0,"",IF(COUNTIFS('Commercial Evidence'!$A$3:$A$502,$A363,'Commercial Evidence'!$B$3:$B$502,"Previous CBS Talks spend")+COUNTIFS('Commercial Evidence'!$A$3:$A$502,$A363,'Commercial Evidence'!$B$3:$B$502,"Sponsors student organisations")&gt;0,2,IF(COUNTIFS('Commercial Evidence'!$A$3:$A$502,$A363,'Commercial Evidence'!$B$3:$B$502,"Sponsors university activities")+COUNTIFS('Commercial Evidence'!$A$3:$A$502,$A363,'Commercial Evidence'!$B$3:$B$502,"Sponsors similar events")+COUNTIFS('Commercial Evidence'!$A$3:$A$502,$A363,'Commercial Evidence'!$B$3:$B$502,"Previous CBS Talks partner")&gt;0,1,0))))</f>
        <v/>
      </c>
      <c r="AC363" s="32" t="str">
        <f aca="false">IF($A363="","",IF(COUNT(G363,J363,M363,P363,AB363)&lt;5,"",G363+J363+M363+P363+AB363))</f>
        <v/>
      </c>
      <c r="AD363" s="32" t="str">
        <f aca="false">IF($A363="","",IF(COUNTIFS(Contacts!$A$3:$A$502,$A363,Contacts!$E$3:$E$502,"Champion",Contacts!$K$3:$K$502,"&lt;&gt;Yes",Contacts!$L$3:$L$502,"&lt;&gt;Yes")+COUNTIFS(Opportunities!$A$3:$A$502,$A363,Opportunities!$C$3:$C$502,"Won",Opportunities!$Q$3:$Q$502,"Satisfied")&gt;0,4,IF(COUNTIFS(Interactions!$B$3:$B$502,$A363,Interactions!$I$3:$I$502,"Yes",Interactions!$A$3:$A$502,"&gt;="&amp;(S_Today-S_WarmDays))&gt;0,3,IF(T363&lt;&gt;"",2,IF(COUNTIFS(Contacts!$A$3:$A$502,$A363,Contacts!$M$3:$M$502,"Yes",Contacts!$K$3:$K$502,"&lt;&gt;Yes",Contacts!$L$3:$L$502,"&lt;&gt;Yes")&gt;0,1,0)))))</f>
        <v/>
      </c>
      <c r="AE363" s="32" t="str">
        <f aca="false">IF($A363="","",IF(Z363="Yes","Do not contact",IF(AC363="","Research",IF(AND(AC363&gt;=S_FitHigh,AD363&gt;=S_AccessHigh),"Priority",IF(AC363&gt;=S_FitHigh,"Build a Path",IF(AD363&gt;=S_AccessHigh,"Quick Win","Low Priority"))))))</f>
        <v/>
      </c>
      <c r="AF363" s="33" t="str">
        <f aca="false">IF($A363="","",IF(_xlfn.MAXIFS(Interactions!$A$3:$A$502,Interactions!$B$3:$B$502,$A363)=0,"",_xlfn.MAXIFS(Interactions!$A$3:$A$502,Interactions!$B$3:$B$502,$A363)))</f>
        <v/>
      </c>
      <c r="AG363" s="32" t="str">
        <f aca="false">IF($A363="","",COUNTIFS(Opportunities!$A$3:$A$502,$A363,Opportunities!$X$3:$X$502,"Yes"))</f>
        <v/>
      </c>
      <c r="AH363" s="32" t="str">
        <f aca="false">IF($A363="","",_xlfn.TEXTJOIN(", ",TRUE(),IF(COUNTIF($A$3:$A$502,$A363)&gt;1,"Duplicate name",""),IF(OR(AND(G363=2,I363=""),AND(J363=2,L363=""),AND(M363=2,O363=""),AND(P363=2,R363="")),"Source missing for a 2",""),IF(F363="","No owner",IF(COUNTIFS(R_TeamName,F363,R_TeamActive,"No")&gt;0,"Needs new owner","")),IF(AND(V363="Yes",X363&lt;&gt;"",X363&lt;S_SemStart),"Path overdue",""),IF(AND(S363&lt;&gt;"",S363&lt;S_Today-365),"Stale research",""),IF(AND(AE363="Research",COUNTIF('Commercial Evidence'!$A$3:$A$502,$A363)=0),"Add commercial evidence","")))</f>
        <v/>
      </c>
      <c r="AI363" s="34" t="str">
        <f aca="false">IF(OR($A363="",Z363="Yes"),"",IF(AND(AE363="Priority",AG363=0,COUNTIFS(Opportunities!$A$3:$A$502,$A363,Opportunities!$Y$3:$Y$502,"Renewal due")=0),600000+(10-AC363)*1000+(4-AD363)*100+ROW()/100000,IF(V363="Yes",700000+IF(X363="",0,X363-40000)/10+ROW()/100000,IF(AND(AE363="Quick Win",U363&lt;&gt;"",AG363=0),800000+(10-AC363)*1000+ROW()/100000,IF(AND(AE363="Build a Path",COUNTIF($V$3:$V$502,"Yes")&lt;S_PathCap),900000+(10-AC363)*1000+(4-AD363)*100+ROW()/100000,"")))))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8"/>
      <c r="T364" s="27"/>
      <c r="U364" s="27"/>
      <c r="V364" s="27"/>
      <c r="W364" s="27"/>
      <c r="X364" s="28"/>
      <c r="Y364" s="27"/>
      <c r="Z364" s="27"/>
      <c r="AA364" s="27"/>
      <c r="AB364" s="32" t="str">
        <f aca="false">IF($A364="","",IF(COUNTIF('Commercial Evidence'!$A$3:$A$502,$A364)=0,"",IF(COUNTIFS('Commercial Evidence'!$A$3:$A$502,$A364,'Commercial Evidence'!$B$3:$B$502,"Previous CBS Talks spend")+COUNTIFS('Commercial Evidence'!$A$3:$A$502,$A364,'Commercial Evidence'!$B$3:$B$502,"Sponsors student organisations")&gt;0,2,IF(COUNTIFS('Commercial Evidence'!$A$3:$A$502,$A364,'Commercial Evidence'!$B$3:$B$502,"Sponsors university activities")+COUNTIFS('Commercial Evidence'!$A$3:$A$502,$A364,'Commercial Evidence'!$B$3:$B$502,"Sponsors similar events")+COUNTIFS('Commercial Evidence'!$A$3:$A$502,$A364,'Commercial Evidence'!$B$3:$B$502,"Previous CBS Talks partner")&gt;0,1,0))))</f>
        <v/>
      </c>
      <c r="AC364" s="32" t="str">
        <f aca="false">IF($A364="","",IF(COUNT(G364,J364,M364,P364,AB364)&lt;5,"",G364+J364+M364+P364+AB364))</f>
        <v/>
      </c>
      <c r="AD364" s="32" t="str">
        <f aca="false">IF($A364="","",IF(COUNTIFS(Contacts!$A$3:$A$502,$A364,Contacts!$E$3:$E$502,"Champion",Contacts!$K$3:$K$502,"&lt;&gt;Yes",Contacts!$L$3:$L$502,"&lt;&gt;Yes")+COUNTIFS(Opportunities!$A$3:$A$502,$A364,Opportunities!$C$3:$C$502,"Won",Opportunities!$Q$3:$Q$502,"Satisfied")&gt;0,4,IF(COUNTIFS(Interactions!$B$3:$B$502,$A364,Interactions!$I$3:$I$502,"Yes",Interactions!$A$3:$A$502,"&gt;="&amp;(S_Today-S_WarmDays))&gt;0,3,IF(T364&lt;&gt;"",2,IF(COUNTIFS(Contacts!$A$3:$A$502,$A364,Contacts!$M$3:$M$502,"Yes",Contacts!$K$3:$K$502,"&lt;&gt;Yes",Contacts!$L$3:$L$502,"&lt;&gt;Yes")&gt;0,1,0)))))</f>
        <v/>
      </c>
      <c r="AE364" s="32" t="str">
        <f aca="false">IF($A364="","",IF(Z364="Yes","Do not contact",IF(AC364="","Research",IF(AND(AC364&gt;=S_FitHigh,AD364&gt;=S_AccessHigh),"Priority",IF(AC364&gt;=S_FitHigh,"Build a Path",IF(AD364&gt;=S_AccessHigh,"Quick Win","Low Priority"))))))</f>
        <v/>
      </c>
      <c r="AF364" s="33" t="str">
        <f aca="false">IF($A364="","",IF(_xlfn.MAXIFS(Interactions!$A$3:$A$502,Interactions!$B$3:$B$502,$A364)=0,"",_xlfn.MAXIFS(Interactions!$A$3:$A$502,Interactions!$B$3:$B$502,$A364)))</f>
        <v/>
      </c>
      <c r="AG364" s="32" t="str">
        <f aca="false">IF($A364="","",COUNTIFS(Opportunities!$A$3:$A$502,$A364,Opportunities!$X$3:$X$502,"Yes"))</f>
        <v/>
      </c>
      <c r="AH364" s="32" t="str">
        <f aca="false">IF($A364="","",_xlfn.TEXTJOIN(", ",TRUE(),IF(COUNTIF($A$3:$A$502,$A364)&gt;1,"Duplicate name",""),IF(OR(AND(G364=2,I364=""),AND(J364=2,L364=""),AND(M364=2,O364=""),AND(P364=2,R364="")),"Source missing for a 2",""),IF(F364="","No owner",IF(COUNTIFS(R_TeamName,F364,R_TeamActive,"No")&gt;0,"Needs new owner","")),IF(AND(V364="Yes",X364&lt;&gt;"",X364&lt;S_SemStart),"Path overdue",""),IF(AND(S364&lt;&gt;"",S364&lt;S_Today-365),"Stale research",""),IF(AND(AE364="Research",COUNTIF('Commercial Evidence'!$A$3:$A$502,$A364)=0),"Add commercial evidence","")))</f>
        <v/>
      </c>
      <c r="AI364" s="34" t="str">
        <f aca="false">IF(OR($A364="",Z364="Yes"),"",IF(AND(AE364="Priority",AG364=0,COUNTIFS(Opportunities!$A$3:$A$502,$A364,Opportunities!$Y$3:$Y$502,"Renewal due")=0),600000+(10-AC364)*1000+(4-AD364)*100+ROW()/100000,IF(V364="Yes",700000+IF(X364="",0,X364-40000)/10+ROW()/100000,IF(AND(AE364="Quick Win",U364&lt;&gt;"",AG364=0),800000+(10-AC364)*1000+ROW()/100000,IF(AND(AE364="Build a Path",COUNTIF($V$3:$V$502,"Yes")&lt;S_PathCap),900000+(10-AC364)*1000+(4-AD364)*100+ROW()/100000,"")))))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8"/>
      <c r="T365" s="27"/>
      <c r="U365" s="27"/>
      <c r="V365" s="27"/>
      <c r="W365" s="27"/>
      <c r="X365" s="28"/>
      <c r="Y365" s="27"/>
      <c r="Z365" s="27"/>
      <c r="AA365" s="27"/>
      <c r="AB365" s="32" t="str">
        <f aca="false">IF($A365="","",IF(COUNTIF('Commercial Evidence'!$A$3:$A$502,$A365)=0,"",IF(COUNTIFS('Commercial Evidence'!$A$3:$A$502,$A365,'Commercial Evidence'!$B$3:$B$502,"Previous CBS Talks spend")+COUNTIFS('Commercial Evidence'!$A$3:$A$502,$A365,'Commercial Evidence'!$B$3:$B$502,"Sponsors student organisations")&gt;0,2,IF(COUNTIFS('Commercial Evidence'!$A$3:$A$502,$A365,'Commercial Evidence'!$B$3:$B$502,"Sponsors university activities")+COUNTIFS('Commercial Evidence'!$A$3:$A$502,$A365,'Commercial Evidence'!$B$3:$B$502,"Sponsors similar events")+COUNTIFS('Commercial Evidence'!$A$3:$A$502,$A365,'Commercial Evidence'!$B$3:$B$502,"Previous CBS Talks partner")&gt;0,1,0))))</f>
        <v/>
      </c>
      <c r="AC365" s="32" t="str">
        <f aca="false">IF($A365="","",IF(COUNT(G365,J365,M365,P365,AB365)&lt;5,"",G365+J365+M365+P365+AB365))</f>
        <v/>
      </c>
      <c r="AD365" s="32" t="str">
        <f aca="false">IF($A365="","",IF(COUNTIFS(Contacts!$A$3:$A$502,$A365,Contacts!$E$3:$E$502,"Champion",Contacts!$K$3:$K$502,"&lt;&gt;Yes",Contacts!$L$3:$L$502,"&lt;&gt;Yes")+COUNTIFS(Opportunities!$A$3:$A$502,$A365,Opportunities!$C$3:$C$502,"Won",Opportunities!$Q$3:$Q$502,"Satisfied")&gt;0,4,IF(COUNTIFS(Interactions!$B$3:$B$502,$A365,Interactions!$I$3:$I$502,"Yes",Interactions!$A$3:$A$502,"&gt;="&amp;(S_Today-S_WarmDays))&gt;0,3,IF(T365&lt;&gt;"",2,IF(COUNTIFS(Contacts!$A$3:$A$502,$A365,Contacts!$M$3:$M$502,"Yes",Contacts!$K$3:$K$502,"&lt;&gt;Yes",Contacts!$L$3:$L$502,"&lt;&gt;Yes")&gt;0,1,0)))))</f>
        <v/>
      </c>
      <c r="AE365" s="32" t="str">
        <f aca="false">IF($A365="","",IF(Z365="Yes","Do not contact",IF(AC365="","Research",IF(AND(AC365&gt;=S_FitHigh,AD365&gt;=S_AccessHigh),"Priority",IF(AC365&gt;=S_FitHigh,"Build a Path",IF(AD365&gt;=S_AccessHigh,"Quick Win","Low Priority"))))))</f>
        <v/>
      </c>
      <c r="AF365" s="33" t="str">
        <f aca="false">IF($A365="","",IF(_xlfn.MAXIFS(Interactions!$A$3:$A$502,Interactions!$B$3:$B$502,$A365)=0,"",_xlfn.MAXIFS(Interactions!$A$3:$A$502,Interactions!$B$3:$B$502,$A365)))</f>
        <v/>
      </c>
      <c r="AG365" s="32" t="str">
        <f aca="false">IF($A365="","",COUNTIFS(Opportunities!$A$3:$A$502,$A365,Opportunities!$X$3:$X$502,"Yes"))</f>
        <v/>
      </c>
      <c r="AH365" s="32" t="str">
        <f aca="false">IF($A365="","",_xlfn.TEXTJOIN(", ",TRUE(),IF(COUNTIF($A$3:$A$502,$A365)&gt;1,"Duplicate name",""),IF(OR(AND(G365=2,I365=""),AND(J365=2,L365=""),AND(M365=2,O365=""),AND(P365=2,R365="")),"Source missing for a 2",""),IF(F365="","No owner",IF(COUNTIFS(R_TeamName,F365,R_TeamActive,"No")&gt;0,"Needs new owner","")),IF(AND(V365="Yes",X365&lt;&gt;"",X365&lt;S_SemStart),"Path overdue",""),IF(AND(S365&lt;&gt;"",S365&lt;S_Today-365),"Stale research",""),IF(AND(AE365="Research",COUNTIF('Commercial Evidence'!$A$3:$A$502,$A365)=0),"Add commercial evidence","")))</f>
        <v/>
      </c>
      <c r="AI365" s="34" t="str">
        <f aca="false">IF(OR($A365="",Z365="Yes"),"",IF(AND(AE365="Priority",AG365=0,COUNTIFS(Opportunities!$A$3:$A$502,$A365,Opportunities!$Y$3:$Y$502,"Renewal due")=0),600000+(10-AC365)*1000+(4-AD365)*100+ROW()/100000,IF(V365="Yes",700000+IF(X365="",0,X365-40000)/10+ROW()/100000,IF(AND(AE365="Quick Win",U365&lt;&gt;"",AG365=0),800000+(10-AC365)*1000+ROW()/100000,IF(AND(AE365="Build a Path",COUNTIF($V$3:$V$502,"Yes")&lt;S_PathCap),900000+(10-AC365)*1000+(4-AD365)*100+ROW()/100000,"")))))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8"/>
      <c r="T366" s="27"/>
      <c r="U366" s="27"/>
      <c r="V366" s="27"/>
      <c r="W366" s="27"/>
      <c r="X366" s="28"/>
      <c r="Y366" s="27"/>
      <c r="Z366" s="27"/>
      <c r="AA366" s="27"/>
      <c r="AB366" s="32" t="str">
        <f aca="false">IF($A366="","",IF(COUNTIF('Commercial Evidence'!$A$3:$A$502,$A366)=0,"",IF(COUNTIFS('Commercial Evidence'!$A$3:$A$502,$A366,'Commercial Evidence'!$B$3:$B$502,"Previous CBS Talks spend")+COUNTIFS('Commercial Evidence'!$A$3:$A$502,$A366,'Commercial Evidence'!$B$3:$B$502,"Sponsors student organisations")&gt;0,2,IF(COUNTIFS('Commercial Evidence'!$A$3:$A$502,$A366,'Commercial Evidence'!$B$3:$B$502,"Sponsors university activities")+COUNTIFS('Commercial Evidence'!$A$3:$A$502,$A366,'Commercial Evidence'!$B$3:$B$502,"Sponsors similar events")+COUNTIFS('Commercial Evidence'!$A$3:$A$502,$A366,'Commercial Evidence'!$B$3:$B$502,"Previous CBS Talks partner")&gt;0,1,0))))</f>
        <v/>
      </c>
      <c r="AC366" s="32" t="str">
        <f aca="false">IF($A366="","",IF(COUNT(G366,J366,M366,P366,AB366)&lt;5,"",G366+J366+M366+P366+AB366))</f>
        <v/>
      </c>
      <c r="AD366" s="32" t="str">
        <f aca="false">IF($A366="","",IF(COUNTIFS(Contacts!$A$3:$A$502,$A366,Contacts!$E$3:$E$502,"Champion",Contacts!$K$3:$K$502,"&lt;&gt;Yes",Contacts!$L$3:$L$502,"&lt;&gt;Yes")+COUNTIFS(Opportunities!$A$3:$A$502,$A366,Opportunities!$C$3:$C$502,"Won",Opportunities!$Q$3:$Q$502,"Satisfied")&gt;0,4,IF(COUNTIFS(Interactions!$B$3:$B$502,$A366,Interactions!$I$3:$I$502,"Yes",Interactions!$A$3:$A$502,"&gt;="&amp;(S_Today-S_WarmDays))&gt;0,3,IF(T366&lt;&gt;"",2,IF(COUNTIFS(Contacts!$A$3:$A$502,$A366,Contacts!$M$3:$M$502,"Yes",Contacts!$K$3:$K$502,"&lt;&gt;Yes",Contacts!$L$3:$L$502,"&lt;&gt;Yes")&gt;0,1,0)))))</f>
        <v/>
      </c>
      <c r="AE366" s="32" t="str">
        <f aca="false">IF($A366="","",IF(Z366="Yes","Do not contact",IF(AC366="","Research",IF(AND(AC366&gt;=S_FitHigh,AD366&gt;=S_AccessHigh),"Priority",IF(AC366&gt;=S_FitHigh,"Build a Path",IF(AD366&gt;=S_AccessHigh,"Quick Win","Low Priority"))))))</f>
        <v/>
      </c>
      <c r="AF366" s="33" t="str">
        <f aca="false">IF($A366="","",IF(_xlfn.MAXIFS(Interactions!$A$3:$A$502,Interactions!$B$3:$B$502,$A366)=0,"",_xlfn.MAXIFS(Interactions!$A$3:$A$502,Interactions!$B$3:$B$502,$A366)))</f>
        <v/>
      </c>
      <c r="AG366" s="32" t="str">
        <f aca="false">IF($A366="","",COUNTIFS(Opportunities!$A$3:$A$502,$A366,Opportunities!$X$3:$X$502,"Yes"))</f>
        <v/>
      </c>
      <c r="AH366" s="32" t="str">
        <f aca="false">IF($A366="","",_xlfn.TEXTJOIN(", ",TRUE(),IF(COUNTIF($A$3:$A$502,$A366)&gt;1,"Duplicate name",""),IF(OR(AND(G366=2,I366=""),AND(J366=2,L366=""),AND(M366=2,O366=""),AND(P366=2,R366="")),"Source missing for a 2",""),IF(F366="","No owner",IF(COUNTIFS(R_TeamName,F366,R_TeamActive,"No")&gt;0,"Needs new owner","")),IF(AND(V366="Yes",X366&lt;&gt;"",X366&lt;S_SemStart),"Path overdue",""),IF(AND(S366&lt;&gt;"",S366&lt;S_Today-365),"Stale research",""),IF(AND(AE366="Research",COUNTIF('Commercial Evidence'!$A$3:$A$502,$A366)=0),"Add commercial evidence","")))</f>
        <v/>
      </c>
      <c r="AI366" s="34" t="str">
        <f aca="false">IF(OR($A366="",Z366="Yes"),"",IF(AND(AE366="Priority",AG366=0,COUNTIFS(Opportunities!$A$3:$A$502,$A366,Opportunities!$Y$3:$Y$502,"Renewal due")=0),600000+(10-AC366)*1000+(4-AD366)*100+ROW()/100000,IF(V366="Yes",700000+IF(X366="",0,X366-40000)/10+ROW()/100000,IF(AND(AE366="Quick Win",U366&lt;&gt;"",AG366=0),800000+(10-AC366)*1000+ROW()/100000,IF(AND(AE366="Build a Path",COUNTIF($V$3:$V$502,"Yes")&lt;S_PathCap),900000+(10-AC366)*1000+(4-AD366)*100+ROW()/100000,"")))))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8"/>
      <c r="T367" s="27"/>
      <c r="U367" s="27"/>
      <c r="V367" s="27"/>
      <c r="W367" s="27"/>
      <c r="X367" s="28"/>
      <c r="Y367" s="27"/>
      <c r="Z367" s="27"/>
      <c r="AA367" s="27"/>
      <c r="AB367" s="32" t="str">
        <f aca="false">IF($A367="","",IF(COUNTIF('Commercial Evidence'!$A$3:$A$502,$A367)=0,"",IF(COUNTIFS('Commercial Evidence'!$A$3:$A$502,$A367,'Commercial Evidence'!$B$3:$B$502,"Previous CBS Talks spend")+COUNTIFS('Commercial Evidence'!$A$3:$A$502,$A367,'Commercial Evidence'!$B$3:$B$502,"Sponsors student organisations")&gt;0,2,IF(COUNTIFS('Commercial Evidence'!$A$3:$A$502,$A367,'Commercial Evidence'!$B$3:$B$502,"Sponsors university activities")+COUNTIFS('Commercial Evidence'!$A$3:$A$502,$A367,'Commercial Evidence'!$B$3:$B$502,"Sponsors similar events")+COUNTIFS('Commercial Evidence'!$A$3:$A$502,$A367,'Commercial Evidence'!$B$3:$B$502,"Previous CBS Talks partner")&gt;0,1,0))))</f>
        <v/>
      </c>
      <c r="AC367" s="32" t="str">
        <f aca="false">IF($A367="","",IF(COUNT(G367,J367,M367,P367,AB367)&lt;5,"",G367+J367+M367+P367+AB367))</f>
        <v/>
      </c>
      <c r="AD367" s="32" t="str">
        <f aca="false">IF($A367="","",IF(COUNTIFS(Contacts!$A$3:$A$502,$A367,Contacts!$E$3:$E$502,"Champion",Contacts!$K$3:$K$502,"&lt;&gt;Yes",Contacts!$L$3:$L$502,"&lt;&gt;Yes")+COUNTIFS(Opportunities!$A$3:$A$502,$A367,Opportunities!$C$3:$C$502,"Won",Opportunities!$Q$3:$Q$502,"Satisfied")&gt;0,4,IF(COUNTIFS(Interactions!$B$3:$B$502,$A367,Interactions!$I$3:$I$502,"Yes",Interactions!$A$3:$A$502,"&gt;="&amp;(S_Today-S_WarmDays))&gt;0,3,IF(T367&lt;&gt;"",2,IF(COUNTIFS(Contacts!$A$3:$A$502,$A367,Contacts!$M$3:$M$502,"Yes",Contacts!$K$3:$K$502,"&lt;&gt;Yes",Contacts!$L$3:$L$502,"&lt;&gt;Yes")&gt;0,1,0)))))</f>
        <v/>
      </c>
      <c r="AE367" s="32" t="str">
        <f aca="false">IF($A367="","",IF(Z367="Yes","Do not contact",IF(AC367="","Research",IF(AND(AC367&gt;=S_FitHigh,AD367&gt;=S_AccessHigh),"Priority",IF(AC367&gt;=S_FitHigh,"Build a Path",IF(AD367&gt;=S_AccessHigh,"Quick Win","Low Priority"))))))</f>
        <v/>
      </c>
      <c r="AF367" s="33" t="str">
        <f aca="false">IF($A367="","",IF(_xlfn.MAXIFS(Interactions!$A$3:$A$502,Interactions!$B$3:$B$502,$A367)=0,"",_xlfn.MAXIFS(Interactions!$A$3:$A$502,Interactions!$B$3:$B$502,$A367)))</f>
        <v/>
      </c>
      <c r="AG367" s="32" t="str">
        <f aca="false">IF($A367="","",COUNTIFS(Opportunities!$A$3:$A$502,$A367,Opportunities!$X$3:$X$502,"Yes"))</f>
        <v/>
      </c>
      <c r="AH367" s="32" t="str">
        <f aca="false">IF($A367="","",_xlfn.TEXTJOIN(", ",TRUE(),IF(COUNTIF($A$3:$A$502,$A367)&gt;1,"Duplicate name",""),IF(OR(AND(G367=2,I367=""),AND(J367=2,L367=""),AND(M367=2,O367=""),AND(P367=2,R367="")),"Source missing for a 2",""),IF(F367="","No owner",IF(COUNTIFS(R_TeamName,F367,R_TeamActive,"No")&gt;0,"Needs new owner","")),IF(AND(V367="Yes",X367&lt;&gt;"",X367&lt;S_SemStart),"Path overdue",""),IF(AND(S367&lt;&gt;"",S367&lt;S_Today-365),"Stale research",""),IF(AND(AE367="Research",COUNTIF('Commercial Evidence'!$A$3:$A$502,$A367)=0),"Add commercial evidence","")))</f>
        <v/>
      </c>
      <c r="AI367" s="34" t="str">
        <f aca="false">IF(OR($A367="",Z367="Yes"),"",IF(AND(AE367="Priority",AG367=0,COUNTIFS(Opportunities!$A$3:$A$502,$A367,Opportunities!$Y$3:$Y$502,"Renewal due")=0),600000+(10-AC367)*1000+(4-AD367)*100+ROW()/100000,IF(V367="Yes",700000+IF(X367="",0,X367-40000)/10+ROW()/100000,IF(AND(AE367="Quick Win",U367&lt;&gt;"",AG367=0),800000+(10-AC367)*1000+ROW()/100000,IF(AND(AE367="Build a Path",COUNTIF($V$3:$V$502,"Yes")&lt;S_PathCap),900000+(10-AC367)*1000+(4-AD367)*100+ROW()/100000,"")))))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8"/>
      <c r="T368" s="27"/>
      <c r="U368" s="27"/>
      <c r="V368" s="27"/>
      <c r="W368" s="27"/>
      <c r="X368" s="28"/>
      <c r="Y368" s="27"/>
      <c r="Z368" s="27"/>
      <c r="AA368" s="27"/>
      <c r="AB368" s="32" t="str">
        <f aca="false">IF($A368="","",IF(COUNTIF('Commercial Evidence'!$A$3:$A$502,$A368)=0,"",IF(COUNTIFS('Commercial Evidence'!$A$3:$A$502,$A368,'Commercial Evidence'!$B$3:$B$502,"Previous CBS Talks spend")+COUNTIFS('Commercial Evidence'!$A$3:$A$502,$A368,'Commercial Evidence'!$B$3:$B$502,"Sponsors student organisations")&gt;0,2,IF(COUNTIFS('Commercial Evidence'!$A$3:$A$502,$A368,'Commercial Evidence'!$B$3:$B$502,"Sponsors university activities")+COUNTIFS('Commercial Evidence'!$A$3:$A$502,$A368,'Commercial Evidence'!$B$3:$B$502,"Sponsors similar events")+COUNTIFS('Commercial Evidence'!$A$3:$A$502,$A368,'Commercial Evidence'!$B$3:$B$502,"Previous CBS Talks partner")&gt;0,1,0))))</f>
        <v/>
      </c>
      <c r="AC368" s="32" t="str">
        <f aca="false">IF($A368="","",IF(COUNT(G368,J368,M368,P368,AB368)&lt;5,"",G368+J368+M368+P368+AB368))</f>
        <v/>
      </c>
      <c r="AD368" s="32" t="str">
        <f aca="false">IF($A368="","",IF(COUNTIFS(Contacts!$A$3:$A$502,$A368,Contacts!$E$3:$E$502,"Champion",Contacts!$K$3:$K$502,"&lt;&gt;Yes",Contacts!$L$3:$L$502,"&lt;&gt;Yes")+COUNTIFS(Opportunities!$A$3:$A$502,$A368,Opportunities!$C$3:$C$502,"Won",Opportunities!$Q$3:$Q$502,"Satisfied")&gt;0,4,IF(COUNTIFS(Interactions!$B$3:$B$502,$A368,Interactions!$I$3:$I$502,"Yes",Interactions!$A$3:$A$502,"&gt;="&amp;(S_Today-S_WarmDays))&gt;0,3,IF(T368&lt;&gt;"",2,IF(COUNTIFS(Contacts!$A$3:$A$502,$A368,Contacts!$M$3:$M$502,"Yes",Contacts!$K$3:$K$502,"&lt;&gt;Yes",Contacts!$L$3:$L$502,"&lt;&gt;Yes")&gt;0,1,0)))))</f>
        <v/>
      </c>
      <c r="AE368" s="32" t="str">
        <f aca="false">IF($A368="","",IF(Z368="Yes","Do not contact",IF(AC368="","Research",IF(AND(AC368&gt;=S_FitHigh,AD368&gt;=S_AccessHigh),"Priority",IF(AC368&gt;=S_FitHigh,"Build a Path",IF(AD368&gt;=S_AccessHigh,"Quick Win","Low Priority"))))))</f>
        <v/>
      </c>
      <c r="AF368" s="33" t="str">
        <f aca="false">IF($A368="","",IF(_xlfn.MAXIFS(Interactions!$A$3:$A$502,Interactions!$B$3:$B$502,$A368)=0,"",_xlfn.MAXIFS(Interactions!$A$3:$A$502,Interactions!$B$3:$B$502,$A368)))</f>
        <v/>
      </c>
      <c r="AG368" s="32" t="str">
        <f aca="false">IF($A368="","",COUNTIFS(Opportunities!$A$3:$A$502,$A368,Opportunities!$X$3:$X$502,"Yes"))</f>
        <v/>
      </c>
      <c r="AH368" s="32" t="str">
        <f aca="false">IF($A368="","",_xlfn.TEXTJOIN(", ",TRUE(),IF(COUNTIF($A$3:$A$502,$A368)&gt;1,"Duplicate name",""),IF(OR(AND(G368=2,I368=""),AND(J368=2,L368=""),AND(M368=2,O368=""),AND(P368=2,R368="")),"Source missing for a 2",""),IF(F368="","No owner",IF(COUNTIFS(R_TeamName,F368,R_TeamActive,"No")&gt;0,"Needs new owner","")),IF(AND(V368="Yes",X368&lt;&gt;"",X368&lt;S_SemStart),"Path overdue",""),IF(AND(S368&lt;&gt;"",S368&lt;S_Today-365),"Stale research",""),IF(AND(AE368="Research",COUNTIF('Commercial Evidence'!$A$3:$A$502,$A368)=0),"Add commercial evidence","")))</f>
        <v/>
      </c>
      <c r="AI368" s="34" t="str">
        <f aca="false">IF(OR($A368="",Z368="Yes"),"",IF(AND(AE368="Priority",AG368=0,COUNTIFS(Opportunities!$A$3:$A$502,$A368,Opportunities!$Y$3:$Y$502,"Renewal due")=0),600000+(10-AC368)*1000+(4-AD368)*100+ROW()/100000,IF(V368="Yes",700000+IF(X368="",0,X368-40000)/10+ROW()/100000,IF(AND(AE368="Quick Win",U368&lt;&gt;"",AG368=0),800000+(10-AC368)*1000+ROW()/100000,IF(AND(AE368="Build a Path",COUNTIF($V$3:$V$502,"Yes")&lt;S_PathCap),900000+(10-AC368)*1000+(4-AD368)*100+ROW()/100000,"")))))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8"/>
      <c r="T369" s="27"/>
      <c r="U369" s="27"/>
      <c r="V369" s="27"/>
      <c r="W369" s="27"/>
      <c r="X369" s="28"/>
      <c r="Y369" s="27"/>
      <c r="Z369" s="27"/>
      <c r="AA369" s="27"/>
      <c r="AB369" s="32" t="str">
        <f aca="false">IF($A369="","",IF(COUNTIF('Commercial Evidence'!$A$3:$A$502,$A369)=0,"",IF(COUNTIFS('Commercial Evidence'!$A$3:$A$502,$A369,'Commercial Evidence'!$B$3:$B$502,"Previous CBS Talks spend")+COUNTIFS('Commercial Evidence'!$A$3:$A$502,$A369,'Commercial Evidence'!$B$3:$B$502,"Sponsors student organisations")&gt;0,2,IF(COUNTIFS('Commercial Evidence'!$A$3:$A$502,$A369,'Commercial Evidence'!$B$3:$B$502,"Sponsors university activities")+COUNTIFS('Commercial Evidence'!$A$3:$A$502,$A369,'Commercial Evidence'!$B$3:$B$502,"Sponsors similar events")+COUNTIFS('Commercial Evidence'!$A$3:$A$502,$A369,'Commercial Evidence'!$B$3:$B$502,"Previous CBS Talks partner")&gt;0,1,0))))</f>
        <v/>
      </c>
      <c r="AC369" s="32" t="str">
        <f aca="false">IF($A369="","",IF(COUNT(G369,J369,M369,P369,AB369)&lt;5,"",G369+J369+M369+P369+AB369))</f>
        <v/>
      </c>
      <c r="AD369" s="32" t="str">
        <f aca="false">IF($A369="","",IF(COUNTIFS(Contacts!$A$3:$A$502,$A369,Contacts!$E$3:$E$502,"Champion",Contacts!$K$3:$K$502,"&lt;&gt;Yes",Contacts!$L$3:$L$502,"&lt;&gt;Yes")+COUNTIFS(Opportunities!$A$3:$A$502,$A369,Opportunities!$C$3:$C$502,"Won",Opportunities!$Q$3:$Q$502,"Satisfied")&gt;0,4,IF(COUNTIFS(Interactions!$B$3:$B$502,$A369,Interactions!$I$3:$I$502,"Yes",Interactions!$A$3:$A$502,"&gt;="&amp;(S_Today-S_WarmDays))&gt;0,3,IF(T369&lt;&gt;"",2,IF(COUNTIFS(Contacts!$A$3:$A$502,$A369,Contacts!$M$3:$M$502,"Yes",Contacts!$K$3:$K$502,"&lt;&gt;Yes",Contacts!$L$3:$L$502,"&lt;&gt;Yes")&gt;0,1,0)))))</f>
        <v/>
      </c>
      <c r="AE369" s="32" t="str">
        <f aca="false">IF($A369="","",IF(Z369="Yes","Do not contact",IF(AC369="","Research",IF(AND(AC369&gt;=S_FitHigh,AD369&gt;=S_AccessHigh),"Priority",IF(AC369&gt;=S_FitHigh,"Build a Path",IF(AD369&gt;=S_AccessHigh,"Quick Win","Low Priority"))))))</f>
        <v/>
      </c>
      <c r="AF369" s="33" t="str">
        <f aca="false">IF($A369="","",IF(_xlfn.MAXIFS(Interactions!$A$3:$A$502,Interactions!$B$3:$B$502,$A369)=0,"",_xlfn.MAXIFS(Interactions!$A$3:$A$502,Interactions!$B$3:$B$502,$A369)))</f>
        <v/>
      </c>
      <c r="AG369" s="32" t="str">
        <f aca="false">IF($A369="","",COUNTIFS(Opportunities!$A$3:$A$502,$A369,Opportunities!$X$3:$X$502,"Yes"))</f>
        <v/>
      </c>
      <c r="AH369" s="32" t="str">
        <f aca="false">IF($A369="","",_xlfn.TEXTJOIN(", ",TRUE(),IF(COUNTIF($A$3:$A$502,$A369)&gt;1,"Duplicate name",""),IF(OR(AND(G369=2,I369=""),AND(J369=2,L369=""),AND(M369=2,O369=""),AND(P369=2,R369="")),"Source missing for a 2",""),IF(F369="","No owner",IF(COUNTIFS(R_TeamName,F369,R_TeamActive,"No")&gt;0,"Needs new owner","")),IF(AND(V369="Yes",X369&lt;&gt;"",X369&lt;S_SemStart),"Path overdue",""),IF(AND(S369&lt;&gt;"",S369&lt;S_Today-365),"Stale research",""),IF(AND(AE369="Research",COUNTIF('Commercial Evidence'!$A$3:$A$502,$A369)=0),"Add commercial evidence","")))</f>
        <v/>
      </c>
      <c r="AI369" s="34" t="str">
        <f aca="false">IF(OR($A369="",Z369="Yes"),"",IF(AND(AE369="Priority",AG369=0,COUNTIFS(Opportunities!$A$3:$A$502,$A369,Opportunities!$Y$3:$Y$502,"Renewal due")=0),600000+(10-AC369)*1000+(4-AD369)*100+ROW()/100000,IF(V369="Yes",700000+IF(X369="",0,X369-40000)/10+ROW()/100000,IF(AND(AE369="Quick Win",U369&lt;&gt;"",AG369=0),800000+(10-AC369)*1000+ROW()/100000,IF(AND(AE369="Build a Path",COUNTIF($V$3:$V$502,"Yes")&lt;S_PathCap),900000+(10-AC369)*1000+(4-AD369)*100+ROW()/100000,"")))))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8"/>
      <c r="T370" s="27"/>
      <c r="U370" s="27"/>
      <c r="V370" s="27"/>
      <c r="W370" s="27"/>
      <c r="X370" s="28"/>
      <c r="Y370" s="27"/>
      <c r="Z370" s="27"/>
      <c r="AA370" s="27"/>
      <c r="AB370" s="32" t="str">
        <f aca="false">IF($A370="","",IF(COUNTIF('Commercial Evidence'!$A$3:$A$502,$A370)=0,"",IF(COUNTIFS('Commercial Evidence'!$A$3:$A$502,$A370,'Commercial Evidence'!$B$3:$B$502,"Previous CBS Talks spend")+COUNTIFS('Commercial Evidence'!$A$3:$A$502,$A370,'Commercial Evidence'!$B$3:$B$502,"Sponsors student organisations")&gt;0,2,IF(COUNTIFS('Commercial Evidence'!$A$3:$A$502,$A370,'Commercial Evidence'!$B$3:$B$502,"Sponsors university activities")+COUNTIFS('Commercial Evidence'!$A$3:$A$502,$A370,'Commercial Evidence'!$B$3:$B$502,"Sponsors similar events")+COUNTIFS('Commercial Evidence'!$A$3:$A$502,$A370,'Commercial Evidence'!$B$3:$B$502,"Previous CBS Talks partner")&gt;0,1,0))))</f>
        <v/>
      </c>
      <c r="AC370" s="32" t="str">
        <f aca="false">IF($A370="","",IF(COUNT(G370,J370,M370,P370,AB370)&lt;5,"",G370+J370+M370+P370+AB370))</f>
        <v/>
      </c>
      <c r="AD370" s="32" t="str">
        <f aca="false">IF($A370="","",IF(COUNTIFS(Contacts!$A$3:$A$502,$A370,Contacts!$E$3:$E$502,"Champion",Contacts!$K$3:$K$502,"&lt;&gt;Yes",Contacts!$L$3:$L$502,"&lt;&gt;Yes")+COUNTIFS(Opportunities!$A$3:$A$502,$A370,Opportunities!$C$3:$C$502,"Won",Opportunities!$Q$3:$Q$502,"Satisfied")&gt;0,4,IF(COUNTIFS(Interactions!$B$3:$B$502,$A370,Interactions!$I$3:$I$502,"Yes",Interactions!$A$3:$A$502,"&gt;="&amp;(S_Today-S_WarmDays))&gt;0,3,IF(T370&lt;&gt;"",2,IF(COUNTIFS(Contacts!$A$3:$A$502,$A370,Contacts!$M$3:$M$502,"Yes",Contacts!$K$3:$K$502,"&lt;&gt;Yes",Contacts!$L$3:$L$502,"&lt;&gt;Yes")&gt;0,1,0)))))</f>
        <v/>
      </c>
      <c r="AE370" s="32" t="str">
        <f aca="false">IF($A370="","",IF(Z370="Yes","Do not contact",IF(AC370="","Research",IF(AND(AC370&gt;=S_FitHigh,AD370&gt;=S_AccessHigh),"Priority",IF(AC370&gt;=S_FitHigh,"Build a Path",IF(AD370&gt;=S_AccessHigh,"Quick Win","Low Priority"))))))</f>
        <v/>
      </c>
      <c r="AF370" s="33" t="str">
        <f aca="false">IF($A370="","",IF(_xlfn.MAXIFS(Interactions!$A$3:$A$502,Interactions!$B$3:$B$502,$A370)=0,"",_xlfn.MAXIFS(Interactions!$A$3:$A$502,Interactions!$B$3:$B$502,$A370)))</f>
        <v/>
      </c>
      <c r="AG370" s="32" t="str">
        <f aca="false">IF($A370="","",COUNTIFS(Opportunities!$A$3:$A$502,$A370,Opportunities!$X$3:$X$502,"Yes"))</f>
        <v/>
      </c>
      <c r="AH370" s="32" t="str">
        <f aca="false">IF($A370="","",_xlfn.TEXTJOIN(", ",TRUE(),IF(COUNTIF($A$3:$A$502,$A370)&gt;1,"Duplicate name",""),IF(OR(AND(G370=2,I370=""),AND(J370=2,L370=""),AND(M370=2,O370=""),AND(P370=2,R370="")),"Source missing for a 2",""),IF(F370="","No owner",IF(COUNTIFS(R_TeamName,F370,R_TeamActive,"No")&gt;0,"Needs new owner","")),IF(AND(V370="Yes",X370&lt;&gt;"",X370&lt;S_SemStart),"Path overdue",""),IF(AND(S370&lt;&gt;"",S370&lt;S_Today-365),"Stale research",""),IF(AND(AE370="Research",COUNTIF('Commercial Evidence'!$A$3:$A$502,$A370)=0),"Add commercial evidence","")))</f>
        <v/>
      </c>
      <c r="AI370" s="34" t="str">
        <f aca="false">IF(OR($A370="",Z370="Yes"),"",IF(AND(AE370="Priority",AG370=0,COUNTIFS(Opportunities!$A$3:$A$502,$A370,Opportunities!$Y$3:$Y$502,"Renewal due")=0),600000+(10-AC370)*1000+(4-AD370)*100+ROW()/100000,IF(V370="Yes",700000+IF(X370="",0,X370-40000)/10+ROW()/100000,IF(AND(AE370="Quick Win",U370&lt;&gt;"",AG370=0),800000+(10-AC370)*1000+ROW()/100000,IF(AND(AE370="Build a Path",COUNTIF($V$3:$V$502,"Yes")&lt;S_PathCap),900000+(10-AC370)*1000+(4-AD370)*100+ROW()/100000,"")))))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8"/>
      <c r="T371" s="27"/>
      <c r="U371" s="27"/>
      <c r="V371" s="27"/>
      <c r="W371" s="27"/>
      <c r="X371" s="28"/>
      <c r="Y371" s="27"/>
      <c r="Z371" s="27"/>
      <c r="AA371" s="27"/>
      <c r="AB371" s="32" t="str">
        <f aca="false">IF($A371="","",IF(COUNTIF('Commercial Evidence'!$A$3:$A$502,$A371)=0,"",IF(COUNTIFS('Commercial Evidence'!$A$3:$A$502,$A371,'Commercial Evidence'!$B$3:$B$502,"Previous CBS Talks spend")+COUNTIFS('Commercial Evidence'!$A$3:$A$502,$A371,'Commercial Evidence'!$B$3:$B$502,"Sponsors student organisations")&gt;0,2,IF(COUNTIFS('Commercial Evidence'!$A$3:$A$502,$A371,'Commercial Evidence'!$B$3:$B$502,"Sponsors university activities")+COUNTIFS('Commercial Evidence'!$A$3:$A$502,$A371,'Commercial Evidence'!$B$3:$B$502,"Sponsors similar events")+COUNTIFS('Commercial Evidence'!$A$3:$A$502,$A371,'Commercial Evidence'!$B$3:$B$502,"Previous CBS Talks partner")&gt;0,1,0))))</f>
        <v/>
      </c>
      <c r="AC371" s="32" t="str">
        <f aca="false">IF($A371="","",IF(COUNT(G371,J371,M371,P371,AB371)&lt;5,"",G371+J371+M371+P371+AB371))</f>
        <v/>
      </c>
      <c r="AD371" s="32" t="str">
        <f aca="false">IF($A371="","",IF(COUNTIFS(Contacts!$A$3:$A$502,$A371,Contacts!$E$3:$E$502,"Champion",Contacts!$K$3:$K$502,"&lt;&gt;Yes",Contacts!$L$3:$L$502,"&lt;&gt;Yes")+COUNTIFS(Opportunities!$A$3:$A$502,$A371,Opportunities!$C$3:$C$502,"Won",Opportunities!$Q$3:$Q$502,"Satisfied")&gt;0,4,IF(COUNTIFS(Interactions!$B$3:$B$502,$A371,Interactions!$I$3:$I$502,"Yes",Interactions!$A$3:$A$502,"&gt;="&amp;(S_Today-S_WarmDays))&gt;0,3,IF(T371&lt;&gt;"",2,IF(COUNTIFS(Contacts!$A$3:$A$502,$A371,Contacts!$M$3:$M$502,"Yes",Contacts!$K$3:$K$502,"&lt;&gt;Yes",Contacts!$L$3:$L$502,"&lt;&gt;Yes")&gt;0,1,0)))))</f>
        <v/>
      </c>
      <c r="AE371" s="32" t="str">
        <f aca="false">IF($A371="","",IF(Z371="Yes","Do not contact",IF(AC371="","Research",IF(AND(AC371&gt;=S_FitHigh,AD371&gt;=S_AccessHigh),"Priority",IF(AC371&gt;=S_FitHigh,"Build a Path",IF(AD371&gt;=S_AccessHigh,"Quick Win","Low Priority"))))))</f>
        <v/>
      </c>
      <c r="AF371" s="33" t="str">
        <f aca="false">IF($A371="","",IF(_xlfn.MAXIFS(Interactions!$A$3:$A$502,Interactions!$B$3:$B$502,$A371)=0,"",_xlfn.MAXIFS(Interactions!$A$3:$A$502,Interactions!$B$3:$B$502,$A371)))</f>
        <v/>
      </c>
      <c r="AG371" s="32" t="str">
        <f aca="false">IF($A371="","",COUNTIFS(Opportunities!$A$3:$A$502,$A371,Opportunities!$X$3:$X$502,"Yes"))</f>
        <v/>
      </c>
      <c r="AH371" s="32" t="str">
        <f aca="false">IF($A371="","",_xlfn.TEXTJOIN(", ",TRUE(),IF(COUNTIF($A$3:$A$502,$A371)&gt;1,"Duplicate name",""),IF(OR(AND(G371=2,I371=""),AND(J371=2,L371=""),AND(M371=2,O371=""),AND(P371=2,R371="")),"Source missing for a 2",""),IF(F371="","No owner",IF(COUNTIFS(R_TeamName,F371,R_TeamActive,"No")&gt;0,"Needs new owner","")),IF(AND(V371="Yes",X371&lt;&gt;"",X371&lt;S_SemStart),"Path overdue",""),IF(AND(S371&lt;&gt;"",S371&lt;S_Today-365),"Stale research",""),IF(AND(AE371="Research",COUNTIF('Commercial Evidence'!$A$3:$A$502,$A371)=0),"Add commercial evidence","")))</f>
        <v/>
      </c>
      <c r="AI371" s="34" t="str">
        <f aca="false">IF(OR($A371="",Z371="Yes"),"",IF(AND(AE371="Priority",AG371=0,COUNTIFS(Opportunities!$A$3:$A$502,$A371,Opportunities!$Y$3:$Y$502,"Renewal due")=0),600000+(10-AC371)*1000+(4-AD371)*100+ROW()/100000,IF(V371="Yes",700000+IF(X371="",0,X371-40000)/10+ROW()/100000,IF(AND(AE371="Quick Win",U371&lt;&gt;"",AG371=0),800000+(10-AC371)*1000+ROW()/100000,IF(AND(AE371="Build a Path",COUNTIF($V$3:$V$502,"Yes")&lt;S_PathCap),900000+(10-AC371)*1000+(4-AD371)*100+ROW()/100000,"")))))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8"/>
      <c r="T372" s="27"/>
      <c r="U372" s="27"/>
      <c r="V372" s="27"/>
      <c r="W372" s="27"/>
      <c r="X372" s="28"/>
      <c r="Y372" s="27"/>
      <c r="Z372" s="27"/>
      <c r="AA372" s="27"/>
      <c r="AB372" s="32" t="str">
        <f aca="false">IF($A372="","",IF(COUNTIF('Commercial Evidence'!$A$3:$A$502,$A372)=0,"",IF(COUNTIFS('Commercial Evidence'!$A$3:$A$502,$A372,'Commercial Evidence'!$B$3:$B$502,"Previous CBS Talks spend")+COUNTIFS('Commercial Evidence'!$A$3:$A$502,$A372,'Commercial Evidence'!$B$3:$B$502,"Sponsors student organisations")&gt;0,2,IF(COUNTIFS('Commercial Evidence'!$A$3:$A$502,$A372,'Commercial Evidence'!$B$3:$B$502,"Sponsors university activities")+COUNTIFS('Commercial Evidence'!$A$3:$A$502,$A372,'Commercial Evidence'!$B$3:$B$502,"Sponsors similar events")+COUNTIFS('Commercial Evidence'!$A$3:$A$502,$A372,'Commercial Evidence'!$B$3:$B$502,"Previous CBS Talks partner")&gt;0,1,0))))</f>
        <v/>
      </c>
      <c r="AC372" s="32" t="str">
        <f aca="false">IF($A372="","",IF(COUNT(G372,J372,M372,P372,AB372)&lt;5,"",G372+J372+M372+P372+AB372))</f>
        <v/>
      </c>
      <c r="AD372" s="32" t="str">
        <f aca="false">IF($A372="","",IF(COUNTIFS(Contacts!$A$3:$A$502,$A372,Contacts!$E$3:$E$502,"Champion",Contacts!$K$3:$K$502,"&lt;&gt;Yes",Contacts!$L$3:$L$502,"&lt;&gt;Yes")+COUNTIFS(Opportunities!$A$3:$A$502,$A372,Opportunities!$C$3:$C$502,"Won",Opportunities!$Q$3:$Q$502,"Satisfied")&gt;0,4,IF(COUNTIFS(Interactions!$B$3:$B$502,$A372,Interactions!$I$3:$I$502,"Yes",Interactions!$A$3:$A$502,"&gt;="&amp;(S_Today-S_WarmDays))&gt;0,3,IF(T372&lt;&gt;"",2,IF(COUNTIFS(Contacts!$A$3:$A$502,$A372,Contacts!$M$3:$M$502,"Yes",Contacts!$K$3:$K$502,"&lt;&gt;Yes",Contacts!$L$3:$L$502,"&lt;&gt;Yes")&gt;0,1,0)))))</f>
        <v/>
      </c>
      <c r="AE372" s="32" t="str">
        <f aca="false">IF($A372="","",IF(Z372="Yes","Do not contact",IF(AC372="","Research",IF(AND(AC372&gt;=S_FitHigh,AD372&gt;=S_AccessHigh),"Priority",IF(AC372&gt;=S_FitHigh,"Build a Path",IF(AD372&gt;=S_AccessHigh,"Quick Win","Low Priority"))))))</f>
        <v/>
      </c>
      <c r="AF372" s="33" t="str">
        <f aca="false">IF($A372="","",IF(_xlfn.MAXIFS(Interactions!$A$3:$A$502,Interactions!$B$3:$B$502,$A372)=0,"",_xlfn.MAXIFS(Interactions!$A$3:$A$502,Interactions!$B$3:$B$502,$A372)))</f>
        <v/>
      </c>
      <c r="AG372" s="32" t="str">
        <f aca="false">IF($A372="","",COUNTIFS(Opportunities!$A$3:$A$502,$A372,Opportunities!$X$3:$X$502,"Yes"))</f>
        <v/>
      </c>
      <c r="AH372" s="32" t="str">
        <f aca="false">IF($A372="","",_xlfn.TEXTJOIN(", ",TRUE(),IF(COUNTIF($A$3:$A$502,$A372)&gt;1,"Duplicate name",""),IF(OR(AND(G372=2,I372=""),AND(J372=2,L372=""),AND(M372=2,O372=""),AND(P372=2,R372="")),"Source missing for a 2",""),IF(F372="","No owner",IF(COUNTIFS(R_TeamName,F372,R_TeamActive,"No")&gt;0,"Needs new owner","")),IF(AND(V372="Yes",X372&lt;&gt;"",X372&lt;S_SemStart),"Path overdue",""),IF(AND(S372&lt;&gt;"",S372&lt;S_Today-365),"Stale research",""),IF(AND(AE372="Research",COUNTIF('Commercial Evidence'!$A$3:$A$502,$A372)=0),"Add commercial evidence","")))</f>
        <v/>
      </c>
      <c r="AI372" s="34" t="str">
        <f aca="false">IF(OR($A372="",Z372="Yes"),"",IF(AND(AE372="Priority",AG372=0,COUNTIFS(Opportunities!$A$3:$A$502,$A372,Opportunities!$Y$3:$Y$502,"Renewal due")=0),600000+(10-AC372)*1000+(4-AD372)*100+ROW()/100000,IF(V372="Yes",700000+IF(X372="",0,X372-40000)/10+ROW()/100000,IF(AND(AE372="Quick Win",U372&lt;&gt;"",AG372=0),800000+(10-AC372)*1000+ROW()/100000,IF(AND(AE372="Build a Path",COUNTIF($V$3:$V$502,"Yes")&lt;S_PathCap),900000+(10-AC372)*1000+(4-AD372)*100+ROW()/100000,"")))))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8"/>
      <c r="T373" s="27"/>
      <c r="U373" s="27"/>
      <c r="V373" s="27"/>
      <c r="W373" s="27"/>
      <c r="X373" s="28"/>
      <c r="Y373" s="27"/>
      <c r="Z373" s="27"/>
      <c r="AA373" s="27"/>
      <c r="AB373" s="32" t="str">
        <f aca="false">IF($A373="","",IF(COUNTIF('Commercial Evidence'!$A$3:$A$502,$A373)=0,"",IF(COUNTIFS('Commercial Evidence'!$A$3:$A$502,$A373,'Commercial Evidence'!$B$3:$B$502,"Previous CBS Talks spend")+COUNTIFS('Commercial Evidence'!$A$3:$A$502,$A373,'Commercial Evidence'!$B$3:$B$502,"Sponsors student organisations")&gt;0,2,IF(COUNTIFS('Commercial Evidence'!$A$3:$A$502,$A373,'Commercial Evidence'!$B$3:$B$502,"Sponsors university activities")+COUNTIFS('Commercial Evidence'!$A$3:$A$502,$A373,'Commercial Evidence'!$B$3:$B$502,"Sponsors similar events")+COUNTIFS('Commercial Evidence'!$A$3:$A$502,$A373,'Commercial Evidence'!$B$3:$B$502,"Previous CBS Talks partner")&gt;0,1,0))))</f>
        <v/>
      </c>
      <c r="AC373" s="32" t="str">
        <f aca="false">IF($A373="","",IF(COUNT(G373,J373,M373,P373,AB373)&lt;5,"",G373+J373+M373+P373+AB373))</f>
        <v/>
      </c>
      <c r="AD373" s="32" t="str">
        <f aca="false">IF($A373="","",IF(COUNTIFS(Contacts!$A$3:$A$502,$A373,Contacts!$E$3:$E$502,"Champion",Contacts!$K$3:$K$502,"&lt;&gt;Yes",Contacts!$L$3:$L$502,"&lt;&gt;Yes")+COUNTIFS(Opportunities!$A$3:$A$502,$A373,Opportunities!$C$3:$C$502,"Won",Opportunities!$Q$3:$Q$502,"Satisfied")&gt;0,4,IF(COUNTIFS(Interactions!$B$3:$B$502,$A373,Interactions!$I$3:$I$502,"Yes",Interactions!$A$3:$A$502,"&gt;="&amp;(S_Today-S_WarmDays))&gt;0,3,IF(T373&lt;&gt;"",2,IF(COUNTIFS(Contacts!$A$3:$A$502,$A373,Contacts!$M$3:$M$502,"Yes",Contacts!$K$3:$K$502,"&lt;&gt;Yes",Contacts!$L$3:$L$502,"&lt;&gt;Yes")&gt;0,1,0)))))</f>
        <v/>
      </c>
      <c r="AE373" s="32" t="str">
        <f aca="false">IF($A373="","",IF(Z373="Yes","Do not contact",IF(AC373="","Research",IF(AND(AC373&gt;=S_FitHigh,AD373&gt;=S_AccessHigh),"Priority",IF(AC373&gt;=S_FitHigh,"Build a Path",IF(AD373&gt;=S_AccessHigh,"Quick Win","Low Priority"))))))</f>
        <v/>
      </c>
      <c r="AF373" s="33" t="str">
        <f aca="false">IF($A373="","",IF(_xlfn.MAXIFS(Interactions!$A$3:$A$502,Interactions!$B$3:$B$502,$A373)=0,"",_xlfn.MAXIFS(Interactions!$A$3:$A$502,Interactions!$B$3:$B$502,$A373)))</f>
        <v/>
      </c>
      <c r="AG373" s="32" t="str">
        <f aca="false">IF($A373="","",COUNTIFS(Opportunities!$A$3:$A$502,$A373,Opportunities!$X$3:$X$502,"Yes"))</f>
        <v/>
      </c>
      <c r="AH373" s="32" t="str">
        <f aca="false">IF($A373="","",_xlfn.TEXTJOIN(", ",TRUE(),IF(COUNTIF($A$3:$A$502,$A373)&gt;1,"Duplicate name",""),IF(OR(AND(G373=2,I373=""),AND(J373=2,L373=""),AND(M373=2,O373=""),AND(P373=2,R373="")),"Source missing for a 2",""),IF(F373="","No owner",IF(COUNTIFS(R_TeamName,F373,R_TeamActive,"No")&gt;0,"Needs new owner","")),IF(AND(V373="Yes",X373&lt;&gt;"",X373&lt;S_SemStart),"Path overdue",""),IF(AND(S373&lt;&gt;"",S373&lt;S_Today-365),"Stale research",""),IF(AND(AE373="Research",COUNTIF('Commercial Evidence'!$A$3:$A$502,$A373)=0),"Add commercial evidence","")))</f>
        <v/>
      </c>
      <c r="AI373" s="34" t="str">
        <f aca="false">IF(OR($A373="",Z373="Yes"),"",IF(AND(AE373="Priority",AG373=0,COUNTIFS(Opportunities!$A$3:$A$502,$A373,Opportunities!$Y$3:$Y$502,"Renewal due")=0),600000+(10-AC373)*1000+(4-AD373)*100+ROW()/100000,IF(V373="Yes",700000+IF(X373="",0,X373-40000)/10+ROW()/100000,IF(AND(AE373="Quick Win",U373&lt;&gt;"",AG373=0),800000+(10-AC373)*1000+ROW()/100000,IF(AND(AE373="Build a Path",COUNTIF($V$3:$V$502,"Yes")&lt;S_PathCap),900000+(10-AC373)*1000+(4-AD373)*100+ROW()/100000,"")))))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8"/>
      <c r="T374" s="27"/>
      <c r="U374" s="27"/>
      <c r="V374" s="27"/>
      <c r="W374" s="27"/>
      <c r="X374" s="28"/>
      <c r="Y374" s="27"/>
      <c r="Z374" s="27"/>
      <c r="AA374" s="27"/>
      <c r="AB374" s="32" t="str">
        <f aca="false">IF($A374="","",IF(COUNTIF('Commercial Evidence'!$A$3:$A$502,$A374)=0,"",IF(COUNTIFS('Commercial Evidence'!$A$3:$A$502,$A374,'Commercial Evidence'!$B$3:$B$502,"Previous CBS Talks spend")+COUNTIFS('Commercial Evidence'!$A$3:$A$502,$A374,'Commercial Evidence'!$B$3:$B$502,"Sponsors student organisations")&gt;0,2,IF(COUNTIFS('Commercial Evidence'!$A$3:$A$502,$A374,'Commercial Evidence'!$B$3:$B$502,"Sponsors university activities")+COUNTIFS('Commercial Evidence'!$A$3:$A$502,$A374,'Commercial Evidence'!$B$3:$B$502,"Sponsors similar events")+COUNTIFS('Commercial Evidence'!$A$3:$A$502,$A374,'Commercial Evidence'!$B$3:$B$502,"Previous CBS Talks partner")&gt;0,1,0))))</f>
        <v/>
      </c>
      <c r="AC374" s="32" t="str">
        <f aca="false">IF($A374="","",IF(COUNT(G374,J374,M374,P374,AB374)&lt;5,"",G374+J374+M374+P374+AB374))</f>
        <v/>
      </c>
      <c r="AD374" s="32" t="str">
        <f aca="false">IF($A374="","",IF(COUNTIFS(Contacts!$A$3:$A$502,$A374,Contacts!$E$3:$E$502,"Champion",Contacts!$K$3:$K$502,"&lt;&gt;Yes",Contacts!$L$3:$L$502,"&lt;&gt;Yes")+COUNTIFS(Opportunities!$A$3:$A$502,$A374,Opportunities!$C$3:$C$502,"Won",Opportunities!$Q$3:$Q$502,"Satisfied")&gt;0,4,IF(COUNTIFS(Interactions!$B$3:$B$502,$A374,Interactions!$I$3:$I$502,"Yes",Interactions!$A$3:$A$502,"&gt;="&amp;(S_Today-S_WarmDays))&gt;0,3,IF(T374&lt;&gt;"",2,IF(COUNTIFS(Contacts!$A$3:$A$502,$A374,Contacts!$M$3:$M$502,"Yes",Contacts!$K$3:$K$502,"&lt;&gt;Yes",Contacts!$L$3:$L$502,"&lt;&gt;Yes")&gt;0,1,0)))))</f>
        <v/>
      </c>
      <c r="AE374" s="32" t="str">
        <f aca="false">IF($A374="","",IF(Z374="Yes","Do not contact",IF(AC374="","Research",IF(AND(AC374&gt;=S_FitHigh,AD374&gt;=S_AccessHigh),"Priority",IF(AC374&gt;=S_FitHigh,"Build a Path",IF(AD374&gt;=S_AccessHigh,"Quick Win","Low Priority"))))))</f>
        <v/>
      </c>
      <c r="AF374" s="33" t="str">
        <f aca="false">IF($A374="","",IF(_xlfn.MAXIFS(Interactions!$A$3:$A$502,Interactions!$B$3:$B$502,$A374)=0,"",_xlfn.MAXIFS(Interactions!$A$3:$A$502,Interactions!$B$3:$B$502,$A374)))</f>
        <v/>
      </c>
      <c r="AG374" s="32" t="str">
        <f aca="false">IF($A374="","",COUNTIFS(Opportunities!$A$3:$A$502,$A374,Opportunities!$X$3:$X$502,"Yes"))</f>
        <v/>
      </c>
      <c r="AH374" s="32" t="str">
        <f aca="false">IF($A374="","",_xlfn.TEXTJOIN(", ",TRUE(),IF(COUNTIF($A$3:$A$502,$A374)&gt;1,"Duplicate name",""),IF(OR(AND(G374=2,I374=""),AND(J374=2,L374=""),AND(M374=2,O374=""),AND(P374=2,R374="")),"Source missing for a 2",""),IF(F374="","No owner",IF(COUNTIFS(R_TeamName,F374,R_TeamActive,"No")&gt;0,"Needs new owner","")),IF(AND(V374="Yes",X374&lt;&gt;"",X374&lt;S_SemStart),"Path overdue",""),IF(AND(S374&lt;&gt;"",S374&lt;S_Today-365),"Stale research",""),IF(AND(AE374="Research",COUNTIF('Commercial Evidence'!$A$3:$A$502,$A374)=0),"Add commercial evidence","")))</f>
        <v/>
      </c>
      <c r="AI374" s="34" t="str">
        <f aca="false">IF(OR($A374="",Z374="Yes"),"",IF(AND(AE374="Priority",AG374=0,COUNTIFS(Opportunities!$A$3:$A$502,$A374,Opportunities!$Y$3:$Y$502,"Renewal due")=0),600000+(10-AC374)*1000+(4-AD374)*100+ROW()/100000,IF(V374="Yes",700000+IF(X374="",0,X374-40000)/10+ROW()/100000,IF(AND(AE374="Quick Win",U374&lt;&gt;"",AG374=0),800000+(10-AC374)*1000+ROW()/100000,IF(AND(AE374="Build a Path",COUNTIF($V$3:$V$502,"Yes")&lt;S_PathCap),900000+(10-AC374)*1000+(4-AD374)*100+ROW()/100000,"")))))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8"/>
      <c r="T375" s="27"/>
      <c r="U375" s="27"/>
      <c r="V375" s="27"/>
      <c r="W375" s="27"/>
      <c r="X375" s="28"/>
      <c r="Y375" s="27"/>
      <c r="Z375" s="27"/>
      <c r="AA375" s="27"/>
      <c r="AB375" s="32" t="str">
        <f aca="false">IF($A375="","",IF(COUNTIF('Commercial Evidence'!$A$3:$A$502,$A375)=0,"",IF(COUNTIFS('Commercial Evidence'!$A$3:$A$502,$A375,'Commercial Evidence'!$B$3:$B$502,"Previous CBS Talks spend")+COUNTIFS('Commercial Evidence'!$A$3:$A$502,$A375,'Commercial Evidence'!$B$3:$B$502,"Sponsors student organisations")&gt;0,2,IF(COUNTIFS('Commercial Evidence'!$A$3:$A$502,$A375,'Commercial Evidence'!$B$3:$B$502,"Sponsors university activities")+COUNTIFS('Commercial Evidence'!$A$3:$A$502,$A375,'Commercial Evidence'!$B$3:$B$502,"Sponsors similar events")+COUNTIFS('Commercial Evidence'!$A$3:$A$502,$A375,'Commercial Evidence'!$B$3:$B$502,"Previous CBS Talks partner")&gt;0,1,0))))</f>
        <v/>
      </c>
      <c r="AC375" s="32" t="str">
        <f aca="false">IF($A375="","",IF(COUNT(G375,J375,M375,P375,AB375)&lt;5,"",G375+J375+M375+P375+AB375))</f>
        <v/>
      </c>
      <c r="AD375" s="32" t="str">
        <f aca="false">IF($A375="","",IF(COUNTIFS(Contacts!$A$3:$A$502,$A375,Contacts!$E$3:$E$502,"Champion",Contacts!$K$3:$K$502,"&lt;&gt;Yes",Contacts!$L$3:$L$502,"&lt;&gt;Yes")+COUNTIFS(Opportunities!$A$3:$A$502,$A375,Opportunities!$C$3:$C$502,"Won",Opportunities!$Q$3:$Q$502,"Satisfied")&gt;0,4,IF(COUNTIFS(Interactions!$B$3:$B$502,$A375,Interactions!$I$3:$I$502,"Yes",Interactions!$A$3:$A$502,"&gt;="&amp;(S_Today-S_WarmDays))&gt;0,3,IF(T375&lt;&gt;"",2,IF(COUNTIFS(Contacts!$A$3:$A$502,$A375,Contacts!$M$3:$M$502,"Yes",Contacts!$K$3:$K$502,"&lt;&gt;Yes",Contacts!$L$3:$L$502,"&lt;&gt;Yes")&gt;0,1,0)))))</f>
        <v/>
      </c>
      <c r="AE375" s="32" t="str">
        <f aca="false">IF($A375="","",IF(Z375="Yes","Do not contact",IF(AC375="","Research",IF(AND(AC375&gt;=S_FitHigh,AD375&gt;=S_AccessHigh),"Priority",IF(AC375&gt;=S_FitHigh,"Build a Path",IF(AD375&gt;=S_AccessHigh,"Quick Win","Low Priority"))))))</f>
        <v/>
      </c>
      <c r="AF375" s="33" t="str">
        <f aca="false">IF($A375="","",IF(_xlfn.MAXIFS(Interactions!$A$3:$A$502,Interactions!$B$3:$B$502,$A375)=0,"",_xlfn.MAXIFS(Interactions!$A$3:$A$502,Interactions!$B$3:$B$502,$A375)))</f>
        <v/>
      </c>
      <c r="AG375" s="32" t="str">
        <f aca="false">IF($A375="","",COUNTIFS(Opportunities!$A$3:$A$502,$A375,Opportunities!$X$3:$X$502,"Yes"))</f>
        <v/>
      </c>
      <c r="AH375" s="32" t="str">
        <f aca="false">IF($A375="","",_xlfn.TEXTJOIN(", ",TRUE(),IF(COUNTIF($A$3:$A$502,$A375)&gt;1,"Duplicate name",""),IF(OR(AND(G375=2,I375=""),AND(J375=2,L375=""),AND(M375=2,O375=""),AND(P375=2,R375="")),"Source missing for a 2",""),IF(F375="","No owner",IF(COUNTIFS(R_TeamName,F375,R_TeamActive,"No")&gt;0,"Needs new owner","")),IF(AND(V375="Yes",X375&lt;&gt;"",X375&lt;S_SemStart),"Path overdue",""),IF(AND(S375&lt;&gt;"",S375&lt;S_Today-365),"Stale research",""),IF(AND(AE375="Research",COUNTIF('Commercial Evidence'!$A$3:$A$502,$A375)=0),"Add commercial evidence","")))</f>
        <v/>
      </c>
      <c r="AI375" s="34" t="str">
        <f aca="false">IF(OR($A375="",Z375="Yes"),"",IF(AND(AE375="Priority",AG375=0,COUNTIFS(Opportunities!$A$3:$A$502,$A375,Opportunities!$Y$3:$Y$502,"Renewal due")=0),600000+(10-AC375)*1000+(4-AD375)*100+ROW()/100000,IF(V375="Yes",700000+IF(X375="",0,X375-40000)/10+ROW()/100000,IF(AND(AE375="Quick Win",U375&lt;&gt;"",AG375=0),800000+(10-AC375)*1000+ROW()/100000,IF(AND(AE375="Build a Path",COUNTIF($V$3:$V$502,"Yes")&lt;S_PathCap),900000+(10-AC375)*1000+(4-AD375)*100+ROW()/100000,"")))))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8"/>
      <c r="T376" s="27"/>
      <c r="U376" s="27"/>
      <c r="V376" s="27"/>
      <c r="W376" s="27"/>
      <c r="X376" s="28"/>
      <c r="Y376" s="27"/>
      <c r="Z376" s="27"/>
      <c r="AA376" s="27"/>
      <c r="AB376" s="32" t="str">
        <f aca="false">IF($A376="","",IF(COUNTIF('Commercial Evidence'!$A$3:$A$502,$A376)=0,"",IF(COUNTIFS('Commercial Evidence'!$A$3:$A$502,$A376,'Commercial Evidence'!$B$3:$B$502,"Previous CBS Talks spend")+COUNTIFS('Commercial Evidence'!$A$3:$A$502,$A376,'Commercial Evidence'!$B$3:$B$502,"Sponsors student organisations")&gt;0,2,IF(COUNTIFS('Commercial Evidence'!$A$3:$A$502,$A376,'Commercial Evidence'!$B$3:$B$502,"Sponsors university activities")+COUNTIFS('Commercial Evidence'!$A$3:$A$502,$A376,'Commercial Evidence'!$B$3:$B$502,"Sponsors similar events")+COUNTIFS('Commercial Evidence'!$A$3:$A$502,$A376,'Commercial Evidence'!$B$3:$B$502,"Previous CBS Talks partner")&gt;0,1,0))))</f>
        <v/>
      </c>
      <c r="AC376" s="32" t="str">
        <f aca="false">IF($A376="","",IF(COUNT(G376,J376,M376,P376,AB376)&lt;5,"",G376+J376+M376+P376+AB376))</f>
        <v/>
      </c>
      <c r="AD376" s="32" t="str">
        <f aca="false">IF($A376="","",IF(COUNTIFS(Contacts!$A$3:$A$502,$A376,Contacts!$E$3:$E$502,"Champion",Contacts!$K$3:$K$502,"&lt;&gt;Yes",Contacts!$L$3:$L$502,"&lt;&gt;Yes")+COUNTIFS(Opportunities!$A$3:$A$502,$A376,Opportunities!$C$3:$C$502,"Won",Opportunities!$Q$3:$Q$502,"Satisfied")&gt;0,4,IF(COUNTIFS(Interactions!$B$3:$B$502,$A376,Interactions!$I$3:$I$502,"Yes",Interactions!$A$3:$A$502,"&gt;="&amp;(S_Today-S_WarmDays))&gt;0,3,IF(T376&lt;&gt;"",2,IF(COUNTIFS(Contacts!$A$3:$A$502,$A376,Contacts!$M$3:$M$502,"Yes",Contacts!$K$3:$K$502,"&lt;&gt;Yes",Contacts!$L$3:$L$502,"&lt;&gt;Yes")&gt;0,1,0)))))</f>
        <v/>
      </c>
      <c r="AE376" s="32" t="str">
        <f aca="false">IF($A376="","",IF(Z376="Yes","Do not contact",IF(AC376="","Research",IF(AND(AC376&gt;=S_FitHigh,AD376&gt;=S_AccessHigh),"Priority",IF(AC376&gt;=S_FitHigh,"Build a Path",IF(AD376&gt;=S_AccessHigh,"Quick Win","Low Priority"))))))</f>
        <v/>
      </c>
      <c r="AF376" s="33" t="str">
        <f aca="false">IF($A376="","",IF(_xlfn.MAXIFS(Interactions!$A$3:$A$502,Interactions!$B$3:$B$502,$A376)=0,"",_xlfn.MAXIFS(Interactions!$A$3:$A$502,Interactions!$B$3:$B$502,$A376)))</f>
        <v/>
      </c>
      <c r="AG376" s="32" t="str">
        <f aca="false">IF($A376="","",COUNTIFS(Opportunities!$A$3:$A$502,$A376,Opportunities!$X$3:$X$502,"Yes"))</f>
        <v/>
      </c>
      <c r="AH376" s="32" t="str">
        <f aca="false">IF($A376="","",_xlfn.TEXTJOIN(", ",TRUE(),IF(COUNTIF($A$3:$A$502,$A376)&gt;1,"Duplicate name",""),IF(OR(AND(G376=2,I376=""),AND(J376=2,L376=""),AND(M376=2,O376=""),AND(P376=2,R376="")),"Source missing for a 2",""),IF(F376="","No owner",IF(COUNTIFS(R_TeamName,F376,R_TeamActive,"No")&gt;0,"Needs new owner","")),IF(AND(V376="Yes",X376&lt;&gt;"",X376&lt;S_SemStart),"Path overdue",""),IF(AND(S376&lt;&gt;"",S376&lt;S_Today-365),"Stale research",""),IF(AND(AE376="Research",COUNTIF('Commercial Evidence'!$A$3:$A$502,$A376)=0),"Add commercial evidence","")))</f>
        <v/>
      </c>
      <c r="AI376" s="34" t="str">
        <f aca="false">IF(OR($A376="",Z376="Yes"),"",IF(AND(AE376="Priority",AG376=0,COUNTIFS(Opportunities!$A$3:$A$502,$A376,Opportunities!$Y$3:$Y$502,"Renewal due")=0),600000+(10-AC376)*1000+(4-AD376)*100+ROW()/100000,IF(V376="Yes",700000+IF(X376="",0,X376-40000)/10+ROW()/100000,IF(AND(AE376="Quick Win",U376&lt;&gt;"",AG376=0),800000+(10-AC376)*1000+ROW()/100000,IF(AND(AE376="Build a Path",COUNTIF($V$3:$V$502,"Yes")&lt;S_PathCap),900000+(10-AC376)*1000+(4-AD376)*100+ROW()/100000,"")))))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8"/>
      <c r="T377" s="27"/>
      <c r="U377" s="27"/>
      <c r="V377" s="27"/>
      <c r="W377" s="27"/>
      <c r="X377" s="28"/>
      <c r="Y377" s="27"/>
      <c r="Z377" s="27"/>
      <c r="AA377" s="27"/>
      <c r="AB377" s="32" t="str">
        <f aca="false">IF($A377="","",IF(COUNTIF('Commercial Evidence'!$A$3:$A$502,$A377)=0,"",IF(COUNTIFS('Commercial Evidence'!$A$3:$A$502,$A377,'Commercial Evidence'!$B$3:$B$502,"Previous CBS Talks spend")+COUNTIFS('Commercial Evidence'!$A$3:$A$502,$A377,'Commercial Evidence'!$B$3:$B$502,"Sponsors student organisations")&gt;0,2,IF(COUNTIFS('Commercial Evidence'!$A$3:$A$502,$A377,'Commercial Evidence'!$B$3:$B$502,"Sponsors university activities")+COUNTIFS('Commercial Evidence'!$A$3:$A$502,$A377,'Commercial Evidence'!$B$3:$B$502,"Sponsors similar events")+COUNTIFS('Commercial Evidence'!$A$3:$A$502,$A377,'Commercial Evidence'!$B$3:$B$502,"Previous CBS Talks partner")&gt;0,1,0))))</f>
        <v/>
      </c>
      <c r="AC377" s="32" t="str">
        <f aca="false">IF($A377="","",IF(COUNT(G377,J377,M377,P377,AB377)&lt;5,"",G377+J377+M377+P377+AB377))</f>
        <v/>
      </c>
      <c r="AD377" s="32" t="str">
        <f aca="false">IF($A377="","",IF(COUNTIFS(Contacts!$A$3:$A$502,$A377,Contacts!$E$3:$E$502,"Champion",Contacts!$K$3:$K$502,"&lt;&gt;Yes",Contacts!$L$3:$L$502,"&lt;&gt;Yes")+COUNTIFS(Opportunities!$A$3:$A$502,$A377,Opportunities!$C$3:$C$502,"Won",Opportunities!$Q$3:$Q$502,"Satisfied")&gt;0,4,IF(COUNTIFS(Interactions!$B$3:$B$502,$A377,Interactions!$I$3:$I$502,"Yes",Interactions!$A$3:$A$502,"&gt;="&amp;(S_Today-S_WarmDays))&gt;0,3,IF(T377&lt;&gt;"",2,IF(COUNTIFS(Contacts!$A$3:$A$502,$A377,Contacts!$M$3:$M$502,"Yes",Contacts!$K$3:$K$502,"&lt;&gt;Yes",Contacts!$L$3:$L$502,"&lt;&gt;Yes")&gt;0,1,0)))))</f>
        <v/>
      </c>
      <c r="AE377" s="32" t="str">
        <f aca="false">IF($A377="","",IF(Z377="Yes","Do not contact",IF(AC377="","Research",IF(AND(AC377&gt;=S_FitHigh,AD377&gt;=S_AccessHigh),"Priority",IF(AC377&gt;=S_FitHigh,"Build a Path",IF(AD377&gt;=S_AccessHigh,"Quick Win","Low Priority"))))))</f>
        <v/>
      </c>
      <c r="AF377" s="33" t="str">
        <f aca="false">IF($A377="","",IF(_xlfn.MAXIFS(Interactions!$A$3:$A$502,Interactions!$B$3:$B$502,$A377)=0,"",_xlfn.MAXIFS(Interactions!$A$3:$A$502,Interactions!$B$3:$B$502,$A377)))</f>
        <v/>
      </c>
      <c r="AG377" s="32" t="str">
        <f aca="false">IF($A377="","",COUNTIFS(Opportunities!$A$3:$A$502,$A377,Opportunities!$X$3:$X$502,"Yes"))</f>
        <v/>
      </c>
      <c r="AH377" s="32" t="str">
        <f aca="false">IF($A377="","",_xlfn.TEXTJOIN(", ",TRUE(),IF(COUNTIF($A$3:$A$502,$A377)&gt;1,"Duplicate name",""),IF(OR(AND(G377=2,I377=""),AND(J377=2,L377=""),AND(M377=2,O377=""),AND(P377=2,R377="")),"Source missing for a 2",""),IF(F377="","No owner",IF(COUNTIFS(R_TeamName,F377,R_TeamActive,"No")&gt;0,"Needs new owner","")),IF(AND(V377="Yes",X377&lt;&gt;"",X377&lt;S_SemStart),"Path overdue",""),IF(AND(S377&lt;&gt;"",S377&lt;S_Today-365),"Stale research",""),IF(AND(AE377="Research",COUNTIF('Commercial Evidence'!$A$3:$A$502,$A377)=0),"Add commercial evidence","")))</f>
        <v/>
      </c>
      <c r="AI377" s="34" t="str">
        <f aca="false">IF(OR($A377="",Z377="Yes"),"",IF(AND(AE377="Priority",AG377=0,COUNTIFS(Opportunities!$A$3:$A$502,$A377,Opportunities!$Y$3:$Y$502,"Renewal due")=0),600000+(10-AC377)*1000+(4-AD377)*100+ROW()/100000,IF(V377="Yes",700000+IF(X377="",0,X377-40000)/10+ROW()/100000,IF(AND(AE377="Quick Win",U377&lt;&gt;"",AG377=0),800000+(10-AC377)*1000+ROW()/100000,IF(AND(AE377="Build a Path",COUNTIF($V$3:$V$502,"Yes")&lt;S_PathCap),900000+(10-AC377)*1000+(4-AD377)*100+ROW()/100000,"")))))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8"/>
      <c r="T378" s="27"/>
      <c r="U378" s="27"/>
      <c r="V378" s="27"/>
      <c r="W378" s="27"/>
      <c r="X378" s="28"/>
      <c r="Y378" s="27"/>
      <c r="Z378" s="27"/>
      <c r="AA378" s="27"/>
      <c r="AB378" s="32" t="str">
        <f aca="false">IF($A378="","",IF(COUNTIF('Commercial Evidence'!$A$3:$A$502,$A378)=0,"",IF(COUNTIFS('Commercial Evidence'!$A$3:$A$502,$A378,'Commercial Evidence'!$B$3:$B$502,"Previous CBS Talks spend")+COUNTIFS('Commercial Evidence'!$A$3:$A$502,$A378,'Commercial Evidence'!$B$3:$B$502,"Sponsors student organisations")&gt;0,2,IF(COUNTIFS('Commercial Evidence'!$A$3:$A$502,$A378,'Commercial Evidence'!$B$3:$B$502,"Sponsors university activities")+COUNTIFS('Commercial Evidence'!$A$3:$A$502,$A378,'Commercial Evidence'!$B$3:$B$502,"Sponsors similar events")+COUNTIFS('Commercial Evidence'!$A$3:$A$502,$A378,'Commercial Evidence'!$B$3:$B$502,"Previous CBS Talks partner")&gt;0,1,0))))</f>
        <v/>
      </c>
      <c r="AC378" s="32" t="str">
        <f aca="false">IF($A378="","",IF(COUNT(G378,J378,M378,P378,AB378)&lt;5,"",G378+J378+M378+P378+AB378))</f>
        <v/>
      </c>
      <c r="AD378" s="32" t="str">
        <f aca="false">IF($A378="","",IF(COUNTIFS(Contacts!$A$3:$A$502,$A378,Contacts!$E$3:$E$502,"Champion",Contacts!$K$3:$K$502,"&lt;&gt;Yes",Contacts!$L$3:$L$502,"&lt;&gt;Yes")+COUNTIFS(Opportunities!$A$3:$A$502,$A378,Opportunities!$C$3:$C$502,"Won",Opportunities!$Q$3:$Q$502,"Satisfied")&gt;0,4,IF(COUNTIFS(Interactions!$B$3:$B$502,$A378,Interactions!$I$3:$I$502,"Yes",Interactions!$A$3:$A$502,"&gt;="&amp;(S_Today-S_WarmDays))&gt;0,3,IF(T378&lt;&gt;"",2,IF(COUNTIFS(Contacts!$A$3:$A$502,$A378,Contacts!$M$3:$M$502,"Yes",Contacts!$K$3:$K$502,"&lt;&gt;Yes",Contacts!$L$3:$L$502,"&lt;&gt;Yes")&gt;0,1,0)))))</f>
        <v/>
      </c>
      <c r="AE378" s="32" t="str">
        <f aca="false">IF($A378="","",IF(Z378="Yes","Do not contact",IF(AC378="","Research",IF(AND(AC378&gt;=S_FitHigh,AD378&gt;=S_AccessHigh),"Priority",IF(AC378&gt;=S_FitHigh,"Build a Path",IF(AD378&gt;=S_AccessHigh,"Quick Win","Low Priority"))))))</f>
        <v/>
      </c>
      <c r="AF378" s="33" t="str">
        <f aca="false">IF($A378="","",IF(_xlfn.MAXIFS(Interactions!$A$3:$A$502,Interactions!$B$3:$B$502,$A378)=0,"",_xlfn.MAXIFS(Interactions!$A$3:$A$502,Interactions!$B$3:$B$502,$A378)))</f>
        <v/>
      </c>
      <c r="AG378" s="32" t="str">
        <f aca="false">IF($A378="","",COUNTIFS(Opportunities!$A$3:$A$502,$A378,Opportunities!$X$3:$X$502,"Yes"))</f>
        <v/>
      </c>
      <c r="AH378" s="32" t="str">
        <f aca="false">IF($A378="","",_xlfn.TEXTJOIN(", ",TRUE(),IF(COUNTIF($A$3:$A$502,$A378)&gt;1,"Duplicate name",""),IF(OR(AND(G378=2,I378=""),AND(J378=2,L378=""),AND(M378=2,O378=""),AND(P378=2,R378="")),"Source missing for a 2",""),IF(F378="","No owner",IF(COUNTIFS(R_TeamName,F378,R_TeamActive,"No")&gt;0,"Needs new owner","")),IF(AND(V378="Yes",X378&lt;&gt;"",X378&lt;S_SemStart),"Path overdue",""),IF(AND(S378&lt;&gt;"",S378&lt;S_Today-365),"Stale research",""),IF(AND(AE378="Research",COUNTIF('Commercial Evidence'!$A$3:$A$502,$A378)=0),"Add commercial evidence","")))</f>
        <v/>
      </c>
      <c r="AI378" s="34" t="str">
        <f aca="false">IF(OR($A378="",Z378="Yes"),"",IF(AND(AE378="Priority",AG378=0,COUNTIFS(Opportunities!$A$3:$A$502,$A378,Opportunities!$Y$3:$Y$502,"Renewal due")=0),600000+(10-AC378)*1000+(4-AD378)*100+ROW()/100000,IF(V378="Yes",700000+IF(X378="",0,X378-40000)/10+ROW()/100000,IF(AND(AE378="Quick Win",U378&lt;&gt;"",AG378=0),800000+(10-AC378)*1000+ROW()/100000,IF(AND(AE378="Build a Path",COUNTIF($V$3:$V$502,"Yes")&lt;S_PathCap),900000+(10-AC378)*1000+(4-AD378)*100+ROW()/100000,"")))))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8"/>
      <c r="T379" s="27"/>
      <c r="U379" s="27"/>
      <c r="V379" s="27"/>
      <c r="W379" s="27"/>
      <c r="X379" s="28"/>
      <c r="Y379" s="27"/>
      <c r="Z379" s="27"/>
      <c r="AA379" s="27"/>
      <c r="AB379" s="32" t="str">
        <f aca="false">IF($A379="","",IF(COUNTIF('Commercial Evidence'!$A$3:$A$502,$A379)=0,"",IF(COUNTIFS('Commercial Evidence'!$A$3:$A$502,$A379,'Commercial Evidence'!$B$3:$B$502,"Previous CBS Talks spend")+COUNTIFS('Commercial Evidence'!$A$3:$A$502,$A379,'Commercial Evidence'!$B$3:$B$502,"Sponsors student organisations")&gt;0,2,IF(COUNTIFS('Commercial Evidence'!$A$3:$A$502,$A379,'Commercial Evidence'!$B$3:$B$502,"Sponsors university activities")+COUNTIFS('Commercial Evidence'!$A$3:$A$502,$A379,'Commercial Evidence'!$B$3:$B$502,"Sponsors similar events")+COUNTIFS('Commercial Evidence'!$A$3:$A$502,$A379,'Commercial Evidence'!$B$3:$B$502,"Previous CBS Talks partner")&gt;0,1,0))))</f>
        <v/>
      </c>
      <c r="AC379" s="32" t="str">
        <f aca="false">IF($A379="","",IF(COUNT(G379,J379,M379,P379,AB379)&lt;5,"",G379+J379+M379+P379+AB379))</f>
        <v/>
      </c>
      <c r="AD379" s="32" t="str">
        <f aca="false">IF($A379="","",IF(COUNTIFS(Contacts!$A$3:$A$502,$A379,Contacts!$E$3:$E$502,"Champion",Contacts!$K$3:$K$502,"&lt;&gt;Yes",Contacts!$L$3:$L$502,"&lt;&gt;Yes")+COUNTIFS(Opportunities!$A$3:$A$502,$A379,Opportunities!$C$3:$C$502,"Won",Opportunities!$Q$3:$Q$502,"Satisfied")&gt;0,4,IF(COUNTIFS(Interactions!$B$3:$B$502,$A379,Interactions!$I$3:$I$502,"Yes",Interactions!$A$3:$A$502,"&gt;="&amp;(S_Today-S_WarmDays))&gt;0,3,IF(T379&lt;&gt;"",2,IF(COUNTIFS(Contacts!$A$3:$A$502,$A379,Contacts!$M$3:$M$502,"Yes",Contacts!$K$3:$K$502,"&lt;&gt;Yes",Contacts!$L$3:$L$502,"&lt;&gt;Yes")&gt;0,1,0)))))</f>
        <v/>
      </c>
      <c r="AE379" s="32" t="str">
        <f aca="false">IF($A379="","",IF(Z379="Yes","Do not contact",IF(AC379="","Research",IF(AND(AC379&gt;=S_FitHigh,AD379&gt;=S_AccessHigh),"Priority",IF(AC379&gt;=S_FitHigh,"Build a Path",IF(AD379&gt;=S_AccessHigh,"Quick Win","Low Priority"))))))</f>
        <v/>
      </c>
      <c r="AF379" s="33" t="str">
        <f aca="false">IF($A379="","",IF(_xlfn.MAXIFS(Interactions!$A$3:$A$502,Interactions!$B$3:$B$502,$A379)=0,"",_xlfn.MAXIFS(Interactions!$A$3:$A$502,Interactions!$B$3:$B$502,$A379)))</f>
        <v/>
      </c>
      <c r="AG379" s="32" t="str">
        <f aca="false">IF($A379="","",COUNTIFS(Opportunities!$A$3:$A$502,$A379,Opportunities!$X$3:$X$502,"Yes"))</f>
        <v/>
      </c>
      <c r="AH379" s="32" t="str">
        <f aca="false">IF($A379="","",_xlfn.TEXTJOIN(", ",TRUE(),IF(COUNTIF($A$3:$A$502,$A379)&gt;1,"Duplicate name",""),IF(OR(AND(G379=2,I379=""),AND(J379=2,L379=""),AND(M379=2,O379=""),AND(P379=2,R379="")),"Source missing for a 2",""),IF(F379="","No owner",IF(COUNTIFS(R_TeamName,F379,R_TeamActive,"No")&gt;0,"Needs new owner","")),IF(AND(V379="Yes",X379&lt;&gt;"",X379&lt;S_SemStart),"Path overdue",""),IF(AND(S379&lt;&gt;"",S379&lt;S_Today-365),"Stale research",""),IF(AND(AE379="Research",COUNTIF('Commercial Evidence'!$A$3:$A$502,$A379)=0),"Add commercial evidence","")))</f>
        <v/>
      </c>
      <c r="AI379" s="34" t="str">
        <f aca="false">IF(OR($A379="",Z379="Yes"),"",IF(AND(AE379="Priority",AG379=0,COUNTIFS(Opportunities!$A$3:$A$502,$A379,Opportunities!$Y$3:$Y$502,"Renewal due")=0),600000+(10-AC379)*1000+(4-AD379)*100+ROW()/100000,IF(V379="Yes",700000+IF(X379="",0,X379-40000)/10+ROW()/100000,IF(AND(AE379="Quick Win",U379&lt;&gt;"",AG379=0),800000+(10-AC379)*1000+ROW()/100000,IF(AND(AE379="Build a Path",COUNTIF($V$3:$V$502,"Yes")&lt;S_PathCap),900000+(10-AC379)*1000+(4-AD379)*100+ROW()/100000,"")))))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8"/>
      <c r="T380" s="27"/>
      <c r="U380" s="27"/>
      <c r="V380" s="27"/>
      <c r="W380" s="27"/>
      <c r="X380" s="28"/>
      <c r="Y380" s="27"/>
      <c r="Z380" s="27"/>
      <c r="AA380" s="27"/>
      <c r="AB380" s="32" t="str">
        <f aca="false">IF($A380="","",IF(COUNTIF('Commercial Evidence'!$A$3:$A$502,$A380)=0,"",IF(COUNTIFS('Commercial Evidence'!$A$3:$A$502,$A380,'Commercial Evidence'!$B$3:$B$502,"Previous CBS Talks spend")+COUNTIFS('Commercial Evidence'!$A$3:$A$502,$A380,'Commercial Evidence'!$B$3:$B$502,"Sponsors student organisations")&gt;0,2,IF(COUNTIFS('Commercial Evidence'!$A$3:$A$502,$A380,'Commercial Evidence'!$B$3:$B$502,"Sponsors university activities")+COUNTIFS('Commercial Evidence'!$A$3:$A$502,$A380,'Commercial Evidence'!$B$3:$B$502,"Sponsors similar events")+COUNTIFS('Commercial Evidence'!$A$3:$A$502,$A380,'Commercial Evidence'!$B$3:$B$502,"Previous CBS Talks partner")&gt;0,1,0))))</f>
        <v/>
      </c>
      <c r="AC380" s="32" t="str">
        <f aca="false">IF($A380="","",IF(COUNT(G380,J380,M380,P380,AB380)&lt;5,"",G380+J380+M380+P380+AB380))</f>
        <v/>
      </c>
      <c r="AD380" s="32" t="str">
        <f aca="false">IF($A380="","",IF(COUNTIFS(Contacts!$A$3:$A$502,$A380,Contacts!$E$3:$E$502,"Champion",Contacts!$K$3:$K$502,"&lt;&gt;Yes",Contacts!$L$3:$L$502,"&lt;&gt;Yes")+COUNTIFS(Opportunities!$A$3:$A$502,$A380,Opportunities!$C$3:$C$502,"Won",Opportunities!$Q$3:$Q$502,"Satisfied")&gt;0,4,IF(COUNTIFS(Interactions!$B$3:$B$502,$A380,Interactions!$I$3:$I$502,"Yes",Interactions!$A$3:$A$502,"&gt;="&amp;(S_Today-S_WarmDays))&gt;0,3,IF(T380&lt;&gt;"",2,IF(COUNTIFS(Contacts!$A$3:$A$502,$A380,Contacts!$M$3:$M$502,"Yes",Contacts!$K$3:$K$502,"&lt;&gt;Yes",Contacts!$L$3:$L$502,"&lt;&gt;Yes")&gt;0,1,0)))))</f>
        <v/>
      </c>
      <c r="AE380" s="32" t="str">
        <f aca="false">IF($A380="","",IF(Z380="Yes","Do not contact",IF(AC380="","Research",IF(AND(AC380&gt;=S_FitHigh,AD380&gt;=S_AccessHigh),"Priority",IF(AC380&gt;=S_FitHigh,"Build a Path",IF(AD380&gt;=S_AccessHigh,"Quick Win","Low Priority"))))))</f>
        <v/>
      </c>
      <c r="AF380" s="33" t="str">
        <f aca="false">IF($A380="","",IF(_xlfn.MAXIFS(Interactions!$A$3:$A$502,Interactions!$B$3:$B$502,$A380)=0,"",_xlfn.MAXIFS(Interactions!$A$3:$A$502,Interactions!$B$3:$B$502,$A380)))</f>
        <v/>
      </c>
      <c r="AG380" s="32" t="str">
        <f aca="false">IF($A380="","",COUNTIFS(Opportunities!$A$3:$A$502,$A380,Opportunities!$X$3:$X$502,"Yes"))</f>
        <v/>
      </c>
      <c r="AH380" s="32" t="str">
        <f aca="false">IF($A380="","",_xlfn.TEXTJOIN(", ",TRUE(),IF(COUNTIF($A$3:$A$502,$A380)&gt;1,"Duplicate name",""),IF(OR(AND(G380=2,I380=""),AND(J380=2,L380=""),AND(M380=2,O380=""),AND(P380=2,R380="")),"Source missing for a 2",""),IF(F380="","No owner",IF(COUNTIFS(R_TeamName,F380,R_TeamActive,"No")&gt;0,"Needs new owner","")),IF(AND(V380="Yes",X380&lt;&gt;"",X380&lt;S_SemStart),"Path overdue",""),IF(AND(S380&lt;&gt;"",S380&lt;S_Today-365),"Stale research",""),IF(AND(AE380="Research",COUNTIF('Commercial Evidence'!$A$3:$A$502,$A380)=0),"Add commercial evidence","")))</f>
        <v/>
      </c>
      <c r="AI380" s="34" t="str">
        <f aca="false">IF(OR($A380="",Z380="Yes"),"",IF(AND(AE380="Priority",AG380=0,COUNTIFS(Opportunities!$A$3:$A$502,$A380,Opportunities!$Y$3:$Y$502,"Renewal due")=0),600000+(10-AC380)*1000+(4-AD380)*100+ROW()/100000,IF(V380="Yes",700000+IF(X380="",0,X380-40000)/10+ROW()/100000,IF(AND(AE380="Quick Win",U380&lt;&gt;"",AG380=0),800000+(10-AC380)*1000+ROW()/100000,IF(AND(AE380="Build a Path",COUNTIF($V$3:$V$502,"Yes")&lt;S_PathCap),900000+(10-AC380)*1000+(4-AD380)*100+ROW()/100000,"")))))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8"/>
      <c r="T381" s="27"/>
      <c r="U381" s="27"/>
      <c r="V381" s="27"/>
      <c r="W381" s="27"/>
      <c r="X381" s="28"/>
      <c r="Y381" s="27"/>
      <c r="Z381" s="27"/>
      <c r="AA381" s="27"/>
      <c r="AB381" s="32" t="str">
        <f aca="false">IF($A381="","",IF(COUNTIF('Commercial Evidence'!$A$3:$A$502,$A381)=0,"",IF(COUNTIFS('Commercial Evidence'!$A$3:$A$502,$A381,'Commercial Evidence'!$B$3:$B$502,"Previous CBS Talks spend")+COUNTIFS('Commercial Evidence'!$A$3:$A$502,$A381,'Commercial Evidence'!$B$3:$B$502,"Sponsors student organisations")&gt;0,2,IF(COUNTIFS('Commercial Evidence'!$A$3:$A$502,$A381,'Commercial Evidence'!$B$3:$B$502,"Sponsors university activities")+COUNTIFS('Commercial Evidence'!$A$3:$A$502,$A381,'Commercial Evidence'!$B$3:$B$502,"Sponsors similar events")+COUNTIFS('Commercial Evidence'!$A$3:$A$502,$A381,'Commercial Evidence'!$B$3:$B$502,"Previous CBS Talks partner")&gt;0,1,0))))</f>
        <v/>
      </c>
      <c r="AC381" s="32" t="str">
        <f aca="false">IF($A381="","",IF(COUNT(G381,J381,M381,P381,AB381)&lt;5,"",G381+J381+M381+P381+AB381))</f>
        <v/>
      </c>
      <c r="AD381" s="32" t="str">
        <f aca="false">IF($A381="","",IF(COUNTIFS(Contacts!$A$3:$A$502,$A381,Contacts!$E$3:$E$502,"Champion",Contacts!$K$3:$K$502,"&lt;&gt;Yes",Contacts!$L$3:$L$502,"&lt;&gt;Yes")+COUNTIFS(Opportunities!$A$3:$A$502,$A381,Opportunities!$C$3:$C$502,"Won",Opportunities!$Q$3:$Q$502,"Satisfied")&gt;0,4,IF(COUNTIFS(Interactions!$B$3:$B$502,$A381,Interactions!$I$3:$I$502,"Yes",Interactions!$A$3:$A$502,"&gt;="&amp;(S_Today-S_WarmDays))&gt;0,3,IF(T381&lt;&gt;"",2,IF(COUNTIFS(Contacts!$A$3:$A$502,$A381,Contacts!$M$3:$M$502,"Yes",Contacts!$K$3:$K$502,"&lt;&gt;Yes",Contacts!$L$3:$L$502,"&lt;&gt;Yes")&gt;0,1,0)))))</f>
        <v/>
      </c>
      <c r="AE381" s="32" t="str">
        <f aca="false">IF($A381="","",IF(Z381="Yes","Do not contact",IF(AC381="","Research",IF(AND(AC381&gt;=S_FitHigh,AD381&gt;=S_AccessHigh),"Priority",IF(AC381&gt;=S_FitHigh,"Build a Path",IF(AD381&gt;=S_AccessHigh,"Quick Win","Low Priority"))))))</f>
        <v/>
      </c>
      <c r="AF381" s="33" t="str">
        <f aca="false">IF($A381="","",IF(_xlfn.MAXIFS(Interactions!$A$3:$A$502,Interactions!$B$3:$B$502,$A381)=0,"",_xlfn.MAXIFS(Interactions!$A$3:$A$502,Interactions!$B$3:$B$502,$A381)))</f>
        <v/>
      </c>
      <c r="AG381" s="32" t="str">
        <f aca="false">IF($A381="","",COUNTIFS(Opportunities!$A$3:$A$502,$A381,Opportunities!$X$3:$X$502,"Yes"))</f>
        <v/>
      </c>
      <c r="AH381" s="32" t="str">
        <f aca="false">IF($A381="","",_xlfn.TEXTJOIN(", ",TRUE(),IF(COUNTIF($A$3:$A$502,$A381)&gt;1,"Duplicate name",""),IF(OR(AND(G381=2,I381=""),AND(J381=2,L381=""),AND(M381=2,O381=""),AND(P381=2,R381="")),"Source missing for a 2",""),IF(F381="","No owner",IF(COUNTIFS(R_TeamName,F381,R_TeamActive,"No")&gt;0,"Needs new owner","")),IF(AND(V381="Yes",X381&lt;&gt;"",X381&lt;S_SemStart),"Path overdue",""),IF(AND(S381&lt;&gt;"",S381&lt;S_Today-365),"Stale research",""),IF(AND(AE381="Research",COUNTIF('Commercial Evidence'!$A$3:$A$502,$A381)=0),"Add commercial evidence","")))</f>
        <v/>
      </c>
      <c r="AI381" s="34" t="str">
        <f aca="false">IF(OR($A381="",Z381="Yes"),"",IF(AND(AE381="Priority",AG381=0,COUNTIFS(Opportunities!$A$3:$A$502,$A381,Opportunities!$Y$3:$Y$502,"Renewal due")=0),600000+(10-AC381)*1000+(4-AD381)*100+ROW()/100000,IF(V381="Yes",700000+IF(X381="",0,X381-40000)/10+ROW()/100000,IF(AND(AE381="Quick Win",U381&lt;&gt;"",AG381=0),800000+(10-AC381)*1000+ROW()/100000,IF(AND(AE381="Build a Path",COUNTIF($V$3:$V$502,"Yes")&lt;S_PathCap),900000+(10-AC381)*1000+(4-AD381)*100+ROW()/100000,"")))))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8"/>
      <c r="T382" s="27"/>
      <c r="U382" s="27"/>
      <c r="V382" s="27"/>
      <c r="W382" s="27"/>
      <c r="X382" s="28"/>
      <c r="Y382" s="27"/>
      <c r="Z382" s="27"/>
      <c r="AA382" s="27"/>
      <c r="AB382" s="32" t="str">
        <f aca="false">IF($A382="","",IF(COUNTIF('Commercial Evidence'!$A$3:$A$502,$A382)=0,"",IF(COUNTIFS('Commercial Evidence'!$A$3:$A$502,$A382,'Commercial Evidence'!$B$3:$B$502,"Previous CBS Talks spend")+COUNTIFS('Commercial Evidence'!$A$3:$A$502,$A382,'Commercial Evidence'!$B$3:$B$502,"Sponsors student organisations")&gt;0,2,IF(COUNTIFS('Commercial Evidence'!$A$3:$A$502,$A382,'Commercial Evidence'!$B$3:$B$502,"Sponsors university activities")+COUNTIFS('Commercial Evidence'!$A$3:$A$502,$A382,'Commercial Evidence'!$B$3:$B$502,"Sponsors similar events")+COUNTIFS('Commercial Evidence'!$A$3:$A$502,$A382,'Commercial Evidence'!$B$3:$B$502,"Previous CBS Talks partner")&gt;0,1,0))))</f>
        <v/>
      </c>
      <c r="AC382" s="32" t="str">
        <f aca="false">IF($A382="","",IF(COUNT(G382,J382,M382,P382,AB382)&lt;5,"",G382+J382+M382+P382+AB382))</f>
        <v/>
      </c>
      <c r="AD382" s="32" t="str">
        <f aca="false">IF($A382="","",IF(COUNTIFS(Contacts!$A$3:$A$502,$A382,Contacts!$E$3:$E$502,"Champion",Contacts!$K$3:$K$502,"&lt;&gt;Yes",Contacts!$L$3:$L$502,"&lt;&gt;Yes")+COUNTIFS(Opportunities!$A$3:$A$502,$A382,Opportunities!$C$3:$C$502,"Won",Opportunities!$Q$3:$Q$502,"Satisfied")&gt;0,4,IF(COUNTIFS(Interactions!$B$3:$B$502,$A382,Interactions!$I$3:$I$502,"Yes",Interactions!$A$3:$A$502,"&gt;="&amp;(S_Today-S_WarmDays))&gt;0,3,IF(T382&lt;&gt;"",2,IF(COUNTIFS(Contacts!$A$3:$A$502,$A382,Contacts!$M$3:$M$502,"Yes",Contacts!$K$3:$K$502,"&lt;&gt;Yes",Contacts!$L$3:$L$502,"&lt;&gt;Yes")&gt;0,1,0)))))</f>
        <v/>
      </c>
      <c r="AE382" s="32" t="str">
        <f aca="false">IF($A382="","",IF(Z382="Yes","Do not contact",IF(AC382="","Research",IF(AND(AC382&gt;=S_FitHigh,AD382&gt;=S_AccessHigh),"Priority",IF(AC382&gt;=S_FitHigh,"Build a Path",IF(AD382&gt;=S_AccessHigh,"Quick Win","Low Priority"))))))</f>
        <v/>
      </c>
      <c r="AF382" s="33" t="str">
        <f aca="false">IF($A382="","",IF(_xlfn.MAXIFS(Interactions!$A$3:$A$502,Interactions!$B$3:$B$502,$A382)=0,"",_xlfn.MAXIFS(Interactions!$A$3:$A$502,Interactions!$B$3:$B$502,$A382)))</f>
        <v/>
      </c>
      <c r="AG382" s="32" t="str">
        <f aca="false">IF($A382="","",COUNTIFS(Opportunities!$A$3:$A$502,$A382,Opportunities!$X$3:$X$502,"Yes"))</f>
        <v/>
      </c>
      <c r="AH382" s="32" t="str">
        <f aca="false">IF($A382="","",_xlfn.TEXTJOIN(", ",TRUE(),IF(COUNTIF($A$3:$A$502,$A382)&gt;1,"Duplicate name",""),IF(OR(AND(G382=2,I382=""),AND(J382=2,L382=""),AND(M382=2,O382=""),AND(P382=2,R382="")),"Source missing for a 2",""),IF(F382="","No owner",IF(COUNTIFS(R_TeamName,F382,R_TeamActive,"No")&gt;0,"Needs new owner","")),IF(AND(V382="Yes",X382&lt;&gt;"",X382&lt;S_SemStart),"Path overdue",""),IF(AND(S382&lt;&gt;"",S382&lt;S_Today-365),"Stale research",""),IF(AND(AE382="Research",COUNTIF('Commercial Evidence'!$A$3:$A$502,$A382)=0),"Add commercial evidence","")))</f>
        <v/>
      </c>
      <c r="AI382" s="34" t="str">
        <f aca="false">IF(OR($A382="",Z382="Yes"),"",IF(AND(AE382="Priority",AG382=0,COUNTIFS(Opportunities!$A$3:$A$502,$A382,Opportunities!$Y$3:$Y$502,"Renewal due")=0),600000+(10-AC382)*1000+(4-AD382)*100+ROW()/100000,IF(V382="Yes",700000+IF(X382="",0,X382-40000)/10+ROW()/100000,IF(AND(AE382="Quick Win",U382&lt;&gt;"",AG382=0),800000+(10-AC382)*1000+ROW()/100000,IF(AND(AE382="Build a Path",COUNTIF($V$3:$V$502,"Yes")&lt;S_PathCap),900000+(10-AC382)*1000+(4-AD382)*100+ROW()/100000,"")))))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8"/>
      <c r="T383" s="27"/>
      <c r="U383" s="27"/>
      <c r="V383" s="27"/>
      <c r="W383" s="27"/>
      <c r="X383" s="28"/>
      <c r="Y383" s="27"/>
      <c r="Z383" s="27"/>
      <c r="AA383" s="27"/>
      <c r="AB383" s="32" t="str">
        <f aca="false">IF($A383="","",IF(COUNTIF('Commercial Evidence'!$A$3:$A$502,$A383)=0,"",IF(COUNTIFS('Commercial Evidence'!$A$3:$A$502,$A383,'Commercial Evidence'!$B$3:$B$502,"Previous CBS Talks spend")+COUNTIFS('Commercial Evidence'!$A$3:$A$502,$A383,'Commercial Evidence'!$B$3:$B$502,"Sponsors student organisations")&gt;0,2,IF(COUNTIFS('Commercial Evidence'!$A$3:$A$502,$A383,'Commercial Evidence'!$B$3:$B$502,"Sponsors university activities")+COUNTIFS('Commercial Evidence'!$A$3:$A$502,$A383,'Commercial Evidence'!$B$3:$B$502,"Sponsors similar events")+COUNTIFS('Commercial Evidence'!$A$3:$A$502,$A383,'Commercial Evidence'!$B$3:$B$502,"Previous CBS Talks partner")&gt;0,1,0))))</f>
        <v/>
      </c>
      <c r="AC383" s="32" t="str">
        <f aca="false">IF($A383="","",IF(COUNT(G383,J383,M383,P383,AB383)&lt;5,"",G383+J383+M383+P383+AB383))</f>
        <v/>
      </c>
      <c r="AD383" s="32" t="str">
        <f aca="false">IF($A383="","",IF(COUNTIFS(Contacts!$A$3:$A$502,$A383,Contacts!$E$3:$E$502,"Champion",Contacts!$K$3:$K$502,"&lt;&gt;Yes",Contacts!$L$3:$L$502,"&lt;&gt;Yes")+COUNTIFS(Opportunities!$A$3:$A$502,$A383,Opportunities!$C$3:$C$502,"Won",Opportunities!$Q$3:$Q$502,"Satisfied")&gt;0,4,IF(COUNTIFS(Interactions!$B$3:$B$502,$A383,Interactions!$I$3:$I$502,"Yes",Interactions!$A$3:$A$502,"&gt;="&amp;(S_Today-S_WarmDays))&gt;0,3,IF(T383&lt;&gt;"",2,IF(COUNTIFS(Contacts!$A$3:$A$502,$A383,Contacts!$M$3:$M$502,"Yes",Contacts!$K$3:$K$502,"&lt;&gt;Yes",Contacts!$L$3:$L$502,"&lt;&gt;Yes")&gt;0,1,0)))))</f>
        <v/>
      </c>
      <c r="AE383" s="32" t="str">
        <f aca="false">IF($A383="","",IF(Z383="Yes","Do not contact",IF(AC383="","Research",IF(AND(AC383&gt;=S_FitHigh,AD383&gt;=S_AccessHigh),"Priority",IF(AC383&gt;=S_FitHigh,"Build a Path",IF(AD383&gt;=S_AccessHigh,"Quick Win","Low Priority"))))))</f>
        <v/>
      </c>
      <c r="AF383" s="33" t="str">
        <f aca="false">IF($A383="","",IF(_xlfn.MAXIFS(Interactions!$A$3:$A$502,Interactions!$B$3:$B$502,$A383)=0,"",_xlfn.MAXIFS(Interactions!$A$3:$A$502,Interactions!$B$3:$B$502,$A383)))</f>
        <v/>
      </c>
      <c r="AG383" s="32" t="str">
        <f aca="false">IF($A383="","",COUNTIFS(Opportunities!$A$3:$A$502,$A383,Opportunities!$X$3:$X$502,"Yes"))</f>
        <v/>
      </c>
      <c r="AH383" s="32" t="str">
        <f aca="false">IF($A383="","",_xlfn.TEXTJOIN(", ",TRUE(),IF(COUNTIF($A$3:$A$502,$A383)&gt;1,"Duplicate name",""),IF(OR(AND(G383=2,I383=""),AND(J383=2,L383=""),AND(M383=2,O383=""),AND(P383=2,R383="")),"Source missing for a 2",""),IF(F383="","No owner",IF(COUNTIFS(R_TeamName,F383,R_TeamActive,"No")&gt;0,"Needs new owner","")),IF(AND(V383="Yes",X383&lt;&gt;"",X383&lt;S_SemStart),"Path overdue",""),IF(AND(S383&lt;&gt;"",S383&lt;S_Today-365),"Stale research",""),IF(AND(AE383="Research",COUNTIF('Commercial Evidence'!$A$3:$A$502,$A383)=0),"Add commercial evidence","")))</f>
        <v/>
      </c>
      <c r="AI383" s="34" t="str">
        <f aca="false">IF(OR($A383="",Z383="Yes"),"",IF(AND(AE383="Priority",AG383=0,COUNTIFS(Opportunities!$A$3:$A$502,$A383,Opportunities!$Y$3:$Y$502,"Renewal due")=0),600000+(10-AC383)*1000+(4-AD383)*100+ROW()/100000,IF(V383="Yes",700000+IF(X383="",0,X383-40000)/10+ROW()/100000,IF(AND(AE383="Quick Win",U383&lt;&gt;"",AG383=0),800000+(10-AC383)*1000+ROW()/100000,IF(AND(AE383="Build a Path",COUNTIF($V$3:$V$502,"Yes")&lt;S_PathCap),900000+(10-AC383)*1000+(4-AD383)*100+ROW()/100000,"")))))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8"/>
      <c r="T384" s="27"/>
      <c r="U384" s="27"/>
      <c r="V384" s="27"/>
      <c r="W384" s="27"/>
      <c r="X384" s="28"/>
      <c r="Y384" s="27"/>
      <c r="Z384" s="27"/>
      <c r="AA384" s="27"/>
      <c r="AB384" s="32" t="str">
        <f aca="false">IF($A384="","",IF(COUNTIF('Commercial Evidence'!$A$3:$A$502,$A384)=0,"",IF(COUNTIFS('Commercial Evidence'!$A$3:$A$502,$A384,'Commercial Evidence'!$B$3:$B$502,"Previous CBS Talks spend")+COUNTIFS('Commercial Evidence'!$A$3:$A$502,$A384,'Commercial Evidence'!$B$3:$B$502,"Sponsors student organisations")&gt;0,2,IF(COUNTIFS('Commercial Evidence'!$A$3:$A$502,$A384,'Commercial Evidence'!$B$3:$B$502,"Sponsors university activities")+COUNTIFS('Commercial Evidence'!$A$3:$A$502,$A384,'Commercial Evidence'!$B$3:$B$502,"Sponsors similar events")+COUNTIFS('Commercial Evidence'!$A$3:$A$502,$A384,'Commercial Evidence'!$B$3:$B$502,"Previous CBS Talks partner")&gt;0,1,0))))</f>
        <v/>
      </c>
      <c r="AC384" s="32" t="str">
        <f aca="false">IF($A384="","",IF(COUNT(G384,J384,M384,P384,AB384)&lt;5,"",G384+J384+M384+P384+AB384))</f>
        <v/>
      </c>
      <c r="AD384" s="32" t="str">
        <f aca="false">IF($A384="","",IF(COUNTIFS(Contacts!$A$3:$A$502,$A384,Contacts!$E$3:$E$502,"Champion",Contacts!$K$3:$K$502,"&lt;&gt;Yes",Contacts!$L$3:$L$502,"&lt;&gt;Yes")+COUNTIFS(Opportunities!$A$3:$A$502,$A384,Opportunities!$C$3:$C$502,"Won",Opportunities!$Q$3:$Q$502,"Satisfied")&gt;0,4,IF(COUNTIFS(Interactions!$B$3:$B$502,$A384,Interactions!$I$3:$I$502,"Yes",Interactions!$A$3:$A$502,"&gt;="&amp;(S_Today-S_WarmDays))&gt;0,3,IF(T384&lt;&gt;"",2,IF(COUNTIFS(Contacts!$A$3:$A$502,$A384,Contacts!$M$3:$M$502,"Yes",Contacts!$K$3:$K$502,"&lt;&gt;Yes",Contacts!$L$3:$L$502,"&lt;&gt;Yes")&gt;0,1,0)))))</f>
        <v/>
      </c>
      <c r="AE384" s="32" t="str">
        <f aca="false">IF($A384="","",IF(Z384="Yes","Do not contact",IF(AC384="","Research",IF(AND(AC384&gt;=S_FitHigh,AD384&gt;=S_AccessHigh),"Priority",IF(AC384&gt;=S_FitHigh,"Build a Path",IF(AD384&gt;=S_AccessHigh,"Quick Win","Low Priority"))))))</f>
        <v/>
      </c>
      <c r="AF384" s="33" t="str">
        <f aca="false">IF($A384="","",IF(_xlfn.MAXIFS(Interactions!$A$3:$A$502,Interactions!$B$3:$B$502,$A384)=0,"",_xlfn.MAXIFS(Interactions!$A$3:$A$502,Interactions!$B$3:$B$502,$A384)))</f>
        <v/>
      </c>
      <c r="AG384" s="32" t="str">
        <f aca="false">IF($A384="","",COUNTIFS(Opportunities!$A$3:$A$502,$A384,Opportunities!$X$3:$X$502,"Yes"))</f>
        <v/>
      </c>
      <c r="AH384" s="32" t="str">
        <f aca="false">IF($A384="","",_xlfn.TEXTJOIN(", ",TRUE(),IF(COUNTIF($A$3:$A$502,$A384)&gt;1,"Duplicate name",""),IF(OR(AND(G384=2,I384=""),AND(J384=2,L384=""),AND(M384=2,O384=""),AND(P384=2,R384="")),"Source missing for a 2",""),IF(F384="","No owner",IF(COUNTIFS(R_TeamName,F384,R_TeamActive,"No")&gt;0,"Needs new owner","")),IF(AND(V384="Yes",X384&lt;&gt;"",X384&lt;S_SemStart),"Path overdue",""),IF(AND(S384&lt;&gt;"",S384&lt;S_Today-365),"Stale research",""),IF(AND(AE384="Research",COUNTIF('Commercial Evidence'!$A$3:$A$502,$A384)=0),"Add commercial evidence","")))</f>
        <v/>
      </c>
      <c r="AI384" s="34" t="str">
        <f aca="false">IF(OR($A384="",Z384="Yes"),"",IF(AND(AE384="Priority",AG384=0,COUNTIFS(Opportunities!$A$3:$A$502,$A384,Opportunities!$Y$3:$Y$502,"Renewal due")=0),600000+(10-AC384)*1000+(4-AD384)*100+ROW()/100000,IF(V384="Yes",700000+IF(X384="",0,X384-40000)/10+ROW()/100000,IF(AND(AE384="Quick Win",U384&lt;&gt;"",AG384=0),800000+(10-AC384)*1000+ROW()/100000,IF(AND(AE384="Build a Path",COUNTIF($V$3:$V$502,"Yes")&lt;S_PathCap),900000+(10-AC384)*1000+(4-AD384)*100+ROW()/100000,"")))))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8"/>
      <c r="T385" s="27"/>
      <c r="U385" s="27"/>
      <c r="V385" s="27"/>
      <c r="W385" s="27"/>
      <c r="X385" s="28"/>
      <c r="Y385" s="27"/>
      <c r="Z385" s="27"/>
      <c r="AA385" s="27"/>
      <c r="AB385" s="32" t="str">
        <f aca="false">IF($A385="","",IF(COUNTIF('Commercial Evidence'!$A$3:$A$502,$A385)=0,"",IF(COUNTIFS('Commercial Evidence'!$A$3:$A$502,$A385,'Commercial Evidence'!$B$3:$B$502,"Previous CBS Talks spend")+COUNTIFS('Commercial Evidence'!$A$3:$A$502,$A385,'Commercial Evidence'!$B$3:$B$502,"Sponsors student organisations")&gt;0,2,IF(COUNTIFS('Commercial Evidence'!$A$3:$A$502,$A385,'Commercial Evidence'!$B$3:$B$502,"Sponsors university activities")+COUNTIFS('Commercial Evidence'!$A$3:$A$502,$A385,'Commercial Evidence'!$B$3:$B$502,"Sponsors similar events")+COUNTIFS('Commercial Evidence'!$A$3:$A$502,$A385,'Commercial Evidence'!$B$3:$B$502,"Previous CBS Talks partner")&gt;0,1,0))))</f>
        <v/>
      </c>
      <c r="AC385" s="32" t="str">
        <f aca="false">IF($A385="","",IF(COUNT(G385,J385,M385,P385,AB385)&lt;5,"",G385+J385+M385+P385+AB385))</f>
        <v/>
      </c>
      <c r="AD385" s="32" t="str">
        <f aca="false">IF($A385="","",IF(COUNTIFS(Contacts!$A$3:$A$502,$A385,Contacts!$E$3:$E$502,"Champion",Contacts!$K$3:$K$502,"&lt;&gt;Yes",Contacts!$L$3:$L$502,"&lt;&gt;Yes")+COUNTIFS(Opportunities!$A$3:$A$502,$A385,Opportunities!$C$3:$C$502,"Won",Opportunities!$Q$3:$Q$502,"Satisfied")&gt;0,4,IF(COUNTIFS(Interactions!$B$3:$B$502,$A385,Interactions!$I$3:$I$502,"Yes",Interactions!$A$3:$A$502,"&gt;="&amp;(S_Today-S_WarmDays))&gt;0,3,IF(T385&lt;&gt;"",2,IF(COUNTIFS(Contacts!$A$3:$A$502,$A385,Contacts!$M$3:$M$502,"Yes",Contacts!$K$3:$K$502,"&lt;&gt;Yes",Contacts!$L$3:$L$502,"&lt;&gt;Yes")&gt;0,1,0)))))</f>
        <v/>
      </c>
      <c r="AE385" s="32" t="str">
        <f aca="false">IF($A385="","",IF(Z385="Yes","Do not contact",IF(AC385="","Research",IF(AND(AC385&gt;=S_FitHigh,AD385&gt;=S_AccessHigh),"Priority",IF(AC385&gt;=S_FitHigh,"Build a Path",IF(AD385&gt;=S_AccessHigh,"Quick Win","Low Priority"))))))</f>
        <v/>
      </c>
      <c r="AF385" s="33" t="str">
        <f aca="false">IF($A385="","",IF(_xlfn.MAXIFS(Interactions!$A$3:$A$502,Interactions!$B$3:$B$502,$A385)=0,"",_xlfn.MAXIFS(Interactions!$A$3:$A$502,Interactions!$B$3:$B$502,$A385)))</f>
        <v/>
      </c>
      <c r="AG385" s="32" t="str">
        <f aca="false">IF($A385="","",COUNTIFS(Opportunities!$A$3:$A$502,$A385,Opportunities!$X$3:$X$502,"Yes"))</f>
        <v/>
      </c>
      <c r="AH385" s="32" t="str">
        <f aca="false">IF($A385="","",_xlfn.TEXTJOIN(", ",TRUE(),IF(COUNTIF($A$3:$A$502,$A385)&gt;1,"Duplicate name",""),IF(OR(AND(G385=2,I385=""),AND(J385=2,L385=""),AND(M385=2,O385=""),AND(P385=2,R385="")),"Source missing for a 2",""),IF(F385="","No owner",IF(COUNTIFS(R_TeamName,F385,R_TeamActive,"No")&gt;0,"Needs new owner","")),IF(AND(V385="Yes",X385&lt;&gt;"",X385&lt;S_SemStart),"Path overdue",""),IF(AND(S385&lt;&gt;"",S385&lt;S_Today-365),"Stale research",""),IF(AND(AE385="Research",COUNTIF('Commercial Evidence'!$A$3:$A$502,$A385)=0),"Add commercial evidence","")))</f>
        <v/>
      </c>
      <c r="AI385" s="34" t="str">
        <f aca="false">IF(OR($A385="",Z385="Yes"),"",IF(AND(AE385="Priority",AG385=0,COUNTIFS(Opportunities!$A$3:$A$502,$A385,Opportunities!$Y$3:$Y$502,"Renewal due")=0),600000+(10-AC385)*1000+(4-AD385)*100+ROW()/100000,IF(V385="Yes",700000+IF(X385="",0,X385-40000)/10+ROW()/100000,IF(AND(AE385="Quick Win",U385&lt;&gt;"",AG385=0),800000+(10-AC385)*1000+ROW()/100000,IF(AND(AE385="Build a Path",COUNTIF($V$3:$V$502,"Yes")&lt;S_PathCap),900000+(10-AC385)*1000+(4-AD385)*100+ROW()/100000,"")))))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8"/>
      <c r="T386" s="27"/>
      <c r="U386" s="27"/>
      <c r="V386" s="27"/>
      <c r="W386" s="27"/>
      <c r="X386" s="28"/>
      <c r="Y386" s="27"/>
      <c r="Z386" s="27"/>
      <c r="AA386" s="27"/>
      <c r="AB386" s="32" t="str">
        <f aca="false">IF($A386="","",IF(COUNTIF('Commercial Evidence'!$A$3:$A$502,$A386)=0,"",IF(COUNTIFS('Commercial Evidence'!$A$3:$A$502,$A386,'Commercial Evidence'!$B$3:$B$502,"Previous CBS Talks spend")+COUNTIFS('Commercial Evidence'!$A$3:$A$502,$A386,'Commercial Evidence'!$B$3:$B$502,"Sponsors student organisations")&gt;0,2,IF(COUNTIFS('Commercial Evidence'!$A$3:$A$502,$A386,'Commercial Evidence'!$B$3:$B$502,"Sponsors university activities")+COUNTIFS('Commercial Evidence'!$A$3:$A$502,$A386,'Commercial Evidence'!$B$3:$B$502,"Sponsors similar events")+COUNTIFS('Commercial Evidence'!$A$3:$A$502,$A386,'Commercial Evidence'!$B$3:$B$502,"Previous CBS Talks partner")&gt;0,1,0))))</f>
        <v/>
      </c>
      <c r="AC386" s="32" t="str">
        <f aca="false">IF($A386="","",IF(COUNT(G386,J386,M386,P386,AB386)&lt;5,"",G386+J386+M386+P386+AB386))</f>
        <v/>
      </c>
      <c r="AD386" s="32" t="str">
        <f aca="false">IF($A386="","",IF(COUNTIFS(Contacts!$A$3:$A$502,$A386,Contacts!$E$3:$E$502,"Champion",Contacts!$K$3:$K$502,"&lt;&gt;Yes",Contacts!$L$3:$L$502,"&lt;&gt;Yes")+COUNTIFS(Opportunities!$A$3:$A$502,$A386,Opportunities!$C$3:$C$502,"Won",Opportunities!$Q$3:$Q$502,"Satisfied")&gt;0,4,IF(COUNTIFS(Interactions!$B$3:$B$502,$A386,Interactions!$I$3:$I$502,"Yes",Interactions!$A$3:$A$502,"&gt;="&amp;(S_Today-S_WarmDays))&gt;0,3,IF(T386&lt;&gt;"",2,IF(COUNTIFS(Contacts!$A$3:$A$502,$A386,Contacts!$M$3:$M$502,"Yes",Contacts!$K$3:$K$502,"&lt;&gt;Yes",Contacts!$L$3:$L$502,"&lt;&gt;Yes")&gt;0,1,0)))))</f>
        <v/>
      </c>
      <c r="AE386" s="32" t="str">
        <f aca="false">IF($A386="","",IF(Z386="Yes","Do not contact",IF(AC386="","Research",IF(AND(AC386&gt;=S_FitHigh,AD386&gt;=S_AccessHigh),"Priority",IF(AC386&gt;=S_FitHigh,"Build a Path",IF(AD386&gt;=S_AccessHigh,"Quick Win","Low Priority"))))))</f>
        <v/>
      </c>
      <c r="AF386" s="33" t="str">
        <f aca="false">IF($A386="","",IF(_xlfn.MAXIFS(Interactions!$A$3:$A$502,Interactions!$B$3:$B$502,$A386)=0,"",_xlfn.MAXIFS(Interactions!$A$3:$A$502,Interactions!$B$3:$B$502,$A386)))</f>
        <v/>
      </c>
      <c r="AG386" s="32" t="str">
        <f aca="false">IF($A386="","",COUNTIFS(Opportunities!$A$3:$A$502,$A386,Opportunities!$X$3:$X$502,"Yes"))</f>
        <v/>
      </c>
      <c r="AH386" s="32" t="str">
        <f aca="false">IF($A386="","",_xlfn.TEXTJOIN(", ",TRUE(),IF(COUNTIF($A$3:$A$502,$A386)&gt;1,"Duplicate name",""),IF(OR(AND(G386=2,I386=""),AND(J386=2,L386=""),AND(M386=2,O386=""),AND(P386=2,R386="")),"Source missing for a 2",""),IF(F386="","No owner",IF(COUNTIFS(R_TeamName,F386,R_TeamActive,"No")&gt;0,"Needs new owner","")),IF(AND(V386="Yes",X386&lt;&gt;"",X386&lt;S_SemStart),"Path overdue",""),IF(AND(S386&lt;&gt;"",S386&lt;S_Today-365),"Stale research",""),IF(AND(AE386="Research",COUNTIF('Commercial Evidence'!$A$3:$A$502,$A386)=0),"Add commercial evidence","")))</f>
        <v/>
      </c>
      <c r="AI386" s="34" t="str">
        <f aca="false">IF(OR($A386="",Z386="Yes"),"",IF(AND(AE386="Priority",AG386=0,COUNTIFS(Opportunities!$A$3:$A$502,$A386,Opportunities!$Y$3:$Y$502,"Renewal due")=0),600000+(10-AC386)*1000+(4-AD386)*100+ROW()/100000,IF(V386="Yes",700000+IF(X386="",0,X386-40000)/10+ROW()/100000,IF(AND(AE386="Quick Win",U386&lt;&gt;"",AG386=0),800000+(10-AC386)*1000+ROW()/100000,IF(AND(AE386="Build a Path",COUNTIF($V$3:$V$502,"Yes")&lt;S_PathCap),900000+(10-AC386)*1000+(4-AD386)*100+ROW()/100000,"")))))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8"/>
      <c r="T387" s="27"/>
      <c r="U387" s="27"/>
      <c r="V387" s="27"/>
      <c r="W387" s="27"/>
      <c r="X387" s="28"/>
      <c r="Y387" s="27"/>
      <c r="Z387" s="27"/>
      <c r="AA387" s="27"/>
      <c r="AB387" s="32" t="str">
        <f aca="false">IF($A387="","",IF(COUNTIF('Commercial Evidence'!$A$3:$A$502,$A387)=0,"",IF(COUNTIFS('Commercial Evidence'!$A$3:$A$502,$A387,'Commercial Evidence'!$B$3:$B$502,"Previous CBS Talks spend")+COUNTIFS('Commercial Evidence'!$A$3:$A$502,$A387,'Commercial Evidence'!$B$3:$B$502,"Sponsors student organisations")&gt;0,2,IF(COUNTIFS('Commercial Evidence'!$A$3:$A$502,$A387,'Commercial Evidence'!$B$3:$B$502,"Sponsors university activities")+COUNTIFS('Commercial Evidence'!$A$3:$A$502,$A387,'Commercial Evidence'!$B$3:$B$502,"Sponsors similar events")+COUNTIFS('Commercial Evidence'!$A$3:$A$502,$A387,'Commercial Evidence'!$B$3:$B$502,"Previous CBS Talks partner")&gt;0,1,0))))</f>
        <v/>
      </c>
      <c r="AC387" s="32" t="str">
        <f aca="false">IF($A387="","",IF(COUNT(G387,J387,M387,P387,AB387)&lt;5,"",G387+J387+M387+P387+AB387))</f>
        <v/>
      </c>
      <c r="AD387" s="32" t="str">
        <f aca="false">IF($A387="","",IF(COUNTIFS(Contacts!$A$3:$A$502,$A387,Contacts!$E$3:$E$502,"Champion",Contacts!$K$3:$K$502,"&lt;&gt;Yes",Contacts!$L$3:$L$502,"&lt;&gt;Yes")+COUNTIFS(Opportunities!$A$3:$A$502,$A387,Opportunities!$C$3:$C$502,"Won",Opportunities!$Q$3:$Q$502,"Satisfied")&gt;0,4,IF(COUNTIFS(Interactions!$B$3:$B$502,$A387,Interactions!$I$3:$I$502,"Yes",Interactions!$A$3:$A$502,"&gt;="&amp;(S_Today-S_WarmDays))&gt;0,3,IF(T387&lt;&gt;"",2,IF(COUNTIFS(Contacts!$A$3:$A$502,$A387,Contacts!$M$3:$M$502,"Yes",Contacts!$K$3:$K$502,"&lt;&gt;Yes",Contacts!$L$3:$L$502,"&lt;&gt;Yes")&gt;0,1,0)))))</f>
        <v/>
      </c>
      <c r="AE387" s="32" t="str">
        <f aca="false">IF($A387="","",IF(Z387="Yes","Do not contact",IF(AC387="","Research",IF(AND(AC387&gt;=S_FitHigh,AD387&gt;=S_AccessHigh),"Priority",IF(AC387&gt;=S_FitHigh,"Build a Path",IF(AD387&gt;=S_AccessHigh,"Quick Win","Low Priority"))))))</f>
        <v/>
      </c>
      <c r="AF387" s="33" t="str">
        <f aca="false">IF($A387="","",IF(_xlfn.MAXIFS(Interactions!$A$3:$A$502,Interactions!$B$3:$B$502,$A387)=0,"",_xlfn.MAXIFS(Interactions!$A$3:$A$502,Interactions!$B$3:$B$502,$A387)))</f>
        <v/>
      </c>
      <c r="AG387" s="32" t="str">
        <f aca="false">IF($A387="","",COUNTIFS(Opportunities!$A$3:$A$502,$A387,Opportunities!$X$3:$X$502,"Yes"))</f>
        <v/>
      </c>
      <c r="AH387" s="32" t="str">
        <f aca="false">IF($A387="","",_xlfn.TEXTJOIN(", ",TRUE(),IF(COUNTIF($A$3:$A$502,$A387)&gt;1,"Duplicate name",""),IF(OR(AND(G387=2,I387=""),AND(J387=2,L387=""),AND(M387=2,O387=""),AND(P387=2,R387="")),"Source missing for a 2",""),IF(F387="","No owner",IF(COUNTIFS(R_TeamName,F387,R_TeamActive,"No")&gt;0,"Needs new owner","")),IF(AND(V387="Yes",X387&lt;&gt;"",X387&lt;S_SemStart),"Path overdue",""),IF(AND(S387&lt;&gt;"",S387&lt;S_Today-365),"Stale research",""),IF(AND(AE387="Research",COUNTIF('Commercial Evidence'!$A$3:$A$502,$A387)=0),"Add commercial evidence","")))</f>
        <v/>
      </c>
      <c r="AI387" s="34" t="str">
        <f aca="false">IF(OR($A387="",Z387="Yes"),"",IF(AND(AE387="Priority",AG387=0,COUNTIFS(Opportunities!$A$3:$A$502,$A387,Opportunities!$Y$3:$Y$502,"Renewal due")=0),600000+(10-AC387)*1000+(4-AD387)*100+ROW()/100000,IF(V387="Yes",700000+IF(X387="",0,X387-40000)/10+ROW()/100000,IF(AND(AE387="Quick Win",U387&lt;&gt;"",AG387=0),800000+(10-AC387)*1000+ROW()/100000,IF(AND(AE387="Build a Path",COUNTIF($V$3:$V$502,"Yes")&lt;S_PathCap),900000+(10-AC387)*1000+(4-AD387)*100+ROW()/100000,"")))))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8"/>
      <c r="T388" s="27"/>
      <c r="U388" s="27"/>
      <c r="V388" s="27"/>
      <c r="W388" s="27"/>
      <c r="X388" s="28"/>
      <c r="Y388" s="27"/>
      <c r="Z388" s="27"/>
      <c r="AA388" s="27"/>
      <c r="AB388" s="32" t="str">
        <f aca="false">IF($A388="","",IF(COUNTIF('Commercial Evidence'!$A$3:$A$502,$A388)=0,"",IF(COUNTIFS('Commercial Evidence'!$A$3:$A$502,$A388,'Commercial Evidence'!$B$3:$B$502,"Previous CBS Talks spend")+COUNTIFS('Commercial Evidence'!$A$3:$A$502,$A388,'Commercial Evidence'!$B$3:$B$502,"Sponsors student organisations")&gt;0,2,IF(COUNTIFS('Commercial Evidence'!$A$3:$A$502,$A388,'Commercial Evidence'!$B$3:$B$502,"Sponsors university activities")+COUNTIFS('Commercial Evidence'!$A$3:$A$502,$A388,'Commercial Evidence'!$B$3:$B$502,"Sponsors similar events")+COUNTIFS('Commercial Evidence'!$A$3:$A$502,$A388,'Commercial Evidence'!$B$3:$B$502,"Previous CBS Talks partner")&gt;0,1,0))))</f>
        <v/>
      </c>
      <c r="AC388" s="32" t="str">
        <f aca="false">IF($A388="","",IF(COUNT(G388,J388,M388,P388,AB388)&lt;5,"",G388+J388+M388+P388+AB388))</f>
        <v/>
      </c>
      <c r="AD388" s="32" t="str">
        <f aca="false">IF($A388="","",IF(COUNTIFS(Contacts!$A$3:$A$502,$A388,Contacts!$E$3:$E$502,"Champion",Contacts!$K$3:$K$502,"&lt;&gt;Yes",Contacts!$L$3:$L$502,"&lt;&gt;Yes")+COUNTIFS(Opportunities!$A$3:$A$502,$A388,Opportunities!$C$3:$C$502,"Won",Opportunities!$Q$3:$Q$502,"Satisfied")&gt;0,4,IF(COUNTIFS(Interactions!$B$3:$B$502,$A388,Interactions!$I$3:$I$502,"Yes",Interactions!$A$3:$A$502,"&gt;="&amp;(S_Today-S_WarmDays))&gt;0,3,IF(T388&lt;&gt;"",2,IF(COUNTIFS(Contacts!$A$3:$A$502,$A388,Contacts!$M$3:$M$502,"Yes",Contacts!$K$3:$K$502,"&lt;&gt;Yes",Contacts!$L$3:$L$502,"&lt;&gt;Yes")&gt;0,1,0)))))</f>
        <v/>
      </c>
      <c r="AE388" s="32" t="str">
        <f aca="false">IF($A388="","",IF(Z388="Yes","Do not contact",IF(AC388="","Research",IF(AND(AC388&gt;=S_FitHigh,AD388&gt;=S_AccessHigh),"Priority",IF(AC388&gt;=S_FitHigh,"Build a Path",IF(AD388&gt;=S_AccessHigh,"Quick Win","Low Priority"))))))</f>
        <v/>
      </c>
      <c r="AF388" s="33" t="str">
        <f aca="false">IF($A388="","",IF(_xlfn.MAXIFS(Interactions!$A$3:$A$502,Interactions!$B$3:$B$502,$A388)=0,"",_xlfn.MAXIFS(Interactions!$A$3:$A$502,Interactions!$B$3:$B$502,$A388)))</f>
        <v/>
      </c>
      <c r="AG388" s="32" t="str">
        <f aca="false">IF($A388="","",COUNTIFS(Opportunities!$A$3:$A$502,$A388,Opportunities!$X$3:$X$502,"Yes"))</f>
        <v/>
      </c>
      <c r="AH388" s="32" t="str">
        <f aca="false">IF($A388="","",_xlfn.TEXTJOIN(", ",TRUE(),IF(COUNTIF($A$3:$A$502,$A388)&gt;1,"Duplicate name",""),IF(OR(AND(G388=2,I388=""),AND(J388=2,L388=""),AND(M388=2,O388=""),AND(P388=2,R388="")),"Source missing for a 2",""),IF(F388="","No owner",IF(COUNTIFS(R_TeamName,F388,R_TeamActive,"No")&gt;0,"Needs new owner","")),IF(AND(V388="Yes",X388&lt;&gt;"",X388&lt;S_SemStart),"Path overdue",""),IF(AND(S388&lt;&gt;"",S388&lt;S_Today-365),"Stale research",""),IF(AND(AE388="Research",COUNTIF('Commercial Evidence'!$A$3:$A$502,$A388)=0),"Add commercial evidence","")))</f>
        <v/>
      </c>
      <c r="AI388" s="34" t="str">
        <f aca="false">IF(OR($A388="",Z388="Yes"),"",IF(AND(AE388="Priority",AG388=0,COUNTIFS(Opportunities!$A$3:$A$502,$A388,Opportunities!$Y$3:$Y$502,"Renewal due")=0),600000+(10-AC388)*1000+(4-AD388)*100+ROW()/100000,IF(V388="Yes",700000+IF(X388="",0,X388-40000)/10+ROW()/100000,IF(AND(AE388="Quick Win",U388&lt;&gt;"",AG388=0),800000+(10-AC388)*1000+ROW()/100000,IF(AND(AE388="Build a Path",COUNTIF($V$3:$V$502,"Yes")&lt;S_PathCap),900000+(10-AC388)*1000+(4-AD388)*100+ROW()/100000,"")))))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8"/>
      <c r="T389" s="27"/>
      <c r="U389" s="27"/>
      <c r="V389" s="27"/>
      <c r="W389" s="27"/>
      <c r="X389" s="28"/>
      <c r="Y389" s="27"/>
      <c r="Z389" s="27"/>
      <c r="AA389" s="27"/>
      <c r="AB389" s="32" t="str">
        <f aca="false">IF($A389="","",IF(COUNTIF('Commercial Evidence'!$A$3:$A$502,$A389)=0,"",IF(COUNTIFS('Commercial Evidence'!$A$3:$A$502,$A389,'Commercial Evidence'!$B$3:$B$502,"Previous CBS Talks spend")+COUNTIFS('Commercial Evidence'!$A$3:$A$502,$A389,'Commercial Evidence'!$B$3:$B$502,"Sponsors student organisations")&gt;0,2,IF(COUNTIFS('Commercial Evidence'!$A$3:$A$502,$A389,'Commercial Evidence'!$B$3:$B$502,"Sponsors university activities")+COUNTIFS('Commercial Evidence'!$A$3:$A$502,$A389,'Commercial Evidence'!$B$3:$B$502,"Sponsors similar events")+COUNTIFS('Commercial Evidence'!$A$3:$A$502,$A389,'Commercial Evidence'!$B$3:$B$502,"Previous CBS Talks partner")&gt;0,1,0))))</f>
        <v/>
      </c>
      <c r="AC389" s="32" t="str">
        <f aca="false">IF($A389="","",IF(COUNT(G389,J389,M389,P389,AB389)&lt;5,"",G389+J389+M389+P389+AB389))</f>
        <v/>
      </c>
      <c r="AD389" s="32" t="str">
        <f aca="false">IF($A389="","",IF(COUNTIFS(Contacts!$A$3:$A$502,$A389,Contacts!$E$3:$E$502,"Champion",Contacts!$K$3:$K$502,"&lt;&gt;Yes",Contacts!$L$3:$L$502,"&lt;&gt;Yes")+COUNTIFS(Opportunities!$A$3:$A$502,$A389,Opportunities!$C$3:$C$502,"Won",Opportunities!$Q$3:$Q$502,"Satisfied")&gt;0,4,IF(COUNTIFS(Interactions!$B$3:$B$502,$A389,Interactions!$I$3:$I$502,"Yes",Interactions!$A$3:$A$502,"&gt;="&amp;(S_Today-S_WarmDays))&gt;0,3,IF(T389&lt;&gt;"",2,IF(COUNTIFS(Contacts!$A$3:$A$502,$A389,Contacts!$M$3:$M$502,"Yes",Contacts!$K$3:$K$502,"&lt;&gt;Yes",Contacts!$L$3:$L$502,"&lt;&gt;Yes")&gt;0,1,0)))))</f>
        <v/>
      </c>
      <c r="AE389" s="32" t="str">
        <f aca="false">IF($A389="","",IF(Z389="Yes","Do not contact",IF(AC389="","Research",IF(AND(AC389&gt;=S_FitHigh,AD389&gt;=S_AccessHigh),"Priority",IF(AC389&gt;=S_FitHigh,"Build a Path",IF(AD389&gt;=S_AccessHigh,"Quick Win","Low Priority"))))))</f>
        <v/>
      </c>
      <c r="AF389" s="33" t="str">
        <f aca="false">IF($A389="","",IF(_xlfn.MAXIFS(Interactions!$A$3:$A$502,Interactions!$B$3:$B$502,$A389)=0,"",_xlfn.MAXIFS(Interactions!$A$3:$A$502,Interactions!$B$3:$B$502,$A389)))</f>
        <v/>
      </c>
      <c r="AG389" s="32" t="str">
        <f aca="false">IF($A389="","",COUNTIFS(Opportunities!$A$3:$A$502,$A389,Opportunities!$X$3:$X$502,"Yes"))</f>
        <v/>
      </c>
      <c r="AH389" s="32" t="str">
        <f aca="false">IF($A389="","",_xlfn.TEXTJOIN(", ",TRUE(),IF(COUNTIF($A$3:$A$502,$A389)&gt;1,"Duplicate name",""),IF(OR(AND(G389=2,I389=""),AND(J389=2,L389=""),AND(M389=2,O389=""),AND(P389=2,R389="")),"Source missing for a 2",""),IF(F389="","No owner",IF(COUNTIFS(R_TeamName,F389,R_TeamActive,"No")&gt;0,"Needs new owner","")),IF(AND(V389="Yes",X389&lt;&gt;"",X389&lt;S_SemStart),"Path overdue",""),IF(AND(S389&lt;&gt;"",S389&lt;S_Today-365),"Stale research",""),IF(AND(AE389="Research",COUNTIF('Commercial Evidence'!$A$3:$A$502,$A389)=0),"Add commercial evidence","")))</f>
        <v/>
      </c>
      <c r="AI389" s="34" t="str">
        <f aca="false">IF(OR($A389="",Z389="Yes"),"",IF(AND(AE389="Priority",AG389=0,COUNTIFS(Opportunities!$A$3:$A$502,$A389,Opportunities!$Y$3:$Y$502,"Renewal due")=0),600000+(10-AC389)*1000+(4-AD389)*100+ROW()/100000,IF(V389="Yes",700000+IF(X389="",0,X389-40000)/10+ROW()/100000,IF(AND(AE389="Quick Win",U389&lt;&gt;"",AG389=0),800000+(10-AC389)*1000+ROW()/100000,IF(AND(AE389="Build a Path",COUNTIF($V$3:$V$502,"Yes")&lt;S_PathCap),900000+(10-AC389)*1000+(4-AD389)*100+ROW()/100000,"")))))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8"/>
      <c r="T390" s="27"/>
      <c r="U390" s="27"/>
      <c r="V390" s="27"/>
      <c r="W390" s="27"/>
      <c r="X390" s="28"/>
      <c r="Y390" s="27"/>
      <c r="Z390" s="27"/>
      <c r="AA390" s="27"/>
      <c r="AB390" s="32" t="str">
        <f aca="false">IF($A390="","",IF(COUNTIF('Commercial Evidence'!$A$3:$A$502,$A390)=0,"",IF(COUNTIFS('Commercial Evidence'!$A$3:$A$502,$A390,'Commercial Evidence'!$B$3:$B$502,"Previous CBS Talks spend")+COUNTIFS('Commercial Evidence'!$A$3:$A$502,$A390,'Commercial Evidence'!$B$3:$B$502,"Sponsors student organisations")&gt;0,2,IF(COUNTIFS('Commercial Evidence'!$A$3:$A$502,$A390,'Commercial Evidence'!$B$3:$B$502,"Sponsors university activities")+COUNTIFS('Commercial Evidence'!$A$3:$A$502,$A390,'Commercial Evidence'!$B$3:$B$502,"Sponsors similar events")+COUNTIFS('Commercial Evidence'!$A$3:$A$502,$A390,'Commercial Evidence'!$B$3:$B$502,"Previous CBS Talks partner")&gt;0,1,0))))</f>
        <v/>
      </c>
      <c r="AC390" s="32" t="str">
        <f aca="false">IF($A390="","",IF(COUNT(G390,J390,M390,P390,AB390)&lt;5,"",G390+J390+M390+P390+AB390))</f>
        <v/>
      </c>
      <c r="AD390" s="32" t="str">
        <f aca="false">IF($A390="","",IF(COUNTIFS(Contacts!$A$3:$A$502,$A390,Contacts!$E$3:$E$502,"Champion",Contacts!$K$3:$K$502,"&lt;&gt;Yes",Contacts!$L$3:$L$502,"&lt;&gt;Yes")+COUNTIFS(Opportunities!$A$3:$A$502,$A390,Opportunities!$C$3:$C$502,"Won",Opportunities!$Q$3:$Q$502,"Satisfied")&gt;0,4,IF(COUNTIFS(Interactions!$B$3:$B$502,$A390,Interactions!$I$3:$I$502,"Yes",Interactions!$A$3:$A$502,"&gt;="&amp;(S_Today-S_WarmDays))&gt;0,3,IF(T390&lt;&gt;"",2,IF(COUNTIFS(Contacts!$A$3:$A$502,$A390,Contacts!$M$3:$M$502,"Yes",Contacts!$K$3:$K$502,"&lt;&gt;Yes",Contacts!$L$3:$L$502,"&lt;&gt;Yes")&gt;0,1,0)))))</f>
        <v/>
      </c>
      <c r="AE390" s="32" t="str">
        <f aca="false">IF($A390="","",IF(Z390="Yes","Do not contact",IF(AC390="","Research",IF(AND(AC390&gt;=S_FitHigh,AD390&gt;=S_AccessHigh),"Priority",IF(AC390&gt;=S_FitHigh,"Build a Path",IF(AD390&gt;=S_AccessHigh,"Quick Win","Low Priority"))))))</f>
        <v/>
      </c>
      <c r="AF390" s="33" t="str">
        <f aca="false">IF($A390="","",IF(_xlfn.MAXIFS(Interactions!$A$3:$A$502,Interactions!$B$3:$B$502,$A390)=0,"",_xlfn.MAXIFS(Interactions!$A$3:$A$502,Interactions!$B$3:$B$502,$A390)))</f>
        <v/>
      </c>
      <c r="AG390" s="32" t="str">
        <f aca="false">IF($A390="","",COUNTIFS(Opportunities!$A$3:$A$502,$A390,Opportunities!$X$3:$X$502,"Yes"))</f>
        <v/>
      </c>
      <c r="AH390" s="32" t="str">
        <f aca="false">IF($A390="","",_xlfn.TEXTJOIN(", ",TRUE(),IF(COUNTIF($A$3:$A$502,$A390)&gt;1,"Duplicate name",""),IF(OR(AND(G390=2,I390=""),AND(J390=2,L390=""),AND(M390=2,O390=""),AND(P390=2,R390="")),"Source missing for a 2",""),IF(F390="","No owner",IF(COUNTIFS(R_TeamName,F390,R_TeamActive,"No")&gt;0,"Needs new owner","")),IF(AND(V390="Yes",X390&lt;&gt;"",X390&lt;S_SemStart),"Path overdue",""),IF(AND(S390&lt;&gt;"",S390&lt;S_Today-365),"Stale research",""),IF(AND(AE390="Research",COUNTIF('Commercial Evidence'!$A$3:$A$502,$A390)=0),"Add commercial evidence","")))</f>
        <v/>
      </c>
      <c r="AI390" s="34" t="str">
        <f aca="false">IF(OR($A390="",Z390="Yes"),"",IF(AND(AE390="Priority",AG390=0,COUNTIFS(Opportunities!$A$3:$A$502,$A390,Opportunities!$Y$3:$Y$502,"Renewal due")=0),600000+(10-AC390)*1000+(4-AD390)*100+ROW()/100000,IF(V390="Yes",700000+IF(X390="",0,X390-40000)/10+ROW()/100000,IF(AND(AE390="Quick Win",U390&lt;&gt;"",AG390=0),800000+(10-AC390)*1000+ROW()/100000,IF(AND(AE390="Build a Path",COUNTIF($V$3:$V$502,"Yes")&lt;S_PathCap),900000+(10-AC390)*1000+(4-AD390)*100+ROW()/100000,"")))))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8"/>
      <c r="T391" s="27"/>
      <c r="U391" s="27"/>
      <c r="V391" s="27"/>
      <c r="W391" s="27"/>
      <c r="X391" s="28"/>
      <c r="Y391" s="27"/>
      <c r="Z391" s="27"/>
      <c r="AA391" s="27"/>
      <c r="AB391" s="32" t="str">
        <f aca="false">IF($A391="","",IF(COUNTIF('Commercial Evidence'!$A$3:$A$502,$A391)=0,"",IF(COUNTIFS('Commercial Evidence'!$A$3:$A$502,$A391,'Commercial Evidence'!$B$3:$B$502,"Previous CBS Talks spend")+COUNTIFS('Commercial Evidence'!$A$3:$A$502,$A391,'Commercial Evidence'!$B$3:$B$502,"Sponsors student organisations")&gt;0,2,IF(COUNTIFS('Commercial Evidence'!$A$3:$A$502,$A391,'Commercial Evidence'!$B$3:$B$502,"Sponsors university activities")+COUNTIFS('Commercial Evidence'!$A$3:$A$502,$A391,'Commercial Evidence'!$B$3:$B$502,"Sponsors similar events")+COUNTIFS('Commercial Evidence'!$A$3:$A$502,$A391,'Commercial Evidence'!$B$3:$B$502,"Previous CBS Talks partner")&gt;0,1,0))))</f>
        <v/>
      </c>
      <c r="AC391" s="32" t="str">
        <f aca="false">IF($A391="","",IF(COUNT(G391,J391,M391,P391,AB391)&lt;5,"",G391+J391+M391+P391+AB391))</f>
        <v/>
      </c>
      <c r="AD391" s="32" t="str">
        <f aca="false">IF($A391="","",IF(COUNTIFS(Contacts!$A$3:$A$502,$A391,Contacts!$E$3:$E$502,"Champion",Contacts!$K$3:$K$502,"&lt;&gt;Yes",Contacts!$L$3:$L$502,"&lt;&gt;Yes")+COUNTIFS(Opportunities!$A$3:$A$502,$A391,Opportunities!$C$3:$C$502,"Won",Opportunities!$Q$3:$Q$502,"Satisfied")&gt;0,4,IF(COUNTIFS(Interactions!$B$3:$B$502,$A391,Interactions!$I$3:$I$502,"Yes",Interactions!$A$3:$A$502,"&gt;="&amp;(S_Today-S_WarmDays))&gt;0,3,IF(T391&lt;&gt;"",2,IF(COUNTIFS(Contacts!$A$3:$A$502,$A391,Contacts!$M$3:$M$502,"Yes",Contacts!$K$3:$K$502,"&lt;&gt;Yes",Contacts!$L$3:$L$502,"&lt;&gt;Yes")&gt;0,1,0)))))</f>
        <v/>
      </c>
      <c r="AE391" s="32" t="str">
        <f aca="false">IF($A391="","",IF(Z391="Yes","Do not contact",IF(AC391="","Research",IF(AND(AC391&gt;=S_FitHigh,AD391&gt;=S_AccessHigh),"Priority",IF(AC391&gt;=S_FitHigh,"Build a Path",IF(AD391&gt;=S_AccessHigh,"Quick Win","Low Priority"))))))</f>
        <v/>
      </c>
      <c r="AF391" s="33" t="str">
        <f aca="false">IF($A391="","",IF(_xlfn.MAXIFS(Interactions!$A$3:$A$502,Interactions!$B$3:$B$502,$A391)=0,"",_xlfn.MAXIFS(Interactions!$A$3:$A$502,Interactions!$B$3:$B$502,$A391)))</f>
        <v/>
      </c>
      <c r="AG391" s="32" t="str">
        <f aca="false">IF($A391="","",COUNTIFS(Opportunities!$A$3:$A$502,$A391,Opportunities!$X$3:$X$502,"Yes"))</f>
        <v/>
      </c>
      <c r="AH391" s="32" t="str">
        <f aca="false">IF($A391="","",_xlfn.TEXTJOIN(", ",TRUE(),IF(COUNTIF($A$3:$A$502,$A391)&gt;1,"Duplicate name",""),IF(OR(AND(G391=2,I391=""),AND(J391=2,L391=""),AND(M391=2,O391=""),AND(P391=2,R391="")),"Source missing for a 2",""),IF(F391="","No owner",IF(COUNTIFS(R_TeamName,F391,R_TeamActive,"No")&gt;0,"Needs new owner","")),IF(AND(V391="Yes",X391&lt;&gt;"",X391&lt;S_SemStart),"Path overdue",""),IF(AND(S391&lt;&gt;"",S391&lt;S_Today-365),"Stale research",""),IF(AND(AE391="Research",COUNTIF('Commercial Evidence'!$A$3:$A$502,$A391)=0),"Add commercial evidence","")))</f>
        <v/>
      </c>
      <c r="AI391" s="34" t="str">
        <f aca="false">IF(OR($A391="",Z391="Yes"),"",IF(AND(AE391="Priority",AG391=0,COUNTIFS(Opportunities!$A$3:$A$502,$A391,Opportunities!$Y$3:$Y$502,"Renewal due")=0),600000+(10-AC391)*1000+(4-AD391)*100+ROW()/100000,IF(V391="Yes",700000+IF(X391="",0,X391-40000)/10+ROW()/100000,IF(AND(AE391="Quick Win",U391&lt;&gt;"",AG391=0),800000+(10-AC391)*1000+ROW()/100000,IF(AND(AE391="Build a Path",COUNTIF($V$3:$V$502,"Yes")&lt;S_PathCap),900000+(10-AC391)*1000+(4-AD391)*100+ROW()/100000,"")))))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8"/>
      <c r="T392" s="27"/>
      <c r="U392" s="27"/>
      <c r="V392" s="27"/>
      <c r="W392" s="27"/>
      <c r="X392" s="28"/>
      <c r="Y392" s="27"/>
      <c r="Z392" s="27"/>
      <c r="AA392" s="27"/>
      <c r="AB392" s="32" t="str">
        <f aca="false">IF($A392="","",IF(COUNTIF('Commercial Evidence'!$A$3:$A$502,$A392)=0,"",IF(COUNTIFS('Commercial Evidence'!$A$3:$A$502,$A392,'Commercial Evidence'!$B$3:$B$502,"Previous CBS Talks spend")+COUNTIFS('Commercial Evidence'!$A$3:$A$502,$A392,'Commercial Evidence'!$B$3:$B$502,"Sponsors student organisations")&gt;0,2,IF(COUNTIFS('Commercial Evidence'!$A$3:$A$502,$A392,'Commercial Evidence'!$B$3:$B$502,"Sponsors university activities")+COUNTIFS('Commercial Evidence'!$A$3:$A$502,$A392,'Commercial Evidence'!$B$3:$B$502,"Sponsors similar events")+COUNTIFS('Commercial Evidence'!$A$3:$A$502,$A392,'Commercial Evidence'!$B$3:$B$502,"Previous CBS Talks partner")&gt;0,1,0))))</f>
        <v/>
      </c>
      <c r="AC392" s="32" t="str">
        <f aca="false">IF($A392="","",IF(COUNT(G392,J392,M392,P392,AB392)&lt;5,"",G392+J392+M392+P392+AB392))</f>
        <v/>
      </c>
      <c r="AD392" s="32" t="str">
        <f aca="false">IF($A392="","",IF(COUNTIFS(Contacts!$A$3:$A$502,$A392,Contacts!$E$3:$E$502,"Champion",Contacts!$K$3:$K$502,"&lt;&gt;Yes",Contacts!$L$3:$L$502,"&lt;&gt;Yes")+COUNTIFS(Opportunities!$A$3:$A$502,$A392,Opportunities!$C$3:$C$502,"Won",Opportunities!$Q$3:$Q$502,"Satisfied")&gt;0,4,IF(COUNTIFS(Interactions!$B$3:$B$502,$A392,Interactions!$I$3:$I$502,"Yes",Interactions!$A$3:$A$502,"&gt;="&amp;(S_Today-S_WarmDays))&gt;0,3,IF(T392&lt;&gt;"",2,IF(COUNTIFS(Contacts!$A$3:$A$502,$A392,Contacts!$M$3:$M$502,"Yes",Contacts!$K$3:$K$502,"&lt;&gt;Yes",Contacts!$L$3:$L$502,"&lt;&gt;Yes")&gt;0,1,0)))))</f>
        <v/>
      </c>
      <c r="AE392" s="32" t="str">
        <f aca="false">IF($A392="","",IF(Z392="Yes","Do not contact",IF(AC392="","Research",IF(AND(AC392&gt;=S_FitHigh,AD392&gt;=S_AccessHigh),"Priority",IF(AC392&gt;=S_FitHigh,"Build a Path",IF(AD392&gt;=S_AccessHigh,"Quick Win","Low Priority"))))))</f>
        <v/>
      </c>
      <c r="AF392" s="33" t="str">
        <f aca="false">IF($A392="","",IF(_xlfn.MAXIFS(Interactions!$A$3:$A$502,Interactions!$B$3:$B$502,$A392)=0,"",_xlfn.MAXIFS(Interactions!$A$3:$A$502,Interactions!$B$3:$B$502,$A392)))</f>
        <v/>
      </c>
      <c r="AG392" s="32" t="str">
        <f aca="false">IF($A392="","",COUNTIFS(Opportunities!$A$3:$A$502,$A392,Opportunities!$X$3:$X$502,"Yes"))</f>
        <v/>
      </c>
      <c r="AH392" s="32" t="str">
        <f aca="false">IF($A392="","",_xlfn.TEXTJOIN(", ",TRUE(),IF(COUNTIF($A$3:$A$502,$A392)&gt;1,"Duplicate name",""),IF(OR(AND(G392=2,I392=""),AND(J392=2,L392=""),AND(M392=2,O392=""),AND(P392=2,R392="")),"Source missing for a 2",""),IF(F392="","No owner",IF(COUNTIFS(R_TeamName,F392,R_TeamActive,"No")&gt;0,"Needs new owner","")),IF(AND(V392="Yes",X392&lt;&gt;"",X392&lt;S_SemStart),"Path overdue",""),IF(AND(S392&lt;&gt;"",S392&lt;S_Today-365),"Stale research",""),IF(AND(AE392="Research",COUNTIF('Commercial Evidence'!$A$3:$A$502,$A392)=0),"Add commercial evidence","")))</f>
        <v/>
      </c>
      <c r="AI392" s="34" t="str">
        <f aca="false">IF(OR($A392="",Z392="Yes"),"",IF(AND(AE392="Priority",AG392=0,COUNTIFS(Opportunities!$A$3:$A$502,$A392,Opportunities!$Y$3:$Y$502,"Renewal due")=0),600000+(10-AC392)*1000+(4-AD392)*100+ROW()/100000,IF(V392="Yes",700000+IF(X392="",0,X392-40000)/10+ROW()/100000,IF(AND(AE392="Quick Win",U392&lt;&gt;"",AG392=0),800000+(10-AC392)*1000+ROW()/100000,IF(AND(AE392="Build a Path",COUNTIF($V$3:$V$502,"Yes")&lt;S_PathCap),900000+(10-AC392)*1000+(4-AD392)*100+ROW()/100000,"")))))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8"/>
      <c r="T393" s="27"/>
      <c r="U393" s="27"/>
      <c r="V393" s="27"/>
      <c r="W393" s="27"/>
      <c r="X393" s="28"/>
      <c r="Y393" s="27"/>
      <c r="Z393" s="27"/>
      <c r="AA393" s="27"/>
      <c r="AB393" s="32" t="str">
        <f aca="false">IF($A393="","",IF(COUNTIF('Commercial Evidence'!$A$3:$A$502,$A393)=0,"",IF(COUNTIFS('Commercial Evidence'!$A$3:$A$502,$A393,'Commercial Evidence'!$B$3:$B$502,"Previous CBS Talks spend")+COUNTIFS('Commercial Evidence'!$A$3:$A$502,$A393,'Commercial Evidence'!$B$3:$B$502,"Sponsors student organisations")&gt;0,2,IF(COUNTIFS('Commercial Evidence'!$A$3:$A$502,$A393,'Commercial Evidence'!$B$3:$B$502,"Sponsors university activities")+COUNTIFS('Commercial Evidence'!$A$3:$A$502,$A393,'Commercial Evidence'!$B$3:$B$502,"Sponsors similar events")+COUNTIFS('Commercial Evidence'!$A$3:$A$502,$A393,'Commercial Evidence'!$B$3:$B$502,"Previous CBS Talks partner")&gt;0,1,0))))</f>
        <v/>
      </c>
      <c r="AC393" s="32" t="str">
        <f aca="false">IF($A393="","",IF(COUNT(G393,J393,M393,P393,AB393)&lt;5,"",G393+J393+M393+P393+AB393))</f>
        <v/>
      </c>
      <c r="AD393" s="32" t="str">
        <f aca="false">IF($A393="","",IF(COUNTIFS(Contacts!$A$3:$A$502,$A393,Contacts!$E$3:$E$502,"Champion",Contacts!$K$3:$K$502,"&lt;&gt;Yes",Contacts!$L$3:$L$502,"&lt;&gt;Yes")+COUNTIFS(Opportunities!$A$3:$A$502,$A393,Opportunities!$C$3:$C$502,"Won",Opportunities!$Q$3:$Q$502,"Satisfied")&gt;0,4,IF(COUNTIFS(Interactions!$B$3:$B$502,$A393,Interactions!$I$3:$I$502,"Yes",Interactions!$A$3:$A$502,"&gt;="&amp;(S_Today-S_WarmDays))&gt;0,3,IF(T393&lt;&gt;"",2,IF(COUNTIFS(Contacts!$A$3:$A$502,$A393,Contacts!$M$3:$M$502,"Yes",Contacts!$K$3:$K$502,"&lt;&gt;Yes",Contacts!$L$3:$L$502,"&lt;&gt;Yes")&gt;0,1,0)))))</f>
        <v/>
      </c>
      <c r="AE393" s="32" t="str">
        <f aca="false">IF($A393="","",IF(Z393="Yes","Do not contact",IF(AC393="","Research",IF(AND(AC393&gt;=S_FitHigh,AD393&gt;=S_AccessHigh),"Priority",IF(AC393&gt;=S_FitHigh,"Build a Path",IF(AD393&gt;=S_AccessHigh,"Quick Win","Low Priority"))))))</f>
        <v/>
      </c>
      <c r="AF393" s="33" t="str">
        <f aca="false">IF($A393="","",IF(_xlfn.MAXIFS(Interactions!$A$3:$A$502,Interactions!$B$3:$B$502,$A393)=0,"",_xlfn.MAXIFS(Interactions!$A$3:$A$502,Interactions!$B$3:$B$502,$A393)))</f>
        <v/>
      </c>
      <c r="AG393" s="32" t="str">
        <f aca="false">IF($A393="","",COUNTIFS(Opportunities!$A$3:$A$502,$A393,Opportunities!$X$3:$X$502,"Yes"))</f>
        <v/>
      </c>
      <c r="AH393" s="32" t="str">
        <f aca="false">IF($A393="","",_xlfn.TEXTJOIN(", ",TRUE(),IF(COUNTIF($A$3:$A$502,$A393)&gt;1,"Duplicate name",""),IF(OR(AND(G393=2,I393=""),AND(J393=2,L393=""),AND(M393=2,O393=""),AND(P393=2,R393="")),"Source missing for a 2",""),IF(F393="","No owner",IF(COUNTIFS(R_TeamName,F393,R_TeamActive,"No")&gt;0,"Needs new owner","")),IF(AND(V393="Yes",X393&lt;&gt;"",X393&lt;S_SemStart),"Path overdue",""),IF(AND(S393&lt;&gt;"",S393&lt;S_Today-365),"Stale research",""),IF(AND(AE393="Research",COUNTIF('Commercial Evidence'!$A$3:$A$502,$A393)=0),"Add commercial evidence","")))</f>
        <v/>
      </c>
      <c r="AI393" s="34" t="str">
        <f aca="false">IF(OR($A393="",Z393="Yes"),"",IF(AND(AE393="Priority",AG393=0,COUNTIFS(Opportunities!$A$3:$A$502,$A393,Opportunities!$Y$3:$Y$502,"Renewal due")=0),600000+(10-AC393)*1000+(4-AD393)*100+ROW()/100000,IF(V393="Yes",700000+IF(X393="",0,X393-40000)/10+ROW()/100000,IF(AND(AE393="Quick Win",U393&lt;&gt;"",AG393=0),800000+(10-AC393)*1000+ROW()/100000,IF(AND(AE393="Build a Path",COUNTIF($V$3:$V$502,"Yes")&lt;S_PathCap),900000+(10-AC393)*1000+(4-AD393)*100+ROW()/100000,"")))))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8"/>
      <c r="T394" s="27"/>
      <c r="U394" s="27"/>
      <c r="V394" s="27"/>
      <c r="W394" s="27"/>
      <c r="X394" s="28"/>
      <c r="Y394" s="27"/>
      <c r="Z394" s="27"/>
      <c r="AA394" s="27"/>
      <c r="AB394" s="32" t="str">
        <f aca="false">IF($A394="","",IF(COUNTIF('Commercial Evidence'!$A$3:$A$502,$A394)=0,"",IF(COUNTIFS('Commercial Evidence'!$A$3:$A$502,$A394,'Commercial Evidence'!$B$3:$B$502,"Previous CBS Talks spend")+COUNTIFS('Commercial Evidence'!$A$3:$A$502,$A394,'Commercial Evidence'!$B$3:$B$502,"Sponsors student organisations")&gt;0,2,IF(COUNTIFS('Commercial Evidence'!$A$3:$A$502,$A394,'Commercial Evidence'!$B$3:$B$502,"Sponsors university activities")+COUNTIFS('Commercial Evidence'!$A$3:$A$502,$A394,'Commercial Evidence'!$B$3:$B$502,"Sponsors similar events")+COUNTIFS('Commercial Evidence'!$A$3:$A$502,$A394,'Commercial Evidence'!$B$3:$B$502,"Previous CBS Talks partner")&gt;0,1,0))))</f>
        <v/>
      </c>
      <c r="AC394" s="32" t="str">
        <f aca="false">IF($A394="","",IF(COUNT(G394,J394,M394,P394,AB394)&lt;5,"",G394+J394+M394+P394+AB394))</f>
        <v/>
      </c>
      <c r="AD394" s="32" t="str">
        <f aca="false">IF($A394="","",IF(COUNTIFS(Contacts!$A$3:$A$502,$A394,Contacts!$E$3:$E$502,"Champion",Contacts!$K$3:$K$502,"&lt;&gt;Yes",Contacts!$L$3:$L$502,"&lt;&gt;Yes")+COUNTIFS(Opportunities!$A$3:$A$502,$A394,Opportunities!$C$3:$C$502,"Won",Opportunities!$Q$3:$Q$502,"Satisfied")&gt;0,4,IF(COUNTIFS(Interactions!$B$3:$B$502,$A394,Interactions!$I$3:$I$502,"Yes",Interactions!$A$3:$A$502,"&gt;="&amp;(S_Today-S_WarmDays))&gt;0,3,IF(T394&lt;&gt;"",2,IF(COUNTIFS(Contacts!$A$3:$A$502,$A394,Contacts!$M$3:$M$502,"Yes",Contacts!$K$3:$K$502,"&lt;&gt;Yes",Contacts!$L$3:$L$502,"&lt;&gt;Yes")&gt;0,1,0)))))</f>
        <v/>
      </c>
      <c r="AE394" s="32" t="str">
        <f aca="false">IF($A394="","",IF(Z394="Yes","Do not contact",IF(AC394="","Research",IF(AND(AC394&gt;=S_FitHigh,AD394&gt;=S_AccessHigh),"Priority",IF(AC394&gt;=S_FitHigh,"Build a Path",IF(AD394&gt;=S_AccessHigh,"Quick Win","Low Priority"))))))</f>
        <v/>
      </c>
      <c r="AF394" s="33" t="str">
        <f aca="false">IF($A394="","",IF(_xlfn.MAXIFS(Interactions!$A$3:$A$502,Interactions!$B$3:$B$502,$A394)=0,"",_xlfn.MAXIFS(Interactions!$A$3:$A$502,Interactions!$B$3:$B$502,$A394)))</f>
        <v/>
      </c>
      <c r="AG394" s="32" t="str">
        <f aca="false">IF($A394="","",COUNTIFS(Opportunities!$A$3:$A$502,$A394,Opportunities!$X$3:$X$502,"Yes"))</f>
        <v/>
      </c>
      <c r="AH394" s="32" t="str">
        <f aca="false">IF($A394="","",_xlfn.TEXTJOIN(", ",TRUE(),IF(COUNTIF($A$3:$A$502,$A394)&gt;1,"Duplicate name",""),IF(OR(AND(G394=2,I394=""),AND(J394=2,L394=""),AND(M394=2,O394=""),AND(P394=2,R394="")),"Source missing for a 2",""),IF(F394="","No owner",IF(COUNTIFS(R_TeamName,F394,R_TeamActive,"No")&gt;0,"Needs new owner","")),IF(AND(V394="Yes",X394&lt;&gt;"",X394&lt;S_SemStart),"Path overdue",""),IF(AND(S394&lt;&gt;"",S394&lt;S_Today-365),"Stale research",""),IF(AND(AE394="Research",COUNTIF('Commercial Evidence'!$A$3:$A$502,$A394)=0),"Add commercial evidence","")))</f>
        <v/>
      </c>
      <c r="AI394" s="34" t="str">
        <f aca="false">IF(OR($A394="",Z394="Yes"),"",IF(AND(AE394="Priority",AG394=0,COUNTIFS(Opportunities!$A$3:$A$502,$A394,Opportunities!$Y$3:$Y$502,"Renewal due")=0),600000+(10-AC394)*1000+(4-AD394)*100+ROW()/100000,IF(V394="Yes",700000+IF(X394="",0,X394-40000)/10+ROW()/100000,IF(AND(AE394="Quick Win",U394&lt;&gt;"",AG394=0),800000+(10-AC394)*1000+ROW()/100000,IF(AND(AE394="Build a Path",COUNTIF($V$3:$V$502,"Yes")&lt;S_PathCap),900000+(10-AC394)*1000+(4-AD394)*100+ROW()/100000,"")))))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8"/>
      <c r="T395" s="27"/>
      <c r="U395" s="27"/>
      <c r="V395" s="27"/>
      <c r="W395" s="27"/>
      <c r="X395" s="28"/>
      <c r="Y395" s="27"/>
      <c r="Z395" s="27"/>
      <c r="AA395" s="27"/>
      <c r="AB395" s="32" t="str">
        <f aca="false">IF($A395="","",IF(COUNTIF('Commercial Evidence'!$A$3:$A$502,$A395)=0,"",IF(COUNTIFS('Commercial Evidence'!$A$3:$A$502,$A395,'Commercial Evidence'!$B$3:$B$502,"Previous CBS Talks spend")+COUNTIFS('Commercial Evidence'!$A$3:$A$502,$A395,'Commercial Evidence'!$B$3:$B$502,"Sponsors student organisations")&gt;0,2,IF(COUNTIFS('Commercial Evidence'!$A$3:$A$502,$A395,'Commercial Evidence'!$B$3:$B$502,"Sponsors university activities")+COUNTIFS('Commercial Evidence'!$A$3:$A$502,$A395,'Commercial Evidence'!$B$3:$B$502,"Sponsors similar events")+COUNTIFS('Commercial Evidence'!$A$3:$A$502,$A395,'Commercial Evidence'!$B$3:$B$502,"Previous CBS Talks partner")&gt;0,1,0))))</f>
        <v/>
      </c>
      <c r="AC395" s="32" t="str">
        <f aca="false">IF($A395="","",IF(COUNT(G395,J395,M395,P395,AB395)&lt;5,"",G395+J395+M395+P395+AB395))</f>
        <v/>
      </c>
      <c r="AD395" s="32" t="str">
        <f aca="false">IF($A395="","",IF(COUNTIFS(Contacts!$A$3:$A$502,$A395,Contacts!$E$3:$E$502,"Champion",Contacts!$K$3:$K$502,"&lt;&gt;Yes",Contacts!$L$3:$L$502,"&lt;&gt;Yes")+COUNTIFS(Opportunities!$A$3:$A$502,$A395,Opportunities!$C$3:$C$502,"Won",Opportunities!$Q$3:$Q$502,"Satisfied")&gt;0,4,IF(COUNTIFS(Interactions!$B$3:$B$502,$A395,Interactions!$I$3:$I$502,"Yes",Interactions!$A$3:$A$502,"&gt;="&amp;(S_Today-S_WarmDays))&gt;0,3,IF(T395&lt;&gt;"",2,IF(COUNTIFS(Contacts!$A$3:$A$502,$A395,Contacts!$M$3:$M$502,"Yes",Contacts!$K$3:$K$502,"&lt;&gt;Yes",Contacts!$L$3:$L$502,"&lt;&gt;Yes")&gt;0,1,0)))))</f>
        <v/>
      </c>
      <c r="AE395" s="32" t="str">
        <f aca="false">IF($A395="","",IF(Z395="Yes","Do not contact",IF(AC395="","Research",IF(AND(AC395&gt;=S_FitHigh,AD395&gt;=S_AccessHigh),"Priority",IF(AC395&gt;=S_FitHigh,"Build a Path",IF(AD395&gt;=S_AccessHigh,"Quick Win","Low Priority"))))))</f>
        <v/>
      </c>
      <c r="AF395" s="33" t="str">
        <f aca="false">IF($A395="","",IF(_xlfn.MAXIFS(Interactions!$A$3:$A$502,Interactions!$B$3:$B$502,$A395)=0,"",_xlfn.MAXIFS(Interactions!$A$3:$A$502,Interactions!$B$3:$B$502,$A395)))</f>
        <v/>
      </c>
      <c r="AG395" s="32" t="str">
        <f aca="false">IF($A395="","",COUNTIFS(Opportunities!$A$3:$A$502,$A395,Opportunities!$X$3:$X$502,"Yes"))</f>
        <v/>
      </c>
      <c r="AH395" s="32" t="str">
        <f aca="false">IF($A395="","",_xlfn.TEXTJOIN(", ",TRUE(),IF(COUNTIF($A$3:$A$502,$A395)&gt;1,"Duplicate name",""),IF(OR(AND(G395=2,I395=""),AND(J395=2,L395=""),AND(M395=2,O395=""),AND(P395=2,R395="")),"Source missing for a 2",""),IF(F395="","No owner",IF(COUNTIFS(R_TeamName,F395,R_TeamActive,"No")&gt;0,"Needs new owner","")),IF(AND(V395="Yes",X395&lt;&gt;"",X395&lt;S_SemStart),"Path overdue",""),IF(AND(S395&lt;&gt;"",S395&lt;S_Today-365),"Stale research",""),IF(AND(AE395="Research",COUNTIF('Commercial Evidence'!$A$3:$A$502,$A395)=0),"Add commercial evidence","")))</f>
        <v/>
      </c>
      <c r="AI395" s="34" t="str">
        <f aca="false">IF(OR($A395="",Z395="Yes"),"",IF(AND(AE395="Priority",AG395=0,COUNTIFS(Opportunities!$A$3:$A$502,$A395,Opportunities!$Y$3:$Y$502,"Renewal due")=0),600000+(10-AC395)*1000+(4-AD395)*100+ROW()/100000,IF(V395="Yes",700000+IF(X395="",0,X395-40000)/10+ROW()/100000,IF(AND(AE395="Quick Win",U395&lt;&gt;"",AG395=0),800000+(10-AC395)*1000+ROW()/100000,IF(AND(AE395="Build a Path",COUNTIF($V$3:$V$502,"Yes")&lt;S_PathCap),900000+(10-AC395)*1000+(4-AD395)*100+ROW()/100000,"")))))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8"/>
      <c r="T396" s="27"/>
      <c r="U396" s="27"/>
      <c r="V396" s="27"/>
      <c r="W396" s="27"/>
      <c r="X396" s="28"/>
      <c r="Y396" s="27"/>
      <c r="Z396" s="27"/>
      <c r="AA396" s="27"/>
      <c r="AB396" s="32" t="str">
        <f aca="false">IF($A396="","",IF(COUNTIF('Commercial Evidence'!$A$3:$A$502,$A396)=0,"",IF(COUNTIFS('Commercial Evidence'!$A$3:$A$502,$A396,'Commercial Evidence'!$B$3:$B$502,"Previous CBS Talks spend")+COUNTIFS('Commercial Evidence'!$A$3:$A$502,$A396,'Commercial Evidence'!$B$3:$B$502,"Sponsors student organisations")&gt;0,2,IF(COUNTIFS('Commercial Evidence'!$A$3:$A$502,$A396,'Commercial Evidence'!$B$3:$B$502,"Sponsors university activities")+COUNTIFS('Commercial Evidence'!$A$3:$A$502,$A396,'Commercial Evidence'!$B$3:$B$502,"Sponsors similar events")+COUNTIFS('Commercial Evidence'!$A$3:$A$502,$A396,'Commercial Evidence'!$B$3:$B$502,"Previous CBS Talks partner")&gt;0,1,0))))</f>
        <v/>
      </c>
      <c r="AC396" s="32" t="str">
        <f aca="false">IF($A396="","",IF(COUNT(G396,J396,M396,P396,AB396)&lt;5,"",G396+J396+M396+P396+AB396))</f>
        <v/>
      </c>
      <c r="AD396" s="32" t="str">
        <f aca="false">IF($A396="","",IF(COUNTIFS(Contacts!$A$3:$A$502,$A396,Contacts!$E$3:$E$502,"Champion",Contacts!$K$3:$K$502,"&lt;&gt;Yes",Contacts!$L$3:$L$502,"&lt;&gt;Yes")+COUNTIFS(Opportunities!$A$3:$A$502,$A396,Opportunities!$C$3:$C$502,"Won",Opportunities!$Q$3:$Q$502,"Satisfied")&gt;0,4,IF(COUNTIFS(Interactions!$B$3:$B$502,$A396,Interactions!$I$3:$I$502,"Yes",Interactions!$A$3:$A$502,"&gt;="&amp;(S_Today-S_WarmDays))&gt;0,3,IF(T396&lt;&gt;"",2,IF(COUNTIFS(Contacts!$A$3:$A$502,$A396,Contacts!$M$3:$M$502,"Yes",Contacts!$K$3:$K$502,"&lt;&gt;Yes",Contacts!$L$3:$L$502,"&lt;&gt;Yes")&gt;0,1,0)))))</f>
        <v/>
      </c>
      <c r="AE396" s="32" t="str">
        <f aca="false">IF($A396="","",IF(Z396="Yes","Do not contact",IF(AC396="","Research",IF(AND(AC396&gt;=S_FitHigh,AD396&gt;=S_AccessHigh),"Priority",IF(AC396&gt;=S_FitHigh,"Build a Path",IF(AD396&gt;=S_AccessHigh,"Quick Win","Low Priority"))))))</f>
        <v/>
      </c>
      <c r="AF396" s="33" t="str">
        <f aca="false">IF($A396="","",IF(_xlfn.MAXIFS(Interactions!$A$3:$A$502,Interactions!$B$3:$B$502,$A396)=0,"",_xlfn.MAXIFS(Interactions!$A$3:$A$502,Interactions!$B$3:$B$502,$A396)))</f>
        <v/>
      </c>
      <c r="AG396" s="32" t="str">
        <f aca="false">IF($A396="","",COUNTIFS(Opportunities!$A$3:$A$502,$A396,Opportunities!$X$3:$X$502,"Yes"))</f>
        <v/>
      </c>
      <c r="AH396" s="32" t="str">
        <f aca="false">IF($A396="","",_xlfn.TEXTJOIN(", ",TRUE(),IF(COUNTIF($A$3:$A$502,$A396)&gt;1,"Duplicate name",""),IF(OR(AND(G396=2,I396=""),AND(J396=2,L396=""),AND(M396=2,O396=""),AND(P396=2,R396="")),"Source missing for a 2",""),IF(F396="","No owner",IF(COUNTIFS(R_TeamName,F396,R_TeamActive,"No")&gt;0,"Needs new owner","")),IF(AND(V396="Yes",X396&lt;&gt;"",X396&lt;S_SemStart),"Path overdue",""),IF(AND(S396&lt;&gt;"",S396&lt;S_Today-365),"Stale research",""),IF(AND(AE396="Research",COUNTIF('Commercial Evidence'!$A$3:$A$502,$A396)=0),"Add commercial evidence","")))</f>
        <v/>
      </c>
      <c r="AI396" s="34" t="str">
        <f aca="false">IF(OR($A396="",Z396="Yes"),"",IF(AND(AE396="Priority",AG396=0,COUNTIFS(Opportunities!$A$3:$A$502,$A396,Opportunities!$Y$3:$Y$502,"Renewal due")=0),600000+(10-AC396)*1000+(4-AD396)*100+ROW()/100000,IF(V396="Yes",700000+IF(X396="",0,X396-40000)/10+ROW()/100000,IF(AND(AE396="Quick Win",U396&lt;&gt;"",AG396=0),800000+(10-AC396)*1000+ROW()/100000,IF(AND(AE396="Build a Path",COUNTIF($V$3:$V$502,"Yes")&lt;S_PathCap),900000+(10-AC396)*1000+(4-AD396)*100+ROW()/100000,"")))))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8"/>
      <c r="T397" s="27"/>
      <c r="U397" s="27"/>
      <c r="V397" s="27"/>
      <c r="W397" s="27"/>
      <c r="X397" s="28"/>
      <c r="Y397" s="27"/>
      <c r="Z397" s="27"/>
      <c r="AA397" s="27"/>
      <c r="AB397" s="32" t="str">
        <f aca="false">IF($A397="","",IF(COUNTIF('Commercial Evidence'!$A$3:$A$502,$A397)=0,"",IF(COUNTIFS('Commercial Evidence'!$A$3:$A$502,$A397,'Commercial Evidence'!$B$3:$B$502,"Previous CBS Talks spend")+COUNTIFS('Commercial Evidence'!$A$3:$A$502,$A397,'Commercial Evidence'!$B$3:$B$502,"Sponsors student organisations")&gt;0,2,IF(COUNTIFS('Commercial Evidence'!$A$3:$A$502,$A397,'Commercial Evidence'!$B$3:$B$502,"Sponsors university activities")+COUNTIFS('Commercial Evidence'!$A$3:$A$502,$A397,'Commercial Evidence'!$B$3:$B$502,"Sponsors similar events")+COUNTIFS('Commercial Evidence'!$A$3:$A$502,$A397,'Commercial Evidence'!$B$3:$B$502,"Previous CBS Talks partner")&gt;0,1,0))))</f>
        <v/>
      </c>
      <c r="AC397" s="32" t="str">
        <f aca="false">IF($A397="","",IF(COUNT(G397,J397,M397,P397,AB397)&lt;5,"",G397+J397+M397+P397+AB397))</f>
        <v/>
      </c>
      <c r="AD397" s="32" t="str">
        <f aca="false">IF($A397="","",IF(COUNTIFS(Contacts!$A$3:$A$502,$A397,Contacts!$E$3:$E$502,"Champion",Contacts!$K$3:$K$502,"&lt;&gt;Yes",Contacts!$L$3:$L$502,"&lt;&gt;Yes")+COUNTIFS(Opportunities!$A$3:$A$502,$A397,Opportunities!$C$3:$C$502,"Won",Opportunities!$Q$3:$Q$502,"Satisfied")&gt;0,4,IF(COUNTIFS(Interactions!$B$3:$B$502,$A397,Interactions!$I$3:$I$502,"Yes",Interactions!$A$3:$A$502,"&gt;="&amp;(S_Today-S_WarmDays))&gt;0,3,IF(T397&lt;&gt;"",2,IF(COUNTIFS(Contacts!$A$3:$A$502,$A397,Contacts!$M$3:$M$502,"Yes",Contacts!$K$3:$K$502,"&lt;&gt;Yes",Contacts!$L$3:$L$502,"&lt;&gt;Yes")&gt;0,1,0)))))</f>
        <v/>
      </c>
      <c r="AE397" s="32" t="str">
        <f aca="false">IF($A397="","",IF(Z397="Yes","Do not contact",IF(AC397="","Research",IF(AND(AC397&gt;=S_FitHigh,AD397&gt;=S_AccessHigh),"Priority",IF(AC397&gt;=S_FitHigh,"Build a Path",IF(AD397&gt;=S_AccessHigh,"Quick Win","Low Priority"))))))</f>
        <v/>
      </c>
      <c r="AF397" s="33" t="str">
        <f aca="false">IF($A397="","",IF(_xlfn.MAXIFS(Interactions!$A$3:$A$502,Interactions!$B$3:$B$502,$A397)=0,"",_xlfn.MAXIFS(Interactions!$A$3:$A$502,Interactions!$B$3:$B$502,$A397)))</f>
        <v/>
      </c>
      <c r="AG397" s="32" t="str">
        <f aca="false">IF($A397="","",COUNTIFS(Opportunities!$A$3:$A$502,$A397,Opportunities!$X$3:$X$502,"Yes"))</f>
        <v/>
      </c>
      <c r="AH397" s="32" t="str">
        <f aca="false">IF($A397="","",_xlfn.TEXTJOIN(", ",TRUE(),IF(COUNTIF($A$3:$A$502,$A397)&gt;1,"Duplicate name",""),IF(OR(AND(G397=2,I397=""),AND(J397=2,L397=""),AND(M397=2,O397=""),AND(P397=2,R397="")),"Source missing for a 2",""),IF(F397="","No owner",IF(COUNTIFS(R_TeamName,F397,R_TeamActive,"No")&gt;0,"Needs new owner","")),IF(AND(V397="Yes",X397&lt;&gt;"",X397&lt;S_SemStart),"Path overdue",""),IF(AND(S397&lt;&gt;"",S397&lt;S_Today-365),"Stale research",""),IF(AND(AE397="Research",COUNTIF('Commercial Evidence'!$A$3:$A$502,$A397)=0),"Add commercial evidence","")))</f>
        <v/>
      </c>
      <c r="AI397" s="34" t="str">
        <f aca="false">IF(OR($A397="",Z397="Yes"),"",IF(AND(AE397="Priority",AG397=0,COUNTIFS(Opportunities!$A$3:$A$502,$A397,Opportunities!$Y$3:$Y$502,"Renewal due")=0),600000+(10-AC397)*1000+(4-AD397)*100+ROW()/100000,IF(V397="Yes",700000+IF(X397="",0,X397-40000)/10+ROW()/100000,IF(AND(AE397="Quick Win",U397&lt;&gt;"",AG397=0),800000+(10-AC397)*1000+ROW()/100000,IF(AND(AE397="Build a Path",COUNTIF($V$3:$V$502,"Yes")&lt;S_PathCap),900000+(10-AC397)*1000+(4-AD397)*100+ROW()/100000,"")))))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8"/>
      <c r="T398" s="27"/>
      <c r="U398" s="27"/>
      <c r="V398" s="27"/>
      <c r="W398" s="27"/>
      <c r="X398" s="28"/>
      <c r="Y398" s="27"/>
      <c r="Z398" s="27"/>
      <c r="AA398" s="27"/>
      <c r="AB398" s="32" t="str">
        <f aca="false">IF($A398="","",IF(COUNTIF('Commercial Evidence'!$A$3:$A$502,$A398)=0,"",IF(COUNTIFS('Commercial Evidence'!$A$3:$A$502,$A398,'Commercial Evidence'!$B$3:$B$502,"Previous CBS Talks spend")+COUNTIFS('Commercial Evidence'!$A$3:$A$502,$A398,'Commercial Evidence'!$B$3:$B$502,"Sponsors student organisations")&gt;0,2,IF(COUNTIFS('Commercial Evidence'!$A$3:$A$502,$A398,'Commercial Evidence'!$B$3:$B$502,"Sponsors university activities")+COUNTIFS('Commercial Evidence'!$A$3:$A$502,$A398,'Commercial Evidence'!$B$3:$B$502,"Sponsors similar events")+COUNTIFS('Commercial Evidence'!$A$3:$A$502,$A398,'Commercial Evidence'!$B$3:$B$502,"Previous CBS Talks partner")&gt;0,1,0))))</f>
        <v/>
      </c>
      <c r="AC398" s="32" t="str">
        <f aca="false">IF($A398="","",IF(COUNT(G398,J398,M398,P398,AB398)&lt;5,"",G398+J398+M398+P398+AB398))</f>
        <v/>
      </c>
      <c r="AD398" s="32" t="str">
        <f aca="false">IF($A398="","",IF(COUNTIFS(Contacts!$A$3:$A$502,$A398,Contacts!$E$3:$E$502,"Champion",Contacts!$K$3:$K$502,"&lt;&gt;Yes",Contacts!$L$3:$L$502,"&lt;&gt;Yes")+COUNTIFS(Opportunities!$A$3:$A$502,$A398,Opportunities!$C$3:$C$502,"Won",Opportunities!$Q$3:$Q$502,"Satisfied")&gt;0,4,IF(COUNTIFS(Interactions!$B$3:$B$502,$A398,Interactions!$I$3:$I$502,"Yes",Interactions!$A$3:$A$502,"&gt;="&amp;(S_Today-S_WarmDays))&gt;0,3,IF(T398&lt;&gt;"",2,IF(COUNTIFS(Contacts!$A$3:$A$502,$A398,Contacts!$M$3:$M$502,"Yes",Contacts!$K$3:$K$502,"&lt;&gt;Yes",Contacts!$L$3:$L$502,"&lt;&gt;Yes")&gt;0,1,0)))))</f>
        <v/>
      </c>
      <c r="AE398" s="32" t="str">
        <f aca="false">IF($A398="","",IF(Z398="Yes","Do not contact",IF(AC398="","Research",IF(AND(AC398&gt;=S_FitHigh,AD398&gt;=S_AccessHigh),"Priority",IF(AC398&gt;=S_FitHigh,"Build a Path",IF(AD398&gt;=S_AccessHigh,"Quick Win","Low Priority"))))))</f>
        <v/>
      </c>
      <c r="AF398" s="33" t="str">
        <f aca="false">IF($A398="","",IF(_xlfn.MAXIFS(Interactions!$A$3:$A$502,Interactions!$B$3:$B$502,$A398)=0,"",_xlfn.MAXIFS(Interactions!$A$3:$A$502,Interactions!$B$3:$B$502,$A398)))</f>
        <v/>
      </c>
      <c r="AG398" s="32" t="str">
        <f aca="false">IF($A398="","",COUNTIFS(Opportunities!$A$3:$A$502,$A398,Opportunities!$X$3:$X$502,"Yes"))</f>
        <v/>
      </c>
      <c r="AH398" s="32" t="str">
        <f aca="false">IF($A398="","",_xlfn.TEXTJOIN(", ",TRUE(),IF(COUNTIF($A$3:$A$502,$A398)&gt;1,"Duplicate name",""),IF(OR(AND(G398=2,I398=""),AND(J398=2,L398=""),AND(M398=2,O398=""),AND(P398=2,R398="")),"Source missing for a 2",""),IF(F398="","No owner",IF(COUNTIFS(R_TeamName,F398,R_TeamActive,"No")&gt;0,"Needs new owner","")),IF(AND(V398="Yes",X398&lt;&gt;"",X398&lt;S_SemStart),"Path overdue",""),IF(AND(S398&lt;&gt;"",S398&lt;S_Today-365),"Stale research",""),IF(AND(AE398="Research",COUNTIF('Commercial Evidence'!$A$3:$A$502,$A398)=0),"Add commercial evidence","")))</f>
        <v/>
      </c>
      <c r="AI398" s="34" t="str">
        <f aca="false">IF(OR($A398="",Z398="Yes"),"",IF(AND(AE398="Priority",AG398=0,COUNTIFS(Opportunities!$A$3:$A$502,$A398,Opportunities!$Y$3:$Y$502,"Renewal due")=0),600000+(10-AC398)*1000+(4-AD398)*100+ROW()/100000,IF(V398="Yes",700000+IF(X398="",0,X398-40000)/10+ROW()/100000,IF(AND(AE398="Quick Win",U398&lt;&gt;"",AG398=0),800000+(10-AC398)*1000+ROW()/100000,IF(AND(AE398="Build a Path",COUNTIF($V$3:$V$502,"Yes")&lt;S_PathCap),900000+(10-AC398)*1000+(4-AD398)*100+ROW()/100000,"")))))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8"/>
      <c r="T399" s="27"/>
      <c r="U399" s="27"/>
      <c r="V399" s="27"/>
      <c r="W399" s="27"/>
      <c r="X399" s="28"/>
      <c r="Y399" s="27"/>
      <c r="Z399" s="27"/>
      <c r="AA399" s="27"/>
      <c r="AB399" s="32" t="str">
        <f aca="false">IF($A399="","",IF(COUNTIF('Commercial Evidence'!$A$3:$A$502,$A399)=0,"",IF(COUNTIFS('Commercial Evidence'!$A$3:$A$502,$A399,'Commercial Evidence'!$B$3:$B$502,"Previous CBS Talks spend")+COUNTIFS('Commercial Evidence'!$A$3:$A$502,$A399,'Commercial Evidence'!$B$3:$B$502,"Sponsors student organisations")&gt;0,2,IF(COUNTIFS('Commercial Evidence'!$A$3:$A$502,$A399,'Commercial Evidence'!$B$3:$B$502,"Sponsors university activities")+COUNTIFS('Commercial Evidence'!$A$3:$A$502,$A399,'Commercial Evidence'!$B$3:$B$502,"Sponsors similar events")+COUNTIFS('Commercial Evidence'!$A$3:$A$502,$A399,'Commercial Evidence'!$B$3:$B$502,"Previous CBS Talks partner")&gt;0,1,0))))</f>
        <v/>
      </c>
      <c r="AC399" s="32" t="str">
        <f aca="false">IF($A399="","",IF(COUNT(G399,J399,M399,P399,AB399)&lt;5,"",G399+J399+M399+P399+AB399))</f>
        <v/>
      </c>
      <c r="AD399" s="32" t="str">
        <f aca="false">IF($A399="","",IF(COUNTIFS(Contacts!$A$3:$A$502,$A399,Contacts!$E$3:$E$502,"Champion",Contacts!$K$3:$K$502,"&lt;&gt;Yes",Contacts!$L$3:$L$502,"&lt;&gt;Yes")+COUNTIFS(Opportunities!$A$3:$A$502,$A399,Opportunities!$C$3:$C$502,"Won",Opportunities!$Q$3:$Q$502,"Satisfied")&gt;0,4,IF(COUNTIFS(Interactions!$B$3:$B$502,$A399,Interactions!$I$3:$I$502,"Yes",Interactions!$A$3:$A$502,"&gt;="&amp;(S_Today-S_WarmDays))&gt;0,3,IF(T399&lt;&gt;"",2,IF(COUNTIFS(Contacts!$A$3:$A$502,$A399,Contacts!$M$3:$M$502,"Yes",Contacts!$K$3:$K$502,"&lt;&gt;Yes",Contacts!$L$3:$L$502,"&lt;&gt;Yes")&gt;0,1,0)))))</f>
        <v/>
      </c>
      <c r="AE399" s="32" t="str">
        <f aca="false">IF($A399="","",IF(Z399="Yes","Do not contact",IF(AC399="","Research",IF(AND(AC399&gt;=S_FitHigh,AD399&gt;=S_AccessHigh),"Priority",IF(AC399&gt;=S_FitHigh,"Build a Path",IF(AD399&gt;=S_AccessHigh,"Quick Win","Low Priority"))))))</f>
        <v/>
      </c>
      <c r="AF399" s="33" t="str">
        <f aca="false">IF($A399="","",IF(_xlfn.MAXIFS(Interactions!$A$3:$A$502,Interactions!$B$3:$B$502,$A399)=0,"",_xlfn.MAXIFS(Interactions!$A$3:$A$502,Interactions!$B$3:$B$502,$A399)))</f>
        <v/>
      </c>
      <c r="AG399" s="32" t="str">
        <f aca="false">IF($A399="","",COUNTIFS(Opportunities!$A$3:$A$502,$A399,Opportunities!$X$3:$X$502,"Yes"))</f>
        <v/>
      </c>
      <c r="AH399" s="32" t="str">
        <f aca="false">IF($A399="","",_xlfn.TEXTJOIN(", ",TRUE(),IF(COUNTIF($A$3:$A$502,$A399)&gt;1,"Duplicate name",""),IF(OR(AND(G399=2,I399=""),AND(J399=2,L399=""),AND(M399=2,O399=""),AND(P399=2,R399="")),"Source missing for a 2",""),IF(F399="","No owner",IF(COUNTIFS(R_TeamName,F399,R_TeamActive,"No")&gt;0,"Needs new owner","")),IF(AND(V399="Yes",X399&lt;&gt;"",X399&lt;S_SemStart),"Path overdue",""),IF(AND(S399&lt;&gt;"",S399&lt;S_Today-365),"Stale research",""),IF(AND(AE399="Research",COUNTIF('Commercial Evidence'!$A$3:$A$502,$A399)=0),"Add commercial evidence","")))</f>
        <v/>
      </c>
      <c r="AI399" s="34" t="str">
        <f aca="false">IF(OR($A399="",Z399="Yes"),"",IF(AND(AE399="Priority",AG399=0,COUNTIFS(Opportunities!$A$3:$A$502,$A399,Opportunities!$Y$3:$Y$502,"Renewal due")=0),600000+(10-AC399)*1000+(4-AD399)*100+ROW()/100000,IF(V399="Yes",700000+IF(X399="",0,X399-40000)/10+ROW()/100000,IF(AND(AE399="Quick Win",U399&lt;&gt;"",AG399=0),800000+(10-AC399)*1000+ROW()/100000,IF(AND(AE399="Build a Path",COUNTIF($V$3:$V$502,"Yes")&lt;S_PathCap),900000+(10-AC399)*1000+(4-AD399)*100+ROW()/100000,"")))))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8"/>
      <c r="T400" s="27"/>
      <c r="U400" s="27"/>
      <c r="V400" s="27"/>
      <c r="W400" s="27"/>
      <c r="X400" s="28"/>
      <c r="Y400" s="27"/>
      <c r="Z400" s="27"/>
      <c r="AA400" s="27"/>
      <c r="AB400" s="32" t="str">
        <f aca="false">IF($A400="","",IF(COUNTIF('Commercial Evidence'!$A$3:$A$502,$A400)=0,"",IF(COUNTIFS('Commercial Evidence'!$A$3:$A$502,$A400,'Commercial Evidence'!$B$3:$B$502,"Previous CBS Talks spend")+COUNTIFS('Commercial Evidence'!$A$3:$A$502,$A400,'Commercial Evidence'!$B$3:$B$502,"Sponsors student organisations")&gt;0,2,IF(COUNTIFS('Commercial Evidence'!$A$3:$A$502,$A400,'Commercial Evidence'!$B$3:$B$502,"Sponsors university activities")+COUNTIFS('Commercial Evidence'!$A$3:$A$502,$A400,'Commercial Evidence'!$B$3:$B$502,"Sponsors similar events")+COUNTIFS('Commercial Evidence'!$A$3:$A$502,$A400,'Commercial Evidence'!$B$3:$B$502,"Previous CBS Talks partner")&gt;0,1,0))))</f>
        <v/>
      </c>
      <c r="AC400" s="32" t="str">
        <f aca="false">IF($A400="","",IF(COUNT(G400,J400,M400,P400,AB400)&lt;5,"",G400+J400+M400+P400+AB400))</f>
        <v/>
      </c>
      <c r="AD400" s="32" t="str">
        <f aca="false">IF($A400="","",IF(COUNTIFS(Contacts!$A$3:$A$502,$A400,Contacts!$E$3:$E$502,"Champion",Contacts!$K$3:$K$502,"&lt;&gt;Yes",Contacts!$L$3:$L$502,"&lt;&gt;Yes")+COUNTIFS(Opportunities!$A$3:$A$502,$A400,Opportunities!$C$3:$C$502,"Won",Opportunities!$Q$3:$Q$502,"Satisfied")&gt;0,4,IF(COUNTIFS(Interactions!$B$3:$B$502,$A400,Interactions!$I$3:$I$502,"Yes",Interactions!$A$3:$A$502,"&gt;="&amp;(S_Today-S_WarmDays))&gt;0,3,IF(T400&lt;&gt;"",2,IF(COUNTIFS(Contacts!$A$3:$A$502,$A400,Contacts!$M$3:$M$502,"Yes",Contacts!$K$3:$K$502,"&lt;&gt;Yes",Contacts!$L$3:$L$502,"&lt;&gt;Yes")&gt;0,1,0)))))</f>
        <v/>
      </c>
      <c r="AE400" s="32" t="str">
        <f aca="false">IF($A400="","",IF(Z400="Yes","Do not contact",IF(AC400="","Research",IF(AND(AC400&gt;=S_FitHigh,AD400&gt;=S_AccessHigh),"Priority",IF(AC400&gt;=S_FitHigh,"Build a Path",IF(AD400&gt;=S_AccessHigh,"Quick Win","Low Priority"))))))</f>
        <v/>
      </c>
      <c r="AF400" s="33" t="str">
        <f aca="false">IF($A400="","",IF(_xlfn.MAXIFS(Interactions!$A$3:$A$502,Interactions!$B$3:$B$502,$A400)=0,"",_xlfn.MAXIFS(Interactions!$A$3:$A$502,Interactions!$B$3:$B$502,$A400)))</f>
        <v/>
      </c>
      <c r="AG400" s="32" t="str">
        <f aca="false">IF($A400="","",COUNTIFS(Opportunities!$A$3:$A$502,$A400,Opportunities!$X$3:$X$502,"Yes"))</f>
        <v/>
      </c>
      <c r="AH400" s="32" t="str">
        <f aca="false">IF($A400="","",_xlfn.TEXTJOIN(", ",TRUE(),IF(COUNTIF($A$3:$A$502,$A400)&gt;1,"Duplicate name",""),IF(OR(AND(G400=2,I400=""),AND(J400=2,L400=""),AND(M400=2,O400=""),AND(P400=2,R400="")),"Source missing for a 2",""),IF(F400="","No owner",IF(COUNTIFS(R_TeamName,F400,R_TeamActive,"No")&gt;0,"Needs new owner","")),IF(AND(V400="Yes",X400&lt;&gt;"",X400&lt;S_SemStart),"Path overdue",""),IF(AND(S400&lt;&gt;"",S400&lt;S_Today-365),"Stale research",""),IF(AND(AE400="Research",COUNTIF('Commercial Evidence'!$A$3:$A$502,$A400)=0),"Add commercial evidence","")))</f>
        <v/>
      </c>
      <c r="AI400" s="34" t="str">
        <f aca="false">IF(OR($A400="",Z400="Yes"),"",IF(AND(AE400="Priority",AG400=0,COUNTIFS(Opportunities!$A$3:$A$502,$A400,Opportunities!$Y$3:$Y$502,"Renewal due")=0),600000+(10-AC400)*1000+(4-AD400)*100+ROW()/100000,IF(V400="Yes",700000+IF(X400="",0,X400-40000)/10+ROW()/100000,IF(AND(AE400="Quick Win",U400&lt;&gt;"",AG400=0),800000+(10-AC400)*1000+ROW()/100000,IF(AND(AE400="Build a Path",COUNTIF($V$3:$V$502,"Yes")&lt;S_PathCap),900000+(10-AC400)*1000+(4-AD400)*100+ROW()/100000,"")))))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8"/>
      <c r="T401" s="27"/>
      <c r="U401" s="27"/>
      <c r="V401" s="27"/>
      <c r="W401" s="27"/>
      <c r="X401" s="28"/>
      <c r="Y401" s="27"/>
      <c r="Z401" s="27"/>
      <c r="AA401" s="27"/>
      <c r="AB401" s="32" t="str">
        <f aca="false">IF($A401="","",IF(COUNTIF('Commercial Evidence'!$A$3:$A$502,$A401)=0,"",IF(COUNTIFS('Commercial Evidence'!$A$3:$A$502,$A401,'Commercial Evidence'!$B$3:$B$502,"Previous CBS Talks spend")+COUNTIFS('Commercial Evidence'!$A$3:$A$502,$A401,'Commercial Evidence'!$B$3:$B$502,"Sponsors student organisations")&gt;0,2,IF(COUNTIFS('Commercial Evidence'!$A$3:$A$502,$A401,'Commercial Evidence'!$B$3:$B$502,"Sponsors university activities")+COUNTIFS('Commercial Evidence'!$A$3:$A$502,$A401,'Commercial Evidence'!$B$3:$B$502,"Sponsors similar events")+COUNTIFS('Commercial Evidence'!$A$3:$A$502,$A401,'Commercial Evidence'!$B$3:$B$502,"Previous CBS Talks partner")&gt;0,1,0))))</f>
        <v/>
      </c>
      <c r="AC401" s="32" t="str">
        <f aca="false">IF($A401="","",IF(COUNT(G401,J401,M401,P401,AB401)&lt;5,"",G401+J401+M401+P401+AB401))</f>
        <v/>
      </c>
      <c r="AD401" s="32" t="str">
        <f aca="false">IF($A401="","",IF(COUNTIFS(Contacts!$A$3:$A$502,$A401,Contacts!$E$3:$E$502,"Champion",Contacts!$K$3:$K$502,"&lt;&gt;Yes",Contacts!$L$3:$L$502,"&lt;&gt;Yes")+COUNTIFS(Opportunities!$A$3:$A$502,$A401,Opportunities!$C$3:$C$502,"Won",Opportunities!$Q$3:$Q$502,"Satisfied")&gt;0,4,IF(COUNTIFS(Interactions!$B$3:$B$502,$A401,Interactions!$I$3:$I$502,"Yes",Interactions!$A$3:$A$502,"&gt;="&amp;(S_Today-S_WarmDays))&gt;0,3,IF(T401&lt;&gt;"",2,IF(COUNTIFS(Contacts!$A$3:$A$502,$A401,Contacts!$M$3:$M$502,"Yes",Contacts!$K$3:$K$502,"&lt;&gt;Yes",Contacts!$L$3:$L$502,"&lt;&gt;Yes")&gt;0,1,0)))))</f>
        <v/>
      </c>
      <c r="AE401" s="32" t="str">
        <f aca="false">IF($A401="","",IF(Z401="Yes","Do not contact",IF(AC401="","Research",IF(AND(AC401&gt;=S_FitHigh,AD401&gt;=S_AccessHigh),"Priority",IF(AC401&gt;=S_FitHigh,"Build a Path",IF(AD401&gt;=S_AccessHigh,"Quick Win","Low Priority"))))))</f>
        <v/>
      </c>
      <c r="AF401" s="33" t="str">
        <f aca="false">IF($A401="","",IF(_xlfn.MAXIFS(Interactions!$A$3:$A$502,Interactions!$B$3:$B$502,$A401)=0,"",_xlfn.MAXIFS(Interactions!$A$3:$A$502,Interactions!$B$3:$B$502,$A401)))</f>
        <v/>
      </c>
      <c r="AG401" s="32" t="str">
        <f aca="false">IF($A401="","",COUNTIFS(Opportunities!$A$3:$A$502,$A401,Opportunities!$X$3:$X$502,"Yes"))</f>
        <v/>
      </c>
      <c r="AH401" s="32" t="str">
        <f aca="false">IF($A401="","",_xlfn.TEXTJOIN(", ",TRUE(),IF(COUNTIF($A$3:$A$502,$A401)&gt;1,"Duplicate name",""),IF(OR(AND(G401=2,I401=""),AND(J401=2,L401=""),AND(M401=2,O401=""),AND(P401=2,R401="")),"Source missing for a 2",""),IF(F401="","No owner",IF(COUNTIFS(R_TeamName,F401,R_TeamActive,"No")&gt;0,"Needs new owner","")),IF(AND(V401="Yes",X401&lt;&gt;"",X401&lt;S_SemStart),"Path overdue",""),IF(AND(S401&lt;&gt;"",S401&lt;S_Today-365),"Stale research",""),IF(AND(AE401="Research",COUNTIF('Commercial Evidence'!$A$3:$A$502,$A401)=0),"Add commercial evidence","")))</f>
        <v/>
      </c>
      <c r="AI401" s="34" t="str">
        <f aca="false">IF(OR($A401="",Z401="Yes"),"",IF(AND(AE401="Priority",AG401=0,COUNTIFS(Opportunities!$A$3:$A$502,$A401,Opportunities!$Y$3:$Y$502,"Renewal due")=0),600000+(10-AC401)*1000+(4-AD401)*100+ROW()/100000,IF(V401="Yes",700000+IF(X401="",0,X401-40000)/10+ROW()/100000,IF(AND(AE401="Quick Win",U401&lt;&gt;"",AG401=0),800000+(10-AC401)*1000+ROW()/100000,IF(AND(AE401="Build a Path",COUNTIF($V$3:$V$502,"Yes")&lt;S_PathCap),900000+(10-AC401)*1000+(4-AD401)*100+ROW()/100000,"")))))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8"/>
      <c r="T402" s="27"/>
      <c r="U402" s="27"/>
      <c r="V402" s="27"/>
      <c r="W402" s="27"/>
      <c r="X402" s="28"/>
      <c r="Y402" s="27"/>
      <c r="Z402" s="27"/>
      <c r="AA402" s="27"/>
      <c r="AB402" s="32" t="str">
        <f aca="false">IF($A402="","",IF(COUNTIF('Commercial Evidence'!$A$3:$A$502,$A402)=0,"",IF(COUNTIFS('Commercial Evidence'!$A$3:$A$502,$A402,'Commercial Evidence'!$B$3:$B$502,"Previous CBS Talks spend")+COUNTIFS('Commercial Evidence'!$A$3:$A$502,$A402,'Commercial Evidence'!$B$3:$B$502,"Sponsors student organisations")&gt;0,2,IF(COUNTIFS('Commercial Evidence'!$A$3:$A$502,$A402,'Commercial Evidence'!$B$3:$B$502,"Sponsors university activities")+COUNTIFS('Commercial Evidence'!$A$3:$A$502,$A402,'Commercial Evidence'!$B$3:$B$502,"Sponsors similar events")+COUNTIFS('Commercial Evidence'!$A$3:$A$502,$A402,'Commercial Evidence'!$B$3:$B$502,"Previous CBS Talks partner")&gt;0,1,0))))</f>
        <v/>
      </c>
      <c r="AC402" s="32" t="str">
        <f aca="false">IF($A402="","",IF(COUNT(G402,J402,M402,P402,AB402)&lt;5,"",G402+J402+M402+P402+AB402))</f>
        <v/>
      </c>
      <c r="AD402" s="32" t="str">
        <f aca="false">IF($A402="","",IF(COUNTIFS(Contacts!$A$3:$A$502,$A402,Contacts!$E$3:$E$502,"Champion",Contacts!$K$3:$K$502,"&lt;&gt;Yes",Contacts!$L$3:$L$502,"&lt;&gt;Yes")+COUNTIFS(Opportunities!$A$3:$A$502,$A402,Opportunities!$C$3:$C$502,"Won",Opportunities!$Q$3:$Q$502,"Satisfied")&gt;0,4,IF(COUNTIFS(Interactions!$B$3:$B$502,$A402,Interactions!$I$3:$I$502,"Yes",Interactions!$A$3:$A$502,"&gt;="&amp;(S_Today-S_WarmDays))&gt;0,3,IF(T402&lt;&gt;"",2,IF(COUNTIFS(Contacts!$A$3:$A$502,$A402,Contacts!$M$3:$M$502,"Yes",Contacts!$K$3:$K$502,"&lt;&gt;Yes",Contacts!$L$3:$L$502,"&lt;&gt;Yes")&gt;0,1,0)))))</f>
        <v/>
      </c>
      <c r="AE402" s="32" t="str">
        <f aca="false">IF($A402="","",IF(Z402="Yes","Do not contact",IF(AC402="","Research",IF(AND(AC402&gt;=S_FitHigh,AD402&gt;=S_AccessHigh),"Priority",IF(AC402&gt;=S_FitHigh,"Build a Path",IF(AD402&gt;=S_AccessHigh,"Quick Win","Low Priority"))))))</f>
        <v/>
      </c>
      <c r="AF402" s="33" t="str">
        <f aca="false">IF($A402="","",IF(_xlfn.MAXIFS(Interactions!$A$3:$A$502,Interactions!$B$3:$B$502,$A402)=0,"",_xlfn.MAXIFS(Interactions!$A$3:$A$502,Interactions!$B$3:$B$502,$A402)))</f>
        <v/>
      </c>
      <c r="AG402" s="32" t="str">
        <f aca="false">IF($A402="","",COUNTIFS(Opportunities!$A$3:$A$502,$A402,Opportunities!$X$3:$X$502,"Yes"))</f>
        <v/>
      </c>
      <c r="AH402" s="32" t="str">
        <f aca="false">IF($A402="","",_xlfn.TEXTJOIN(", ",TRUE(),IF(COUNTIF($A$3:$A$502,$A402)&gt;1,"Duplicate name",""),IF(OR(AND(G402=2,I402=""),AND(J402=2,L402=""),AND(M402=2,O402=""),AND(P402=2,R402="")),"Source missing for a 2",""),IF(F402="","No owner",IF(COUNTIFS(R_TeamName,F402,R_TeamActive,"No")&gt;0,"Needs new owner","")),IF(AND(V402="Yes",X402&lt;&gt;"",X402&lt;S_SemStart),"Path overdue",""),IF(AND(S402&lt;&gt;"",S402&lt;S_Today-365),"Stale research",""),IF(AND(AE402="Research",COUNTIF('Commercial Evidence'!$A$3:$A$502,$A402)=0),"Add commercial evidence","")))</f>
        <v/>
      </c>
      <c r="AI402" s="34" t="str">
        <f aca="false">IF(OR($A402="",Z402="Yes"),"",IF(AND(AE402="Priority",AG402=0,COUNTIFS(Opportunities!$A$3:$A$502,$A402,Opportunities!$Y$3:$Y$502,"Renewal due")=0),600000+(10-AC402)*1000+(4-AD402)*100+ROW()/100000,IF(V402="Yes",700000+IF(X402="",0,X402-40000)/10+ROW()/100000,IF(AND(AE402="Quick Win",U402&lt;&gt;"",AG402=0),800000+(10-AC402)*1000+ROW()/100000,IF(AND(AE402="Build a Path",COUNTIF($V$3:$V$502,"Yes")&lt;S_PathCap),900000+(10-AC402)*1000+(4-AD402)*100+ROW()/100000,"")))))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8"/>
      <c r="T403" s="27"/>
      <c r="U403" s="27"/>
      <c r="V403" s="27"/>
      <c r="W403" s="27"/>
      <c r="X403" s="28"/>
      <c r="Y403" s="27"/>
      <c r="Z403" s="27"/>
      <c r="AA403" s="27"/>
      <c r="AB403" s="32" t="str">
        <f aca="false">IF($A403="","",IF(COUNTIF('Commercial Evidence'!$A$3:$A$502,$A403)=0,"",IF(COUNTIFS('Commercial Evidence'!$A$3:$A$502,$A403,'Commercial Evidence'!$B$3:$B$502,"Previous CBS Talks spend")+COUNTIFS('Commercial Evidence'!$A$3:$A$502,$A403,'Commercial Evidence'!$B$3:$B$502,"Sponsors student organisations")&gt;0,2,IF(COUNTIFS('Commercial Evidence'!$A$3:$A$502,$A403,'Commercial Evidence'!$B$3:$B$502,"Sponsors university activities")+COUNTIFS('Commercial Evidence'!$A$3:$A$502,$A403,'Commercial Evidence'!$B$3:$B$502,"Sponsors similar events")+COUNTIFS('Commercial Evidence'!$A$3:$A$502,$A403,'Commercial Evidence'!$B$3:$B$502,"Previous CBS Talks partner")&gt;0,1,0))))</f>
        <v/>
      </c>
      <c r="AC403" s="32" t="str">
        <f aca="false">IF($A403="","",IF(COUNT(G403,J403,M403,P403,AB403)&lt;5,"",G403+J403+M403+P403+AB403))</f>
        <v/>
      </c>
      <c r="AD403" s="32" t="str">
        <f aca="false">IF($A403="","",IF(COUNTIFS(Contacts!$A$3:$A$502,$A403,Contacts!$E$3:$E$502,"Champion",Contacts!$K$3:$K$502,"&lt;&gt;Yes",Contacts!$L$3:$L$502,"&lt;&gt;Yes")+COUNTIFS(Opportunities!$A$3:$A$502,$A403,Opportunities!$C$3:$C$502,"Won",Opportunities!$Q$3:$Q$502,"Satisfied")&gt;0,4,IF(COUNTIFS(Interactions!$B$3:$B$502,$A403,Interactions!$I$3:$I$502,"Yes",Interactions!$A$3:$A$502,"&gt;="&amp;(S_Today-S_WarmDays))&gt;0,3,IF(T403&lt;&gt;"",2,IF(COUNTIFS(Contacts!$A$3:$A$502,$A403,Contacts!$M$3:$M$502,"Yes",Contacts!$K$3:$K$502,"&lt;&gt;Yes",Contacts!$L$3:$L$502,"&lt;&gt;Yes")&gt;0,1,0)))))</f>
        <v/>
      </c>
      <c r="AE403" s="32" t="str">
        <f aca="false">IF($A403="","",IF(Z403="Yes","Do not contact",IF(AC403="","Research",IF(AND(AC403&gt;=S_FitHigh,AD403&gt;=S_AccessHigh),"Priority",IF(AC403&gt;=S_FitHigh,"Build a Path",IF(AD403&gt;=S_AccessHigh,"Quick Win","Low Priority"))))))</f>
        <v/>
      </c>
      <c r="AF403" s="33" t="str">
        <f aca="false">IF($A403="","",IF(_xlfn.MAXIFS(Interactions!$A$3:$A$502,Interactions!$B$3:$B$502,$A403)=0,"",_xlfn.MAXIFS(Interactions!$A$3:$A$502,Interactions!$B$3:$B$502,$A403)))</f>
        <v/>
      </c>
      <c r="AG403" s="32" t="str">
        <f aca="false">IF($A403="","",COUNTIFS(Opportunities!$A$3:$A$502,$A403,Opportunities!$X$3:$X$502,"Yes"))</f>
        <v/>
      </c>
      <c r="AH403" s="32" t="str">
        <f aca="false">IF($A403="","",_xlfn.TEXTJOIN(", ",TRUE(),IF(COUNTIF($A$3:$A$502,$A403)&gt;1,"Duplicate name",""),IF(OR(AND(G403=2,I403=""),AND(J403=2,L403=""),AND(M403=2,O403=""),AND(P403=2,R403="")),"Source missing for a 2",""),IF(F403="","No owner",IF(COUNTIFS(R_TeamName,F403,R_TeamActive,"No")&gt;0,"Needs new owner","")),IF(AND(V403="Yes",X403&lt;&gt;"",X403&lt;S_SemStart),"Path overdue",""),IF(AND(S403&lt;&gt;"",S403&lt;S_Today-365),"Stale research",""),IF(AND(AE403="Research",COUNTIF('Commercial Evidence'!$A$3:$A$502,$A403)=0),"Add commercial evidence","")))</f>
        <v/>
      </c>
      <c r="AI403" s="34" t="str">
        <f aca="false">IF(OR($A403="",Z403="Yes"),"",IF(AND(AE403="Priority",AG403=0,COUNTIFS(Opportunities!$A$3:$A$502,$A403,Opportunities!$Y$3:$Y$502,"Renewal due")=0),600000+(10-AC403)*1000+(4-AD403)*100+ROW()/100000,IF(V403="Yes",700000+IF(X403="",0,X403-40000)/10+ROW()/100000,IF(AND(AE403="Quick Win",U403&lt;&gt;"",AG403=0),800000+(10-AC403)*1000+ROW()/100000,IF(AND(AE403="Build a Path",COUNTIF($V$3:$V$502,"Yes")&lt;S_PathCap),900000+(10-AC403)*1000+(4-AD403)*100+ROW()/100000,"")))))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8"/>
      <c r="T404" s="27"/>
      <c r="U404" s="27"/>
      <c r="V404" s="27"/>
      <c r="W404" s="27"/>
      <c r="X404" s="28"/>
      <c r="Y404" s="27"/>
      <c r="Z404" s="27"/>
      <c r="AA404" s="27"/>
      <c r="AB404" s="32" t="str">
        <f aca="false">IF($A404="","",IF(COUNTIF('Commercial Evidence'!$A$3:$A$502,$A404)=0,"",IF(COUNTIFS('Commercial Evidence'!$A$3:$A$502,$A404,'Commercial Evidence'!$B$3:$B$502,"Previous CBS Talks spend")+COUNTIFS('Commercial Evidence'!$A$3:$A$502,$A404,'Commercial Evidence'!$B$3:$B$502,"Sponsors student organisations")&gt;0,2,IF(COUNTIFS('Commercial Evidence'!$A$3:$A$502,$A404,'Commercial Evidence'!$B$3:$B$502,"Sponsors university activities")+COUNTIFS('Commercial Evidence'!$A$3:$A$502,$A404,'Commercial Evidence'!$B$3:$B$502,"Sponsors similar events")+COUNTIFS('Commercial Evidence'!$A$3:$A$502,$A404,'Commercial Evidence'!$B$3:$B$502,"Previous CBS Talks partner")&gt;0,1,0))))</f>
        <v/>
      </c>
      <c r="AC404" s="32" t="str">
        <f aca="false">IF($A404="","",IF(COUNT(G404,J404,M404,P404,AB404)&lt;5,"",G404+J404+M404+P404+AB404))</f>
        <v/>
      </c>
      <c r="AD404" s="32" t="str">
        <f aca="false">IF($A404="","",IF(COUNTIFS(Contacts!$A$3:$A$502,$A404,Contacts!$E$3:$E$502,"Champion",Contacts!$K$3:$K$502,"&lt;&gt;Yes",Contacts!$L$3:$L$502,"&lt;&gt;Yes")+COUNTIFS(Opportunities!$A$3:$A$502,$A404,Opportunities!$C$3:$C$502,"Won",Opportunities!$Q$3:$Q$502,"Satisfied")&gt;0,4,IF(COUNTIFS(Interactions!$B$3:$B$502,$A404,Interactions!$I$3:$I$502,"Yes",Interactions!$A$3:$A$502,"&gt;="&amp;(S_Today-S_WarmDays))&gt;0,3,IF(T404&lt;&gt;"",2,IF(COUNTIFS(Contacts!$A$3:$A$502,$A404,Contacts!$M$3:$M$502,"Yes",Contacts!$K$3:$K$502,"&lt;&gt;Yes",Contacts!$L$3:$L$502,"&lt;&gt;Yes")&gt;0,1,0)))))</f>
        <v/>
      </c>
      <c r="AE404" s="32" t="str">
        <f aca="false">IF($A404="","",IF(Z404="Yes","Do not contact",IF(AC404="","Research",IF(AND(AC404&gt;=S_FitHigh,AD404&gt;=S_AccessHigh),"Priority",IF(AC404&gt;=S_FitHigh,"Build a Path",IF(AD404&gt;=S_AccessHigh,"Quick Win","Low Priority"))))))</f>
        <v/>
      </c>
      <c r="AF404" s="33" t="str">
        <f aca="false">IF($A404="","",IF(_xlfn.MAXIFS(Interactions!$A$3:$A$502,Interactions!$B$3:$B$502,$A404)=0,"",_xlfn.MAXIFS(Interactions!$A$3:$A$502,Interactions!$B$3:$B$502,$A404)))</f>
        <v/>
      </c>
      <c r="AG404" s="32" t="str">
        <f aca="false">IF($A404="","",COUNTIFS(Opportunities!$A$3:$A$502,$A404,Opportunities!$X$3:$X$502,"Yes"))</f>
        <v/>
      </c>
      <c r="AH404" s="32" t="str">
        <f aca="false">IF($A404="","",_xlfn.TEXTJOIN(", ",TRUE(),IF(COUNTIF($A$3:$A$502,$A404)&gt;1,"Duplicate name",""),IF(OR(AND(G404=2,I404=""),AND(J404=2,L404=""),AND(M404=2,O404=""),AND(P404=2,R404="")),"Source missing for a 2",""),IF(F404="","No owner",IF(COUNTIFS(R_TeamName,F404,R_TeamActive,"No")&gt;0,"Needs new owner","")),IF(AND(V404="Yes",X404&lt;&gt;"",X404&lt;S_SemStart),"Path overdue",""),IF(AND(S404&lt;&gt;"",S404&lt;S_Today-365),"Stale research",""),IF(AND(AE404="Research",COUNTIF('Commercial Evidence'!$A$3:$A$502,$A404)=0),"Add commercial evidence","")))</f>
        <v/>
      </c>
      <c r="AI404" s="34" t="str">
        <f aca="false">IF(OR($A404="",Z404="Yes"),"",IF(AND(AE404="Priority",AG404=0,COUNTIFS(Opportunities!$A$3:$A$502,$A404,Opportunities!$Y$3:$Y$502,"Renewal due")=0),600000+(10-AC404)*1000+(4-AD404)*100+ROW()/100000,IF(V404="Yes",700000+IF(X404="",0,X404-40000)/10+ROW()/100000,IF(AND(AE404="Quick Win",U404&lt;&gt;"",AG404=0),800000+(10-AC404)*1000+ROW()/100000,IF(AND(AE404="Build a Path",COUNTIF($V$3:$V$502,"Yes")&lt;S_PathCap),900000+(10-AC404)*1000+(4-AD404)*100+ROW()/100000,"")))))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8"/>
      <c r="T405" s="27"/>
      <c r="U405" s="27"/>
      <c r="V405" s="27"/>
      <c r="W405" s="27"/>
      <c r="X405" s="28"/>
      <c r="Y405" s="27"/>
      <c r="Z405" s="27"/>
      <c r="AA405" s="27"/>
      <c r="AB405" s="32" t="str">
        <f aca="false">IF($A405="","",IF(COUNTIF('Commercial Evidence'!$A$3:$A$502,$A405)=0,"",IF(COUNTIFS('Commercial Evidence'!$A$3:$A$502,$A405,'Commercial Evidence'!$B$3:$B$502,"Previous CBS Talks spend")+COUNTIFS('Commercial Evidence'!$A$3:$A$502,$A405,'Commercial Evidence'!$B$3:$B$502,"Sponsors student organisations")&gt;0,2,IF(COUNTIFS('Commercial Evidence'!$A$3:$A$502,$A405,'Commercial Evidence'!$B$3:$B$502,"Sponsors university activities")+COUNTIFS('Commercial Evidence'!$A$3:$A$502,$A405,'Commercial Evidence'!$B$3:$B$502,"Sponsors similar events")+COUNTIFS('Commercial Evidence'!$A$3:$A$502,$A405,'Commercial Evidence'!$B$3:$B$502,"Previous CBS Talks partner")&gt;0,1,0))))</f>
        <v/>
      </c>
      <c r="AC405" s="32" t="str">
        <f aca="false">IF($A405="","",IF(COUNT(G405,J405,M405,P405,AB405)&lt;5,"",G405+J405+M405+P405+AB405))</f>
        <v/>
      </c>
      <c r="AD405" s="32" t="str">
        <f aca="false">IF($A405="","",IF(COUNTIFS(Contacts!$A$3:$A$502,$A405,Contacts!$E$3:$E$502,"Champion",Contacts!$K$3:$K$502,"&lt;&gt;Yes",Contacts!$L$3:$L$502,"&lt;&gt;Yes")+COUNTIFS(Opportunities!$A$3:$A$502,$A405,Opportunities!$C$3:$C$502,"Won",Opportunities!$Q$3:$Q$502,"Satisfied")&gt;0,4,IF(COUNTIFS(Interactions!$B$3:$B$502,$A405,Interactions!$I$3:$I$502,"Yes",Interactions!$A$3:$A$502,"&gt;="&amp;(S_Today-S_WarmDays))&gt;0,3,IF(T405&lt;&gt;"",2,IF(COUNTIFS(Contacts!$A$3:$A$502,$A405,Contacts!$M$3:$M$502,"Yes",Contacts!$K$3:$K$502,"&lt;&gt;Yes",Contacts!$L$3:$L$502,"&lt;&gt;Yes")&gt;0,1,0)))))</f>
        <v/>
      </c>
      <c r="AE405" s="32" t="str">
        <f aca="false">IF($A405="","",IF(Z405="Yes","Do not contact",IF(AC405="","Research",IF(AND(AC405&gt;=S_FitHigh,AD405&gt;=S_AccessHigh),"Priority",IF(AC405&gt;=S_FitHigh,"Build a Path",IF(AD405&gt;=S_AccessHigh,"Quick Win","Low Priority"))))))</f>
        <v/>
      </c>
      <c r="AF405" s="33" t="str">
        <f aca="false">IF($A405="","",IF(_xlfn.MAXIFS(Interactions!$A$3:$A$502,Interactions!$B$3:$B$502,$A405)=0,"",_xlfn.MAXIFS(Interactions!$A$3:$A$502,Interactions!$B$3:$B$502,$A405)))</f>
        <v/>
      </c>
      <c r="AG405" s="32" t="str">
        <f aca="false">IF($A405="","",COUNTIFS(Opportunities!$A$3:$A$502,$A405,Opportunities!$X$3:$X$502,"Yes"))</f>
        <v/>
      </c>
      <c r="AH405" s="32" t="str">
        <f aca="false">IF($A405="","",_xlfn.TEXTJOIN(", ",TRUE(),IF(COUNTIF($A$3:$A$502,$A405)&gt;1,"Duplicate name",""),IF(OR(AND(G405=2,I405=""),AND(J405=2,L405=""),AND(M405=2,O405=""),AND(P405=2,R405="")),"Source missing for a 2",""),IF(F405="","No owner",IF(COUNTIFS(R_TeamName,F405,R_TeamActive,"No")&gt;0,"Needs new owner","")),IF(AND(V405="Yes",X405&lt;&gt;"",X405&lt;S_SemStart),"Path overdue",""),IF(AND(S405&lt;&gt;"",S405&lt;S_Today-365),"Stale research",""),IF(AND(AE405="Research",COUNTIF('Commercial Evidence'!$A$3:$A$502,$A405)=0),"Add commercial evidence","")))</f>
        <v/>
      </c>
      <c r="AI405" s="34" t="str">
        <f aca="false">IF(OR($A405="",Z405="Yes"),"",IF(AND(AE405="Priority",AG405=0,COUNTIFS(Opportunities!$A$3:$A$502,$A405,Opportunities!$Y$3:$Y$502,"Renewal due")=0),600000+(10-AC405)*1000+(4-AD405)*100+ROW()/100000,IF(V405="Yes",700000+IF(X405="",0,X405-40000)/10+ROW()/100000,IF(AND(AE405="Quick Win",U405&lt;&gt;"",AG405=0),800000+(10-AC405)*1000+ROW()/100000,IF(AND(AE405="Build a Path",COUNTIF($V$3:$V$502,"Yes")&lt;S_PathCap),900000+(10-AC405)*1000+(4-AD405)*100+ROW()/100000,"")))))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8"/>
      <c r="T406" s="27"/>
      <c r="U406" s="27"/>
      <c r="V406" s="27"/>
      <c r="W406" s="27"/>
      <c r="X406" s="28"/>
      <c r="Y406" s="27"/>
      <c r="Z406" s="27"/>
      <c r="AA406" s="27"/>
      <c r="AB406" s="32" t="str">
        <f aca="false">IF($A406="","",IF(COUNTIF('Commercial Evidence'!$A$3:$A$502,$A406)=0,"",IF(COUNTIFS('Commercial Evidence'!$A$3:$A$502,$A406,'Commercial Evidence'!$B$3:$B$502,"Previous CBS Talks spend")+COUNTIFS('Commercial Evidence'!$A$3:$A$502,$A406,'Commercial Evidence'!$B$3:$B$502,"Sponsors student organisations")&gt;0,2,IF(COUNTIFS('Commercial Evidence'!$A$3:$A$502,$A406,'Commercial Evidence'!$B$3:$B$502,"Sponsors university activities")+COUNTIFS('Commercial Evidence'!$A$3:$A$502,$A406,'Commercial Evidence'!$B$3:$B$502,"Sponsors similar events")+COUNTIFS('Commercial Evidence'!$A$3:$A$502,$A406,'Commercial Evidence'!$B$3:$B$502,"Previous CBS Talks partner")&gt;0,1,0))))</f>
        <v/>
      </c>
      <c r="AC406" s="32" t="str">
        <f aca="false">IF($A406="","",IF(COUNT(G406,J406,M406,P406,AB406)&lt;5,"",G406+J406+M406+P406+AB406))</f>
        <v/>
      </c>
      <c r="AD406" s="32" t="str">
        <f aca="false">IF($A406="","",IF(COUNTIFS(Contacts!$A$3:$A$502,$A406,Contacts!$E$3:$E$502,"Champion",Contacts!$K$3:$K$502,"&lt;&gt;Yes",Contacts!$L$3:$L$502,"&lt;&gt;Yes")+COUNTIFS(Opportunities!$A$3:$A$502,$A406,Opportunities!$C$3:$C$502,"Won",Opportunities!$Q$3:$Q$502,"Satisfied")&gt;0,4,IF(COUNTIFS(Interactions!$B$3:$B$502,$A406,Interactions!$I$3:$I$502,"Yes",Interactions!$A$3:$A$502,"&gt;="&amp;(S_Today-S_WarmDays))&gt;0,3,IF(T406&lt;&gt;"",2,IF(COUNTIFS(Contacts!$A$3:$A$502,$A406,Contacts!$M$3:$M$502,"Yes",Contacts!$K$3:$K$502,"&lt;&gt;Yes",Contacts!$L$3:$L$502,"&lt;&gt;Yes")&gt;0,1,0)))))</f>
        <v/>
      </c>
      <c r="AE406" s="32" t="str">
        <f aca="false">IF($A406="","",IF(Z406="Yes","Do not contact",IF(AC406="","Research",IF(AND(AC406&gt;=S_FitHigh,AD406&gt;=S_AccessHigh),"Priority",IF(AC406&gt;=S_FitHigh,"Build a Path",IF(AD406&gt;=S_AccessHigh,"Quick Win","Low Priority"))))))</f>
        <v/>
      </c>
      <c r="AF406" s="33" t="str">
        <f aca="false">IF($A406="","",IF(_xlfn.MAXIFS(Interactions!$A$3:$A$502,Interactions!$B$3:$B$502,$A406)=0,"",_xlfn.MAXIFS(Interactions!$A$3:$A$502,Interactions!$B$3:$B$502,$A406)))</f>
        <v/>
      </c>
      <c r="AG406" s="32" t="str">
        <f aca="false">IF($A406="","",COUNTIFS(Opportunities!$A$3:$A$502,$A406,Opportunities!$X$3:$X$502,"Yes"))</f>
        <v/>
      </c>
      <c r="AH406" s="32" t="str">
        <f aca="false">IF($A406="","",_xlfn.TEXTJOIN(", ",TRUE(),IF(COUNTIF($A$3:$A$502,$A406)&gt;1,"Duplicate name",""),IF(OR(AND(G406=2,I406=""),AND(J406=2,L406=""),AND(M406=2,O406=""),AND(P406=2,R406="")),"Source missing for a 2",""),IF(F406="","No owner",IF(COUNTIFS(R_TeamName,F406,R_TeamActive,"No")&gt;0,"Needs new owner","")),IF(AND(V406="Yes",X406&lt;&gt;"",X406&lt;S_SemStart),"Path overdue",""),IF(AND(S406&lt;&gt;"",S406&lt;S_Today-365),"Stale research",""),IF(AND(AE406="Research",COUNTIF('Commercial Evidence'!$A$3:$A$502,$A406)=0),"Add commercial evidence","")))</f>
        <v/>
      </c>
      <c r="AI406" s="34" t="str">
        <f aca="false">IF(OR($A406="",Z406="Yes"),"",IF(AND(AE406="Priority",AG406=0,COUNTIFS(Opportunities!$A$3:$A$502,$A406,Opportunities!$Y$3:$Y$502,"Renewal due")=0),600000+(10-AC406)*1000+(4-AD406)*100+ROW()/100000,IF(V406="Yes",700000+IF(X406="",0,X406-40000)/10+ROW()/100000,IF(AND(AE406="Quick Win",U406&lt;&gt;"",AG406=0),800000+(10-AC406)*1000+ROW()/100000,IF(AND(AE406="Build a Path",COUNTIF($V$3:$V$502,"Yes")&lt;S_PathCap),900000+(10-AC406)*1000+(4-AD406)*100+ROW()/100000,"")))))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8"/>
      <c r="T407" s="27"/>
      <c r="U407" s="27"/>
      <c r="V407" s="27"/>
      <c r="W407" s="27"/>
      <c r="X407" s="28"/>
      <c r="Y407" s="27"/>
      <c r="Z407" s="27"/>
      <c r="AA407" s="27"/>
      <c r="AB407" s="32" t="str">
        <f aca="false">IF($A407="","",IF(COUNTIF('Commercial Evidence'!$A$3:$A$502,$A407)=0,"",IF(COUNTIFS('Commercial Evidence'!$A$3:$A$502,$A407,'Commercial Evidence'!$B$3:$B$502,"Previous CBS Talks spend")+COUNTIFS('Commercial Evidence'!$A$3:$A$502,$A407,'Commercial Evidence'!$B$3:$B$502,"Sponsors student organisations")&gt;0,2,IF(COUNTIFS('Commercial Evidence'!$A$3:$A$502,$A407,'Commercial Evidence'!$B$3:$B$502,"Sponsors university activities")+COUNTIFS('Commercial Evidence'!$A$3:$A$502,$A407,'Commercial Evidence'!$B$3:$B$502,"Sponsors similar events")+COUNTIFS('Commercial Evidence'!$A$3:$A$502,$A407,'Commercial Evidence'!$B$3:$B$502,"Previous CBS Talks partner")&gt;0,1,0))))</f>
        <v/>
      </c>
      <c r="AC407" s="32" t="str">
        <f aca="false">IF($A407="","",IF(COUNT(G407,J407,M407,P407,AB407)&lt;5,"",G407+J407+M407+P407+AB407))</f>
        <v/>
      </c>
      <c r="AD407" s="32" t="str">
        <f aca="false">IF($A407="","",IF(COUNTIFS(Contacts!$A$3:$A$502,$A407,Contacts!$E$3:$E$502,"Champion",Contacts!$K$3:$K$502,"&lt;&gt;Yes",Contacts!$L$3:$L$502,"&lt;&gt;Yes")+COUNTIFS(Opportunities!$A$3:$A$502,$A407,Opportunities!$C$3:$C$502,"Won",Opportunities!$Q$3:$Q$502,"Satisfied")&gt;0,4,IF(COUNTIFS(Interactions!$B$3:$B$502,$A407,Interactions!$I$3:$I$502,"Yes",Interactions!$A$3:$A$502,"&gt;="&amp;(S_Today-S_WarmDays))&gt;0,3,IF(T407&lt;&gt;"",2,IF(COUNTIFS(Contacts!$A$3:$A$502,$A407,Contacts!$M$3:$M$502,"Yes",Contacts!$K$3:$K$502,"&lt;&gt;Yes",Contacts!$L$3:$L$502,"&lt;&gt;Yes")&gt;0,1,0)))))</f>
        <v/>
      </c>
      <c r="AE407" s="32" t="str">
        <f aca="false">IF($A407="","",IF(Z407="Yes","Do not contact",IF(AC407="","Research",IF(AND(AC407&gt;=S_FitHigh,AD407&gt;=S_AccessHigh),"Priority",IF(AC407&gt;=S_FitHigh,"Build a Path",IF(AD407&gt;=S_AccessHigh,"Quick Win","Low Priority"))))))</f>
        <v/>
      </c>
      <c r="AF407" s="33" t="str">
        <f aca="false">IF($A407="","",IF(_xlfn.MAXIFS(Interactions!$A$3:$A$502,Interactions!$B$3:$B$502,$A407)=0,"",_xlfn.MAXIFS(Interactions!$A$3:$A$502,Interactions!$B$3:$B$502,$A407)))</f>
        <v/>
      </c>
      <c r="AG407" s="32" t="str">
        <f aca="false">IF($A407="","",COUNTIFS(Opportunities!$A$3:$A$502,$A407,Opportunities!$X$3:$X$502,"Yes"))</f>
        <v/>
      </c>
      <c r="AH407" s="32" t="str">
        <f aca="false">IF($A407="","",_xlfn.TEXTJOIN(", ",TRUE(),IF(COUNTIF($A$3:$A$502,$A407)&gt;1,"Duplicate name",""),IF(OR(AND(G407=2,I407=""),AND(J407=2,L407=""),AND(M407=2,O407=""),AND(P407=2,R407="")),"Source missing for a 2",""),IF(F407="","No owner",IF(COUNTIFS(R_TeamName,F407,R_TeamActive,"No")&gt;0,"Needs new owner","")),IF(AND(V407="Yes",X407&lt;&gt;"",X407&lt;S_SemStart),"Path overdue",""),IF(AND(S407&lt;&gt;"",S407&lt;S_Today-365),"Stale research",""),IF(AND(AE407="Research",COUNTIF('Commercial Evidence'!$A$3:$A$502,$A407)=0),"Add commercial evidence","")))</f>
        <v/>
      </c>
      <c r="AI407" s="34" t="str">
        <f aca="false">IF(OR($A407="",Z407="Yes"),"",IF(AND(AE407="Priority",AG407=0,COUNTIFS(Opportunities!$A$3:$A$502,$A407,Opportunities!$Y$3:$Y$502,"Renewal due")=0),600000+(10-AC407)*1000+(4-AD407)*100+ROW()/100000,IF(V407="Yes",700000+IF(X407="",0,X407-40000)/10+ROW()/100000,IF(AND(AE407="Quick Win",U407&lt;&gt;"",AG407=0),800000+(10-AC407)*1000+ROW()/100000,IF(AND(AE407="Build a Path",COUNTIF($V$3:$V$502,"Yes")&lt;S_PathCap),900000+(10-AC407)*1000+(4-AD407)*100+ROW()/100000,"")))))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8"/>
      <c r="T408" s="27"/>
      <c r="U408" s="27"/>
      <c r="V408" s="27"/>
      <c r="W408" s="27"/>
      <c r="X408" s="28"/>
      <c r="Y408" s="27"/>
      <c r="Z408" s="27"/>
      <c r="AA408" s="27"/>
      <c r="AB408" s="32" t="str">
        <f aca="false">IF($A408="","",IF(COUNTIF('Commercial Evidence'!$A$3:$A$502,$A408)=0,"",IF(COUNTIFS('Commercial Evidence'!$A$3:$A$502,$A408,'Commercial Evidence'!$B$3:$B$502,"Previous CBS Talks spend")+COUNTIFS('Commercial Evidence'!$A$3:$A$502,$A408,'Commercial Evidence'!$B$3:$B$502,"Sponsors student organisations")&gt;0,2,IF(COUNTIFS('Commercial Evidence'!$A$3:$A$502,$A408,'Commercial Evidence'!$B$3:$B$502,"Sponsors university activities")+COUNTIFS('Commercial Evidence'!$A$3:$A$502,$A408,'Commercial Evidence'!$B$3:$B$502,"Sponsors similar events")+COUNTIFS('Commercial Evidence'!$A$3:$A$502,$A408,'Commercial Evidence'!$B$3:$B$502,"Previous CBS Talks partner")&gt;0,1,0))))</f>
        <v/>
      </c>
      <c r="AC408" s="32" t="str">
        <f aca="false">IF($A408="","",IF(COUNT(G408,J408,M408,P408,AB408)&lt;5,"",G408+J408+M408+P408+AB408))</f>
        <v/>
      </c>
      <c r="AD408" s="32" t="str">
        <f aca="false">IF($A408="","",IF(COUNTIFS(Contacts!$A$3:$A$502,$A408,Contacts!$E$3:$E$502,"Champion",Contacts!$K$3:$K$502,"&lt;&gt;Yes",Contacts!$L$3:$L$502,"&lt;&gt;Yes")+COUNTIFS(Opportunities!$A$3:$A$502,$A408,Opportunities!$C$3:$C$502,"Won",Opportunities!$Q$3:$Q$502,"Satisfied")&gt;0,4,IF(COUNTIFS(Interactions!$B$3:$B$502,$A408,Interactions!$I$3:$I$502,"Yes",Interactions!$A$3:$A$502,"&gt;="&amp;(S_Today-S_WarmDays))&gt;0,3,IF(T408&lt;&gt;"",2,IF(COUNTIFS(Contacts!$A$3:$A$502,$A408,Contacts!$M$3:$M$502,"Yes",Contacts!$K$3:$K$502,"&lt;&gt;Yes",Contacts!$L$3:$L$502,"&lt;&gt;Yes")&gt;0,1,0)))))</f>
        <v/>
      </c>
      <c r="AE408" s="32" t="str">
        <f aca="false">IF($A408="","",IF(Z408="Yes","Do not contact",IF(AC408="","Research",IF(AND(AC408&gt;=S_FitHigh,AD408&gt;=S_AccessHigh),"Priority",IF(AC408&gt;=S_FitHigh,"Build a Path",IF(AD408&gt;=S_AccessHigh,"Quick Win","Low Priority"))))))</f>
        <v/>
      </c>
      <c r="AF408" s="33" t="str">
        <f aca="false">IF($A408="","",IF(_xlfn.MAXIFS(Interactions!$A$3:$A$502,Interactions!$B$3:$B$502,$A408)=0,"",_xlfn.MAXIFS(Interactions!$A$3:$A$502,Interactions!$B$3:$B$502,$A408)))</f>
        <v/>
      </c>
      <c r="AG408" s="32" t="str">
        <f aca="false">IF($A408="","",COUNTIFS(Opportunities!$A$3:$A$502,$A408,Opportunities!$X$3:$X$502,"Yes"))</f>
        <v/>
      </c>
      <c r="AH408" s="32" t="str">
        <f aca="false">IF($A408="","",_xlfn.TEXTJOIN(", ",TRUE(),IF(COUNTIF($A$3:$A$502,$A408)&gt;1,"Duplicate name",""),IF(OR(AND(G408=2,I408=""),AND(J408=2,L408=""),AND(M408=2,O408=""),AND(P408=2,R408="")),"Source missing for a 2",""),IF(F408="","No owner",IF(COUNTIFS(R_TeamName,F408,R_TeamActive,"No")&gt;0,"Needs new owner","")),IF(AND(V408="Yes",X408&lt;&gt;"",X408&lt;S_SemStart),"Path overdue",""),IF(AND(S408&lt;&gt;"",S408&lt;S_Today-365),"Stale research",""),IF(AND(AE408="Research",COUNTIF('Commercial Evidence'!$A$3:$A$502,$A408)=0),"Add commercial evidence","")))</f>
        <v/>
      </c>
      <c r="AI408" s="34" t="str">
        <f aca="false">IF(OR($A408="",Z408="Yes"),"",IF(AND(AE408="Priority",AG408=0,COUNTIFS(Opportunities!$A$3:$A$502,$A408,Opportunities!$Y$3:$Y$502,"Renewal due")=0),600000+(10-AC408)*1000+(4-AD408)*100+ROW()/100000,IF(V408="Yes",700000+IF(X408="",0,X408-40000)/10+ROW()/100000,IF(AND(AE408="Quick Win",U408&lt;&gt;"",AG408=0),800000+(10-AC408)*1000+ROW()/100000,IF(AND(AE408="Build a Path",COUNTIF($V$3:$V$502,"Yes")&lt;S_PathCap),900000+(10-AC408)*1000+(4-AD408)*100+ROW()/100000,"")))))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8"/>
      <c r="T409" s="27"/>
      <c r="U409" s="27"/>
      <c r="V409" s="27"/>
      <c r="W409" s="27"/>
      <c r="X409" s="28"/>
      <c r="Y409" s="27"/>
      <c r="Z409" s="27"/>
      <c r="AA409" s="27"/>
      <c r="AB409" s="32" t="str">
        <f aca="false">IF($A409="","",IF(COUNTIF('Commercial Evidence'!$A$3:$A$502,$A409)=0,"",IF(COUNTIFS('Commercial Evidence'!$A$3:$A$502,$A409,'Commercial Evidence'!$B$3:$B$502,"Previous CBS Talks spend")+COUNTIFS('Commercial Evidence'!$A$3:$A$502,$A409,'Commercial Evidence'!$B$3:$B$502,"Sponsors student organisations")&gt;0,2,IF(COUNTIFS('Commercial Evidence'!$A$3:$A$502,$A409,'Commercial Evidence'!$B$3:$B$502,"Sponsors university activities")+COUNTIFS('Commercial Evidence'!$A$3:$A$502,$A409,'Commercial Evidence'!$B$3:$B$502,"Sponsors similar events")+COUNTIFS('Commercial Evidence'!$A$3:$A$502,$A409,'Commercial Evidence'!$B$3:$B$502,"Previous CBS Talks partner")&gt;0,1,0))))</f>
        <v/>
      </c>
      <c r="AC409" s="32" t="str">
        <f aca="false">IF($A409="","",IF(COUNT(G409,J409,M409,P409,AB409)&lt;5,"",G409+J409+M409+P409+AB409))</f>
        <v/>
      </c>
      <c r="AD409" s="32" t="str">
        <f aca="false">IF($A409="","",IF(COUNTIFS(Contacts!$A$3:$A$502,$A409,Contacts!$E$3:$E$502,"Champion",Contacts!$K$3:$K$502,"&lt;&gt;Yes",Contacts!$L$3:$L$502,"&lt;&gt;Yes")+COUNTIFS(Opportunities!$A$3:$A$502,$A409,Opportunities!$C$3:$C$502,"Won",Opportunities!$Q$3:$Q$502,"Satisfied")&gt;0,4,IF(COUNTIFS(Interactions!$B$3:$B$502,$A409,Interactions!$I$3:$I$502,"Yes",Interactions!$A$3:$A$502,"&gt;="&amp;(S_Today-S_WarmDays))&gt;0,3,IF(T409&lt;&gt;"",2,IF(COUNTIFS(Contacts!$A$3:$A$502,$A409,Contacts!$M$3:$M$502,"Yes",Contacts!$K$3:$K$502,"&lt;&gt;Yes",Contacts!$L$3:$L$502,"&lt;&gt;Yes")&gt;0,1,0)))))</f>
        <v/>
      </c>
      <c r="AE409" s="32" t="str">
        <f aca="false">IF($A409="","",IF(Z409="Yes","Do not contact",IF(AC409="","Research",IF(AND(AC409&gt;=S_FitHigh,AD409&gt;=S_AccessHigh),"Priority",IF(AC409&gt;=S_FitHigh,"Build a Path",IF(AD409&gt;=S_AccessHigh,"Quick Win","Low Priority"))))))</f>
        <v/>
      </c>
      <c r="AF409" s="33" t="str">
        <f aca="false">IF($A409="","",IF(_xlfn.MAXIFS(Interactions!$A$3:$A$502,Interactions!$B$3:$B$502,$A409)=0,"",_xlfn.MAXIFS(Interactions!$A$3:$A$502,Interactions!$B$3:$B$502,$A409)))</f>
        <v/>
      </c>
      <c r="AG409" s="32" t="str">
        <f aca="false">IF($A409="","",COUNTIFS(Opportunities!$A$3:$A$502,$A409,Opportunities!$X$3:$X$502,"Yes"))</f>
        <v/>
      </c>
      <c r="AH409" s="32" t="str">
        <f aca="false">IF($A409="","",_xlfn.TEXTJOIN(", ",TRUE(),IF(COUNTIF($A$3:$A$502,$A409)&gt;1,"Duplicate name",""),IF(OR(AND(G409=2,I409=""),AND(J409=2,L409=""),AND(M409=2,O409=""),AND(P409=2,R409="")),"Source missing for a 2",""),IF(F409="","No owner",IF(COUNTIFS(R_TeamName,F409,R_TeamActive,"No")&gt;0,"Needs new owner","")),IF(AND(V409="Yes",X409&lt;&gt;"",X409&lt;S_SemStart),"Path overdue",""),IF(AND(S409&lt;&gt;"",S409&lt;S_Today-365),"Stale research",""),IF(AND(AE409="Research",COUNTIF('Commercial Evidence'!$A$3:$A$502,$A409)=0),"Add commercial evidence","")))</f>
        <v/>
      </c>
      <c r="AI409" s="34" t="str">
        <f aca="false">IF(OR($A409="",Z409="Yes"),"",IF(AND(AE409="Priority",AG409=0,COUNTIFS(Opportunities!$A$3:$A$502,$A409,Opportunities!$Y$3:$Y$502,"Renewal due")=0),600000+(10-AC409)*1000+(4-AD409)*100+ROW()/100000,IF(V409="Yes",700000+IF(X409="",0,X409-40000)/10+ROW()/100000,IF(AND(AE409="Quick Win",U409&lt;&gt;"",AG409=0),800000+(10-AC409)*1000+ROW()/100000,IF(AND(AE409="Build a Path",COUNTIF($V$3:$V$502,"Yes")&lt;S_PathCap),900000+(10-AC409)*1000+(4-AD409)*100+ROW()/100000,"")))))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8"/>
      <c r="T410" s="27"/>
      <c r="U410" s="27"/>
      <c r="V410" s="27"/>
      <c r="W410" s="27"/>
      <c r="X410" s="28"/>
      <c r="Y410" s="27"/>
      <c r="Z410" s="27"/>
      <c r="AA410" s="27"/>
      <c r="AB410" s="32" t="str">
        <f aca="false">IF($A410="","",IF(COUNTIF('Commercial Evidence'!$A$3:$A$502,$A410)=0,"",IF(COUNTIFS('Commercial Evidence'!$A$3:$A$502,$A410,'Commercial Evidence'!$B$3:$B$502,"Previous CBS Talks spend")+COUNTIFS('Commercial Evidence'!$A$3:$A$502,$A410,'Commercial Evidence'!$B$3:$B$502,"Sponsors student organisations")&gt;0,2,IF(COUNTIFS('Commercial Evidence'!$A$3:$A$502,$A410,'Commercial Evidence'!$B$3:$B$502,"Sponsors university activities")+COUNTIFS('Commercial Evidence'!$A$3:$A$502,$A410,'Commercial Evidence'!$B$3:$B$502,"Sponsors similar events")+COUNTIFS('Commercial Evidence'!$A$3:$A$502,$A410,'Commercial Evidence'!$B$3:$B$502,"Previous CBS Talks partner")&gt;0,1,0))))</f>
        <v/>
      </c>
      <c r="AC410" s="32" t="str">
        <f aca="false">IF($A410="","",IF(COUNT(G410,J410,M410,P410,AB410)&lt;5,"",G410+J410+M410+P410+AB410))</f>
        <v/>
      </c>
      <c r="AD410" s="32" t="str">
        <f aca="false">IF($A410="","",IF(COUNTIFS(Contacts!$A$3:$A$502,$A410,Contacts!$E$3:$E$502,"Champion",Contacts!$K$3:$K$502,"&lt;&gt;Yes",Contacts!$L$3:$L$502,"&lt;&gt;Yes")+COUNTIFS(Opportunities!$A$3:$A$502,$A410,Opportunities!$C$3:$C$502,"Won",Opportunities!$Q$3:$Q$502,"Satisfied")&gt;0,4,IF(COUNTIFS(Interactions!$B$3:$B$502,$A410,Interactions!$I$3:$I$502,"Yes",Interactions!$A$3:$A$502,"&gt;="&amp;(S_Today-S_WarmDays))&gt;0,3,IF(T410&lt;&gt;"",2,IF(COUNTIFS(Contacts!$A$3:$A$502,$A410,Contacts!$M$3:$M$502,"Yes",Contacts!$K$3:$K$502,"&lt;&gt;Yes",Contacts!$L$3:$L$502,"&lt;&gt;Yes")&gt;0,1,0)))))</f>
        <v/>
      </c>
      <c r="AE410" s="32" t="str">
        <f aca="false">IF($A410="","",IF(Z410="Yes","Do not contact",IF(AC410="","Research",IF(AND(AC410&gt;=S_FitHigh,AD410&gt;=S_AccessHigh),"Priority",IF(AC410&gt;=S_FitHigh,"Build a Path",IF(AD410&gt;=S_AccessHigh,"Quick Win","Low Priority"))))))</f>
        <v/>
      </c>
      <c r="AF410" s="33" t="str">
        <f aca="false">IF($A410="","",IF(_xlfn.MAXIFS(Interactions!$A$3:$A$502,Interactions!$B$3:$B$502,$A410)=0,"",_xlfn.MAXIFS(Interactions!$A$3:$A$502,Interactions!$B$3:$B$502,$A410)))</f>
        <v/>
      </c>
      <c r="AG410" s="32" t="str">
        <f aca="false">IF($A410="","",COUNTIFS(Opportunities!$A$3:$A$502,$A410,Opportunities!$X$3:$X$502,"Yes"))</f>
        <v/>
      </c>
      <c r="AH410" s="32" t="str">
        <f aca="false">IF($A410="","",_xlfn.TEXTJOIN(", ",TRUE(),IF(COUNTIF($A$3:$A$502,$A410)&gt;1,"Duplicate name",""),IF(OR(AND(G410=2,I410=""),AND(J410=2,L410=""),AND(M410=2,O410=""),AND(P410=2,R410="")),"Source missing for a 2",""),IF(F410="","No owner",IF(COUNTIFS(R_TeamName,F410,R_TeamActive,"No")&gt;0,"Needs new owner","")),IF(AND(V410="Yes",X410&lt;&gt;"",X410&lt;S_SemStart),"Path overdue",""),IF(AND(S410&lt;&gt;"",S410&lt;S_Today-365),"Stale research",""),IF(AND(AE410="Research",COUNTIF('Commercial Evidence'!$A$3:$A$502,$A410)=0),"Add commercial evidence","")))</f>
        <v/>
      </c>
      <c r="AI410" s="34" t="str">
        <f aca="false">IF(OR($A410="",Z410="Yes"),"",IF(AND(AE410="Priority",AG410=0,COUNTIFS(Opportunities!$A$3:$A$502,$A410,Opportunities!$Y$3:$Y$502,"Renewal due")=0),600000+(10-AC410)*1000+(4-AD410)*100+ROW()/100000,IF(V410="Yes",700000+IF(X410="",0,X410-40000)/10+ROW()/100000,IF(AND(AE410="Quick Win",U410&lt;&gt;"",AG410=0),800000+(10-AC410)*1000+ROW()/100000,IF(AND(AE410="Build a Path",COUNTIF($V$3:$V$502,"Yes")&lt;S_PathCap),900000+(10-AC410)*1000+(4-AD410)*100+ROW()/100000,"")))))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8"/>
      <c r="T411" s="27"/>
      <c r="U411" s="27"/>
      <c r="V411" s="27"/>
      <c r="W411" s="27"/>
      <c r="X411" s="28"/>
      <c r="Y411" s="27"/>
      <c r="Z411" s="27"/>
      <c r="AA411" s="27"/>
      <c r="AB411" s="32" t="str">
        <f aca="false">IF($A411="","",IF(COUNTIF('Commercial Evidence'!$A$3:$A$502,$A411)=0,"",IF(COUNTIFS('Commercial Evidence'!$A$3:$A$502,$A411,'Commercial Evidence'!$B$3:$B$502,"Previous CBS Talks spend")+COUNTIFS('Commercial Evidence'!$A$3:$A$502,$A411,'Commercial Evidence'!$B$3:$B$502,"Sponsors student organisations")&gt;0,2,IF(COUNTIFS('Commercial Evidence'!$A$3:$A$502,$A411,'Commercial Evidence'!$B$3:$B$502,"Sponsors university activities")+COUNTIFS('Commercial Evidence'!$A$3:$A$502,$A411,'Commercial Evidence'!$B$3:$B$502,"Sponsors similar events")+COUNTIFS('Commercial Evidence'!$A$3:$A$502,$A411,'Commercial Evidence'!$B$3:$B$502,"Previous CBS Talks partner")&gt;0,1,0))))</f>
        <v/>
      </c>
      <c r="AC411" s="32" t="str">
        <f aca="false">IF($A411="","",IF(COUNT(G411,J411,M411,P411,AB411)&lt;5,"",G411+J411+M411+P411+AB411))</f>
        <v/>
      </c>
      <c r="AD411" s="32" t="str">
        <f aca="false">IF($A411="","",IF(COUNTIFS(Contacts!$A$3:$A$502,$A411,Contacts!$E$3:$E$502,"Champion",Contacts!$K$3:$K$502,"&lt;&gt;Yes",Contacts!$L$3:$L$502,"&lt;&gt;Yes")+COUNTIFS(Opportunities!$A$3:$A$502,$A411,Opportunities!$C$3:$C$502,"Won",Opportunities!$Q$3:$Q$502,"Satisfied")&gt;0,4,IF(COUNTIFS(Interactions!$B$3:$B$502,$A411,Interactions!$I$3:$I$502,"Yes",Interactions!$A$3:$A$502,"&gt;="&amp;(S_Today-S_WarmDays))&gt;0,3,IF(T411&lt;&gt;"",2,IF(COUNTIFS(Contacts!$A$3:$A$502,$A411,Contacts!$M$3:$M$502,"Yes",Contacts!$K$3:$K$502,"&lt;&gt;Yes",Contacts!$L$3:$L$502,"&lt;&gt;Yes")&gt;0,1,0)))))</f>
        <v/>
      </c>
      <c r="AE411" s="32" t="str">
        <f aca="false">IF($A411="","",IF(Z411="Yes","Do not contact",IF(AC411="","Research",IF(AND(AC411&gt;=S_FitHigh,AD411&gt;=S_AccessHigh),"Priority",IF(AC411&gt;=S_FitHigh,"Build a Path",IF(AD411&gt;=S_AccessHigh,"Quick Win","Low Priority"))))))</f>
        <v/>
      </c>
      <c r="AF411" s="33" t="str">
        <f aca="false">IF($A411="","",IF(_xlfn.MAXIFS(Interactions!$A$3:$A$502,Interactions!$B$3:$B$502,$A411)=0,"",_xlfn.MAXIFS(Interactions!$A$3:$A$502,Interactions!$B$3:$B$502,$A411)))</f>
        <v/>
      </c>
      <c r="AG411" s="32" t="str">
        <f aca="false">IF($A411="","",COUNTIFS(Opportunities!$A$3:$A$502,$A411,Opportunities!$X$3:$X$502,"Yes"))</f>
        <v/>
      </c>
      <c r="AH411" s="32" t="str">
        <f aca="false">IF($A411="","",_xlfn.TEXTJOIN(", ",TRUE(),IF(COUNTIF($A$3:$A$502,$A411)&gt;1,"Duplicate name",""),IF(OR(AND(G411=2,I411=""),AND(J411=2,L411=""),AND(M411=2,O411=""),AND(P411=2,R411="")),"Source missing for a 2",""),IF(F411="","No owner",IF(COUNTIFS(R_TeamName,F411,R_TeamActive,"No")&gt;0,"Needs new owner","")),IF(AND(V411="Yes",X411&lt;&gt;"",X411&lt;S_SemStart),"Path overdue",""),IF(AND(S411&lt;&gt;"",S411&lt;S_Today-365),"Stale research",""),IF(AND(AE411="Research",COUNTIF('Commercial Evidence'!$A$3:$A$502,$A411)=0),"Add commercial evidence","")))</f>
        <v/>
      </c>
      <c r="AI411" s="34" t="str">
        <f aca="false">IF(OR($A411="",Z411="Yes"),"",IF(AND(AE411="Priority",AG411=0,COUNTIFS(Opportunities!$A$3:$A$502,$A411,Opportunities!$Y$3:$Y$502,"Renewal due")=0),600000+(10-AC411)*1000+(4-AD411)*100+ROW()/100000,IF(V411="Yes",700000+IF(X411="",0,X411-40000)/10+ROW()/100000,IF(AND(AE411="Quick Win",U411&lt;&gt;"",AG411=0),800000+(10-AC411)*1000+ROW()/100000,IF(AND(AE411="Build a Path",COUNTIF($V$3:$V$502,"Yes")&lt;S_PathCap),900000+(10-AC411)*1000+(4-AD411)*100+ROW()/100000,"")))))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8"/>
      <c r="T412" s="27"/>
      <c r="U412" s="27"/>
      <c r="V412" s="27"/>
      <c r="W412" s="27"/>
      <c r="X412" s="28"/>
      <c r="Y412" s="27"/>
      <c r="Z412" s="27"/>
      <c r="AA412" s="27"/>
      <c r="AB412" s="32" t="str">
        <f aca="false">IF($A412="","",IF(COUNTIF('Commercial Evidence'!$A$3:$A$502,$A412)=0,"",IF(COUNTIFS('Commercial Evidence'!$A$3:$A$502,$A412,'Commercial Evidence'!$B$3:$B$502,"Previous CBS Talks spend")+COUNTIFS('Commercial Evidence'!$A$3:$A$502,$A412,'Commercial Evidence'!$B$3:$B$502,"Sponsors student organisations")&gt;0,2,IF(COUNTIFS('Commercial Evidence'!$A$3:$A$502,$A412,'Commercial Evidence'!$B$3:$B$502,"Sponsors university activities")+COUNTIFS('Commercial Evidence'!$A$3:$A$502,$A412,'Commercial Evidence'!$B$3:$B$502,"Sponsors similar events")+COUNTIFS('Commercial Evidence'!$A$3:$A$502,$A412,'Commercial Evidence'!$B$3:$B$502,"Previous CBS Talks partner")&gt;0,1,0))))</f>
        <v/>
      </c>
      <c r="AC412" s="32" t="str">
        <f aca="false">IF($A412="","",IF(COUNT(G412,J412,M412,P412,AB412)&lt;5,"",G412+J412+M412+P412+AB412))</f>
        <v/>
      </c>
      <c r="AD412" s="32" t="str">
        <f aca="false">IF($A412="","",IF(COUNTIFS(Contacts!$A$3:$A$502,$A412,Contacts!$E$3:$E$502,"Champion",Contacts!$K$3:$K$502,"&lt;&gt;Yes",Contacts!$L$3:$L$502,"&lt;&gt;Yes")+COUNTIFS(Opportunities!$A$3:$A$502,$A412,Opportunities!$C$3:$C$502,"Won",Opportunities!$Q$3:$Q$502,"Satisfied")&gt;0,4,IF(COUNTIFS(Interactions!$B$3:$B$502,$A412,Interactions!$I$3:$I$502,"Yes",Interactions!$A$3:$A$502,"&gt;="&amp;(S_Today-S_WarmDays))&gt;0,3,IF(T412&lt;&gt;"",2,IF(COUNTIFS(Contacts!$A$3:$A$502,$A412,Contacts!$M$3:$M$502,"Yes",Contacts!$K$3:$K$502,"&lt;&gt;Yes",Contacts!$L$3:$L$502,"&lt;&gt;Yes")&gt;0,1,0)))))</f>
        <v/>
      </c>
      <c r="AE412" s="32" t="str">
        <f aca="false">IF($A412="","",IF(Z412="Yes","Do not contact",IF(AC412="","Research",IF(AND(AC412&gt;=S_FitHigh,AD412&gt;=S_AccessHigh),"Priority",IF(AC412&gt;=S_FitHigh,"Build a Path",IF(AD412&gt;=S_AccessHigh,"Quick Win","Low Priority"))))))</f>
        <v/>
      </c>
      <c r="AF412" s="33" t="str">
        <f aca="false">IF($A412="","",IF(_xlfn.MAXIFS(Interactions!$A$3:$A$502,Interactions!$B$3:$B$502,$A412)=0,"",_xlfn.MAXIFS(Interactions!$A$3:$A$502,Interactions!$B$3:$B$502,$A412)))</f>
        <v/>
      </c>
      <c r="AG412" s="32" t="str">
        <f aca="false">IF($A412="","",COUNTIFS(Opportunities!$A$3:$A$502,$A412,Opportunities!$X$3:$X$502,"Yes"))</f>
        <v/>
      </c>
      <c r="AH412" s="32" t="str">
        <f aca="false">IF($A412="","",_xlfn.TEXTJOIN(", ",TRUE(),IF(COUNTIF($A$3:$A$502,$A412)&gt;1,"Duplicate name",""),IF(OR(AND(G412=2,I412=""),AND(J412=2,L412=""),AND(M412=2,O412=""),AND(P412=2,R412="")),"Source missing for a 2",""),IF(F412="","No owner",IF(COUNTIFS(R_TeamName,F412,R_TeamActive,"No")&gt;0,"Needs new owner","")),IF(AND(V412="Yes",X412&lt;&gt;"",X412&lt;S_SemStart),"Path overdue",""),IF(AND(S412&lt;&gt;"",S412&lt;S_Today-365),"Stale research",""),IF(AND(AE412="Research",COUNTIF('Commercial Evidence'!$A$3:$A$502,$A412)=0),"Add commercial evidence","")))</f>
        <v/>
      </c>
      <c r="AI412" s="34" t="str">
        <f aca="false">IF(OR($A412="",Z412="Yes"),"",IF(AND(AE412="Priority",AG412=0,COUNTIFS(Opportunities!$A$3:$A$502,$A412,Opportunities!$Y$3:$Y$502,"Renewal due")=0),600000+(10-AC412)*1000+(4-AD412)*100+ROW()/100000,IF(V412="Yes",700000+IF(X412="",0,X412-40000)/10+ROW()/100000,IF(AND(AE412="Quick Win",U412&lt;&gt;"",AG412=0),800000+(10-AC412)*1000+ROW()/100000,IF(AND(AE412="Build a Path",COUNTIF($V$3:$V$502,"Yes")&lt;S_PathCap),900000+(10-AC412)*1000+(4-AD412)*100+ROW()/100000,"")))))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8"/>
      <c r="T413" s="27"/>
      <c r="U413" s="27"/>
      <c r="V413" s="27"/>
      <c r="W413" s="27"/>
      <c r="X413" s="28"/>
      <c r="Y413" s="27"/>
      <c r="Z413" s="27"/>
      <c r="AA413" s="27"/>
      <c r="AB413" s="32" t="str">
        <f aca="false">IF($A413="","",IF(COUNTIF('Commercial Evidence'!$A$3:$A$502,$A413)=0,"",IF(COUNTIFS('Commercial Evidence'!$A$3:$A$502,$A413,'Commercial Evidence'!$B$3:$B$502,"Previous CBS Talks spend")+COUNTIFS('Commercial Evidence'!$A$3:$A$502,$A413,'Commercial Evidence'!$B$3:$B$502,"Sponsors student organisations")&gt;0,2,IF(COUNTIFS('Commercial Evidence'!$A$3:$A$502,$A413,'Commercial Evidence'!$B$3:$B$502,"Sponsors university activities")+COUNTIFS('Commercial Evidence'!$A$3:$A$502,$A413,'Commercial Evidence'!$B$3:$B$502,"Sponsors similar events")+COUNTIFS('Commercial Evidence'!$A$3:$A$502,$A413,'Commercial Evidence'!$B$3:$B$502,"Previous CBS Talks partner")&gt;0,1,0))))</f>
        <v/>
      </c>
      <c r="AC413" s="32" t="str">
        <f aca="false">IF($A413="","",IF(COUNT(G413,J413,M413,P413,AB413)&lt;5,"",G413+J413+M413+P413+AB413))</f>
        <v/>
      </c>
      <c r="AD413" s="32" t="str">
        <f aca="false">IF($A413="","",IF(COUNTIFS(Contacts!$A$3:$A$502,$A413,Contacts!$E$3:$E$502,"Champion",Contacts!$K$3:$K$502,"&lt;&gt;Yes",Contacts!$L$3:$L$502,"&lt;&gt;Yes")+COUNTIFS(Opportunities!$A$3:$A$502,$A413,Opportunities!$C$3:$C$502,"Won",Opportunities!$Q$3:$Q$502,"Satisfied")&gt;0,4,IF(COUNTIFS(Interactions!$B$3:$B$502,$A413,Interactions!$I$3:$I$502,"Yes",Interactions!$A$3:$A$502,"&gt;="&amp;(S_Today-S_WarmDays))&gt;0,3,IF(T413&lt;&gt;"",2,IF(COUNTIFS(Contacts!$A$3:$A$502,$A413,Contacts!$M$3:$M$502,"Yes",Contacts!$K$3:$K$502,"&lt;&gt;Yes",Contacts!$L$3:$L$502,"&lt;&gt;Yes")&gt;0,1,0)))))</f>
        <v/>
      </c>
      <c r="AE413" s="32" t="str">
        <f aca="false">IF($A413="","",IF(Z413="Yes","Do not contact",IF(AC413="","Research",IF(AND(AC413&gt;=S_FitHigh,AD413&gt;=S_AccessHigh),"Priority",IF(AC413&gt;=S_FitHigh,"Build a Path",IF(AD413&gt;=S_AccessHigh,"Quick Win","Low Priority"))))))</f>
        <v/>
      </c>
      <c r="AF413" s="33" t="str">
        <f aca="false">IF($A413="","",IF(_xlfn.MAXIFS(Interactions!$A$3:$A$502,Interactions!$B$3:$B$502,$A413)=0,"",_xlfn.MAXIFS(Interactions!$A$3:$A$502,Interactions!$B$3:$B$502,$A413)))</f>
        <v/>
      </c>
      <c r="AG413" s="32" t="str">
        <f aca="false">IF($A413="","",COUNTIFS(Opportunities!$A$3:$A$502,$A413,Opportunities!$X$3:$X$502,"Yes"))</f>
        <v/>
      </c>
      <c r="AH413" s="32" t="str">
        <f aca="false">IF($A413="","",_xlfn.TEXTJOIN(", ",TRUE(),IF(COUNTIF($A$3:$A$502,$A413)&gt;1,"Duplicate name",""),IF(OR(AND(G413=2,I413=""),AND(J413=2,L413=""),AND(M413=2,O413=""),AND(P413=2,R413="")),"Source missing for a 2",""),IF(F413="","No owner",IF(COUNTIFS(R_TeamName,F413,R_TeamActive,"No")&gt;0,"Needs new owner","")),IF(AND(V413="Yes",X413&lt;&gt;"",X413&lt;S_SemStart),"Path overdue",""),IF(AND(S413&lt;&gt;"",S413&lt;S_Today-365),"Stale research",""),IF(AND(AE413="Research",COUNTIF('Commercial Evidence'!$A$3:$A$502,$A413)=0),"Add commercial evidence","")))</f>
        <v/>
      </c>
      <c r="AI413" s="34" t="str">
        <f aca="false">IF(OR($A413="",Z413="Yes"),"",IF(AND(AE413="Priority",AG413=0,COUNTIFS(Opportunities!$A$3:$A$502,$A413,Opportunities!$Y$3:$Y$502,"Renewal due")=0),600000+(10-AC413)*1000+(4-AD413)*100+ROW()/100000,IF(V413="Yes",700000+IF(X413="",0,X413-40000)/10+ROW()/100000,IF(AND(AE413="Quick Win",U413&lt;&gt;"",AG413=0),800000+(10-AC413)*1000+ROW()/100000,IF(AND(AE413="Build a Path",COUNTIF($V$3:$V$502,"Yes")&lt;S_PathCap),900000+(10-AC413)*1000+(4-AD413)*100+ROW()/100000,"")))))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8"/>
      <c r="T414" s="27"/>
      <c r="U414" s="27"/>
      <c r="V414" s="27"/>
      <c r="W414" s="27"/>
      <c r="X414" s="28"/>
      <c r="Y414" s="27"/>
      <c r="Z414" s="27"/>
      <c r="AA414" s="27"/>
      <c r="AB414" s="32" t="str">
        <f aca="false">IF($A414="","",IF(COUNTIF('Commercial Evidence'!$A$3:$A$502,$A414)=0,"",IF(COUNTIFS('Commercial Evidence'!$A$3:$A$502,$A414,'Commercial Evidence'!$B$3:$B$502,"Previous CBS Talks spend")+COUNTIFS('Commercial Evidence'!$A$3:$A$502,$A414,'Commercial Evidence'!$B$3:$B$502,"Sponsors student organisations")&gt;0,2,IF(COUNTIFS('Commercial Evidence'!$A$3:$A$502,$A414,'Commercial Evidence'!$B$3:$B$502,"Sponsors university activities")+COUNTIFS('Commercial Evidence'!$A$3:$A$502,$A414,'Commercial Evidence'!$B$3:$B$502,"Sponsors similar events")+COUNTIFS('Commercial Evidence'!$A$3:$A$502,$A414,'Commercial Evidence'!$B$3:$B$502,"Previous CBS Talks partner")&gt;0,1,0))))</f>
        <v/>
      </c>
      <c r="AC414" s="32" t="str">
        <f aca="false">IF($A414="","",IF(COUNT(G414,J414,M414,P414,AB414)&lt;5,"",G414+J414+M414+P414+AB414))</f>
        <v/>
      </c>
      <c r="AD414" s="32" t="str">
        <f aca="false">IF($A414="","",IF(COUNTIFS(Contacts!$A$3:$A$502,$A414,Contacts!$E$3:$E$502,"Champion",Contacts!$K$3:$K$502,"&lt;&gt;Yes",Contacts!$L$3:$L$502,"&lt;&gt;Yes")+COUNTIFS(Opportunities!$A$3:$A$502,$A414,Opportunities!$C$3:$C$502,"Won",Opportunities!$Q$3:$Q$502,"Satisfied")&gt;0,4,IF(COUNTIFS(Interactions!$B$3:$B$502,$A414,Interactions!$I$3:$I$502,"Yes",Interactions!$A$3:$A$502,"&gt;="&amp;(S_Today-S_WarmDays))&gt;0,3,IF(T414&lt;&gt;"",2,IF(COUNTIFS(Contacts!$A$3:$A$502,$A414,Contacts!$M$3:$M$502,"Yes",Contacts!$K$3:$K$502,"&lt;&gt;Yes",Contacts!$L$3:$L$502,"&lt;&gt;Yes")&gt;0,1,0)))))</f>
        <v/>
      </c>
      <c r="AE414" s="32" t="str">
        <f aca="false">IF($A414="","",IF(Z414="Yes","Do not contact",IF(AC414="","Research",IF(AND(AC414&gt;=S_FitHigh,AD414&gt;=S_AccessHigh),"Priority",IF(AC414&gt;=S_FitHigh,"Build a Path",IF(AD414&gt;=S_AccessHigh,"Quick Win","Low Priority"))))))</f>
        <v/>
      </c>
      <c r="AF414" s="33" t="str">
        <f aca="false">IF($A414="","",IF(_xlfn.MAXIFS(Interactions!$A$3:$A$502,Interactions!$B$3:$B$502,$A414)=0,"",_xlfn.MAXIFS(Interactions!$A$3:$A$502,Interactions!$B$3:$B$502,$A414)))</f>
        <v/>
      </c>
      <c r="AG414" s="32" t="str">
        <f aca="false">IF($A414="","",COUNTIFS(Opportunities!$A$3:$A$502,$A414,Opportunities!$X$3:$X$502,"Yes"))</f>
        <v/>
      </c>
      <c r="AH414" s="32" t="str">
        <f aca="false">IF($A414="","",_xlfn.TEXTJOIN(", ",TRUE(),IF(COUNTIF($A$3:$A$502,$A414)&gt;1,"Duplicate name",""),IF(OR(AND(G414=2,I414=""),AND(J414=2,L414=""),AND(M414=2,O414=""),AND(P414=2,R414="")),"Source missing for a 2",""),IF(F414="","No owner",IF(COUNTIFS(R_TeamName,F414,R_TeamActive,"No")&gt;0,"Needs new owner","")),IF(AND(V414="Yes",X414&lt;&gt;"",X414&lt;S_SemStart),"Path overdue",""),IF(AND(S414&lt;&gt;"",S414&lt;S_Today-365),"Stale research",""),IF(AND(AE414="Research",COUNTIF('Commercial Evidence'!$A$3:$A$502,$A414)=0),"Add commercial evidence","")))</f>
        <v/>
      </c>
      <c r="AI414" s="34" t="str">
        <f aca="false">IF(OR($A414="",Z414="Yes"),"",IF(AND(AE414="Priority",AG414=0,COUNTIFS(Opportunities!$A$3:$A$502,$A414,Opportunities!$Y$3:$Y$502,"Renewal due")=0),600000+(10-AC414)*1000+(4-AD414)*100+ROW()/100000,IF(V414="Yes",700000+IF(X414="",0,X414-40000)/10+ROW()/100000,IF(AND(AE414="Quick Win",U414&lt;&gt;"",AG414=0),800000+(10-AC414)*1000+ROW()/100000,IF(AND(AE414="Build a Path",COUNTIF($V$3:$V$502,"Yes")&lt;S_PathCap),900000+(10-AC414)*1000+(4-AD414)*100+ROW()/100000,"")))))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8"/>
      <c r="T415" s="27"/>
      <c r="U415" s="27"/>
      <c r="V415" s="27"/>
      <c r="W415" s="27"/>
      <c r="X415" s="28"/>
      <c r="Y415" s="27"/>
      <c r="Z415" s="27"/>
      <c r="AA415" s="27"/>
      <c r="AB415" s="32" t="str">
        <f aca="false">IF($A415="","",IF(COUNTIF('Commercial Evidence'!$A$3:$A$502,$A415)=0,"",IF(COUNTIFS('Commercial Evidence'!$A$3:$A$502,$A415,'Commercial Evidence'!$B$3:$B$502,"Previous CBS Talks spend")+COUNTIFS('Commercial Evidence'!$A$3:$A$502,$A415,'Commercial Evidence'!$B$3:$B$502,"Sponsors student organisations")&gt;0,2,IF(COUNTIFS('Commercial Evidence'!$A$3:$A$502,$A415,'Commercial Evidence'!$B$3:$B$502,"Sponsors university activities")+COUNTIFS('Commercial Evidence'!$A$3:$A$502,$A415,'Commercial Evidence'!$B$3:$B$502,"Sponsors similar events")+COUNTIFS('Commercial Evidence'!$A$3:$A$502,$A415,'Commercial Evidence'!$B$3:$B$502,"Previous CBS Talks partner")&gt;0,1,0))))</f>
        <v/>
      </c>
      <c r="AC415" s="32" t="str">
        <f aca="false">IF($A415="","",IF(COUNT(G415,J415,M415,P415,AB415)&lt;5,"",G415+J415+M415+P415+AB415))</f>
        <v/>
      </c>
      <c r="AD415" s="32" t="str">
        <f aca="false">IF($A415="","",IF(COUNTIFS(Contacts!$A$3:$A$502,$A415,Contacts!$E$3:$E$502,"Champion",Contacts!$K$3:$K$502,"&lt;&gt;Yes",Contacts!$L$3:$L$502,"&lt;&gt;Yes")+COUNTIFS(Opportunities!$A$3:$A$502,$A415,Opportunities!$C$3:$C$502,"Won",Opportunities!$Q$3:$Q$502,"Satisfied")&gt;0,4,IF(COUNTIFS(Interactions!$B$3:$B$502,$A415,Interactions!$I$3:$I$502,"Yes",Interactions!$A$3:$A$502,"&gt;="&amp;(S_Today-S_WarmDays))&gt;0,3,IF(T415&lt;&gt;"",2,IF(COUNTIFS(Contacts!$A$3:$A$502,$A415,Contacts!$M$3:$M$502,"Yes",Contacts!$K$3:$K$502,"&lt;&gt;Yes",Contacts!$L$3:$L$502,"&lt;&gt;Yes")&gt;0,1,0)))))</f>
        <v/>
      </c>
      <c r="AE415" s="32" t="str">
        <f aca="false">IF($A415="","",IF(Z415="Yes","Do not contact",IF(AC415="","Research",IF(AND(AC415&gt;=S_FitHigh,AD415&gt;=S_AccessHigh),"Priority",IF(AC415&gt;=S_FitHigh,"Build a Path",IF(AD415&gt;=S_AccessHigh,"Quick Win","Low Priority"))))))</f>
        <v/>
      </c>
      <c r="AF415" s="33" t="str">
        <f aca="false">IF($A415="","",IF(_xlfn.MAXIFS(Interactions!$A$3:$A$502,Interactions!$B$3:$B$502,$A415)=0,"",_xlfn.MAXIFS(Interactions!$A$3:$A$502,Interactions!$B$3:$B$502,$A415)))</f>
        <v/>
      </c>
      <c r="AG415" s="32" t="str">
        <f aca="false">IF($A415="","",COUNTIFS(Opportunities!$A$3:$A$502,$A415,Opportunities!$X$3:$X$502,"Yes"))</f>
        <v/>
      </c>
      <c r="AH415" s="32" t="str">
        <f aca="false">IF($A415="","",_xlfn.TEXTJOIN(", ",TRUE(),IF(COUNTIF($A$3:$A$502,$A415)&gt;1,"Duplicate name",""),IF(OR(AND(G415=2,I415=""),AND(J415=2,L415=""),AND(M415=2,O415=""),AND(P415=2,R415="")),"Source missing for a 2",""),IF(F415="","No owner",IF(COUNTIFS(R_TeamName,F415,R_TeamActive,"No")&gt;0,"Needs new owner","")),IF(AND(V415="Yes",X415&lt;&gt;"",X415&lt;S_SemStart),"Path overdue",""),IF(AND(S415&lt;&gt;"",S415&lt;S_Today-365),"Stale research",""),IF(AND(AE415="Research",COUNTIF('Commercial Evidence'!$A$3:$A$502,$A415)=0),"Add commercial evidence","")))</f>
        <v/>
      </c>
      <c r="AI415" s="34" t="str">
        <f aca="false">IF(OR($A415="",Z415="Yes"),"",IF(AND(AE415="Priority",AG415=0,COUNTIFS(Opportunities!$A$3:$A$502,$A415,Opportunities!$Y$3:$Y$502,"Renewal due")=0),600000+(10-AC415)*1000+(4-AD415)*100+ROW()/100000,IF(V415="Yes",700000+IF(X415="",0,X415-40000)/10+ROW()/100000,IF(AND(AE415="Quick Win",U415&lt;&gt;"",AG415=0),800000+(10-AC415)*1000+ROW()/100000,IF(AND(AE415="Build a Path",COUNTIF($V$3:$V$502,"Yes")&lt;S_PathCap),900000+(10-AC415)*1000+(4-AD415)*100+ROW()/100000,"")))))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8"/>
      <c r="T416" s="27"/>
      <c r="U416" s="27"/>
      <c r="V416" s="27"/>
      <c r="W416" s="27"/>
      <c r="X416" s="28"/>
      <c r="Y416" s="27"/>
      <c r="Z416" s="27"/>
      <c r="AA416" s="27"/>
      <c r="AB416" s="32" t="str">
        <f aca="false">IF($A416="","",IF(COUNTIF('Commercial Evidence'!$A$3:$A$502,$A416)=0,"",IF(COUNTIFS('Commercial Evidence'!$A$3:$A$502,$A416,'Commercial Evidence'!$B$3:$B$502,"Previous CBS Talks spend")+COUNTIFS('Commercial Evidence'!$A$3:$A$502,$A416,'Commercial Evidence'!$B$3:$B$502,"Sponsors student organisations")&gt;0,2,IF(COUNTIFS('Commercial Evidence'!$A$3:$A$502,$A416,'Commercial Evidence'!$B$3:$B$502,"Sponsors university activities")+COUNTIFS('Commercial Evidence'!$A$3:$A$502,$A416,'Commercial Evidence'!$B$3:$B$502,"Sponsors similar events")+COUNTIFS('Commercial Evidence'!$A$3:$A$502,$A416,'Commercial Evidence'!$B$3:$B$502,"Previous CBS Talks partner")&gt;0,1,0))))</f>
        <v/>
      </c>
      <c r="AC416" s="32" t="str">
        <f aca="false">IF($A416="","",IF(COUNT(G416,J416,M416,P416,AB416)&lt;5,"",G416+J416+M416+P416+AB416))</f>
        <v/>
      </c>
      <c r="AD416" s="32" t="str">
        <f aca="false">IF($A416="","",IF(COUNTIFS(Contacts!$A$3:$A$502,$A416,Contacts!$E$3:$E$502,"Champion",Contacts!$K$3:$K$502,"&lt;&gt;Yes",Contacts!$L$3:$L$502,"&lt;&gt;Yes")+COUNTIFS(Opportunities!$A$3:$A$502,$A416,Opportunities!$C$3:$C$502,"Won",Opportunities!$Q$3:$Q$502,"Satisfied")&gt;0,4,IF(COUNTIFS(Interactions!$B$3:$B$502,$A416,Interactions!$I$3:$I$502,"Yes",Interactions!$A$3:$A$502,"&gt;="&amp;(S_Today-S_WarmDays))&gt;0,3,IF(T416&lt;&gt;"",2,IF(COUNTIFS(Contacts!$A$3:$A$502,$A416,Contacts!$M$3:$M$502,"Yes",Contacts!$K$3:$K$502,"&lt;&gt;Yes",Contacts!$L$3:$L$502,"&lt;&gt;Yes")&gt;0,1,0)))))</f>
        <v/>
      </c>
      <c r="AE416" s="32" t="str">
        <f aca="false">IF($A416="","",IF(Z416="Yes","Do not contact",IF(AC416="","Research",IF(AND(AC416&gt;=S_FitHigh,AD416&gt;=S_AccessHigh),"Priority",IF(AC416&gt;=S_FitHigh,"Build a Path",IF(AD416&gt;=S_AccessHigh,"Quick Win","Low Priority"))))))</f>
        <v/>
      </c>
      <c r="AF416" s="33" t="str">
        <f aca="false">IF($A416="","",IF(_xlfn.MAXIFS(Interactions!$A$3:$A$502,Interactions!$B$3:$B$502,$A416)=0,"",_xlfn.MAXIFS(Interactions!$A$3:$A$502,Interactions!$B$3:$B$502,$A416)))</f>
        <v/>
      </c>
      <c r="AG416" s="32" t="str">
        <f aca="false">IF($A416="","",COUNTIFS(Opportunities!$A$3:$A$502,$A416,Opportunities!$X$3:$X$502,"Yes"))</f>
        <v/>
      </c>
      <c r="AH416" s="32" t="str">
        <f aca="false">IF($A416="","",_xlfn.TEXTJOIN(", ",TRUE(),IF(COUNTIF($A$3:$A$502,$A416)&gt;1,"Duplicate name",""),IF(OR(AND(G416=2,I416=""),AND(J416=2,L416=""),AND(M416=2,O416=""),AND(P416=2,R416="")),"Source missing for a 2",""),IF(F416="","No owner",IF(COUNTIFS(R_TeamName,F416,R_TeamActive,"No")&gt;0,"Needs new owner","")),IF(AND(V416="Yes",X416&lt;&gt;"",X416&lt;S_SemStart),"Path overdue",""),IF(AND(S416&lt;&gt;"",S416&lt;S_Today-365),"Stale research",""),IF(AND(AE416="Research",COUNTIF('Commercial Evidence'!$A$3:$A$502,$A416)=0),"Add commercial evidence","")))</f>
        <v/>
      </c>
      <c r="AI416" s="34" t="str">
        <f aca="false">IF(OR($A416="",Z416="Yes"),"",IF(AND(AE416="Priority",AG416=0,COUNTIFS(Opportunities!$A$3:$A$502,$A416,Opportunities!$Y$3:$Y$502,"Renewal due")=0),600000+(10-AC416)*1000+(4-AD416)*100+ROW()/100000,IF(V416="Yes",700000+IF(X416="",0,X416-40000)/10+ROW()/100000,IF(AND(AE416="Quick Win",U416&lt;&gt;"",AG416=0),800000+(10-AC416)*1000+ROW()/100000,IF(AND(AE416="Build a Path",COUNTIF($V$3:$V$502,"Yes")&lt;S_PathCap),900000+(10-AC416)*1000+(4-AD416)*100+ROW()/100000,"")))))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8"/>
      <c r="T417" s="27"/>
      <c r="U417" s="27"/>
      <c r="V417" s="27"/>
      <c r="W417" s="27"/>
      <c r="X417" s="28"/>
      <c r="Y417" s="27"/>
      <c r="Z417" s="27"/>
      <c r="AA417" s="27"/>
      <c r="AB417" s="32" t="str">
        <f aca="false">IF($A417="","",IF(COUNTIF('Commercial Evidence'!$A$3:$A$502,$A417)=0,"",IF(COUNTIFS('Commercial Evidence'!$A$3:$A$502,$A417,'Commercial Evidence'!$B$3:$B$502,"Previous CBS Talks spend")+COUNTIFS('Commercial Evidence'!$A$3:$A$502,$A417,'Commercial Evidence'!$B$3:$B$502,"Sponsors student organisations")&gt;0,2,IF(COUNTIFS('Commercial Evidence'!$A$3:$A$502,$A417,'Commercial Evidence'!$B$3:$B$502,"Sponsors university activities")+COUNTIFS('Commercial Evidence'!$A$3:$A$502,$A417,'Commercial Evidence'!$B$3:$B$502,"Sponsors similar events")+COUNTIFS('Commercial Evidence'!$A$3:$A$502,$A417,'Commercial Evidence'!$B$3:$B$502,"Previous CBS Talks partner")&gt;0,1,0))))</f>
        <v/>
      </c>
      <c r="AC417" s="32" t="str">
        <f aca="false">IF($A417="","",IF(COUNT(G417,J417,M417,P417,AB417)&lt;5,"",G417+J417+M417+P417+AB417))</f>
        <v/>
      </c>
      <c r="AD417" s="32" t="str">
        <f aca="false">IF($A417="","",IF(COUNTIFS(Contacts!$A$3:$A$502,$A417,Contacts!$E$3:$E$502,"Champion",Contacts!$K$3:$K$502,"&lt;&gt;Yes",Contacts!$L$3:$L$502,"&lt;&gt;Yes")+COUNTIFS(Opportunities!$A$3:$A$502,$A417,Opportunities!$C$3:$C$502,"Won",Opportunities!$Q$3:$Q$502,"Satisfied")&gt;0,4,IF(COUNTIFS(Interactions!$B$3:$B$502,$A417,Interactions!$I$3:$I$502,"Yes",Interactions!$A$3:$A$502,"&gt;="&amp;(S_Today-S_WarmDays))&gt;0,3,IF(T417&lt;&gt;"",2,IF(COUNTIFS(Contacts!$A$3:$A$502,$A417,Contacts!$M$3:$M$502,"Yes",Contacts!$K$3:$K$502,"&lt;&gt;Yes",Contacts!$L$3:$L$502,"&lt;&gt;Yes")&gt;0,1,0)))))</f>
        <v/>
      </c>
      <c r="AE417" s="32" t="str">
        <f aca="false">IF($A417="","",IF(Z417="Yes","Do not contact",IF(AC417="","Research",IF(AND(AC417&gt;=S_FitHigh,AD417&gt;=S_AccessHigh),"Priority",IF(AC417&gt;=S_FitHigh,"Build a Path",IF(AD417&gt;=S_AccessHigh,"Quick Win","Low Priority"))))))</f>
        <v/>
      </c>
      <c r="AF417" s="33" t="str">
        <f aca="false">IF($A417="","",IF(_xlfn.MAXIFS(Interactions!$A$3:$A$502,Interactions!$B$3:$B$502,$A417)=0,"",_xlfn.MAXIFS(Interactions!$A$3:$A$502,Interactions!$B$3:$B$502,$A417)))</f>
        <v/>
      </c>
      <c r="AG417" s="32" t="str">
        <f aca="false">IF($A417="","",COUNTIFS(Opportunities!$A$3:$A$502,$A417,Opportunities!$X$3:$X$502,"Yes"))</f>
        <v/>
      </c>
      <c r="AH417" s="32" t="str">
        <f aca="false">IF($A417="","",_xlfn.TEXTJOIN(", ",TRUE(),IF(COUNTIF($A$3:$A$502,$A417)&gt;1,"Duplicate name",""),IF(OR(AND(G417=2,I417=""),AND(J417=2,L417=""),AND(M417=2,O417=""),AND(P417=2,R417="")),"Source missing for a 2",""),IF(F417="","No owner",IF(COUNTIFS(R_TeamName,F417,R_TeamActive,"No")&gt;0,"Needs new owner","")),IF(AND(V417="Yes",X417&lt;&gt;"",X417&lt;S_SemStart),"Path overdue",""),IF(AND(S417&lt;&gt;"",S417&lt;S_Today-365),"Stale research",""),IF(AND(AE417="Research",COUNTIF('Commercial Evidence'!$A$3:$A$502,$A417)=0),"Add commercial evidence","")))</f>
        <v/>
      </c>
      <c r="AI417" s="34" t="str">
        <f aca="false">IF(OR($A417="",Z417="Yes"),"",IF(AND(AE417="Priority",AG417=0,COUNTIFS(Opportunities!$A$3:$A$502,$A417,Opportunities!$Y$3:$Y$502,"Renewal due")=0),600000+(10-AC417)*1000+(4-AD417)*100+ROW()/100000,IF(V417="Yes",700000+IF(X417="",0,X417-40000)/10+ROW()/100000,IF(AND(AE417="Quick Win",U417&lt;&gt;"",AG417=0),800000+(10-AC417)*1000+ROW()/100000,IF(AND(AE417="Build a Path",COUNTIF($V$3:$V$502,"Yes")&lt;S_PathCap),900000+(10-AC417)*1000+(4-AD417)*100+ROW()/100000,"")))))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8"/>
      <c r="T418" s="27"/>
      <c r="U418" s="27"/>
      <c r="V418" s="27"/>
      <c r="W418" s="27"/>
      <c r="X418" s="28"/>
      <c r="Y418" s="27"/>
      <c r="Z418" s="27"/>
      <c r="AA418" s="27"/>
      <c r="AB418" s="32" t="str">
        <f aca="false">IF($A418="","",IF(COUNTIF('Commercial Evidence'!$A$3:$A$502,$A418)=0,"",IF(COUNTIFS('Commercial Evidence'!$A$3:$A$502,$A418,'Commercial Evidence'!$B$3:$B$502,"Previous CBS Talks spend")+COUNTIFS('Commercial Evidence'!$A$3:$A$502,$A418,'Commercial Evidence'!$B$3:$B$502,"Sponsors student organisations")&gt;0,2,IF(COUNTIFS('Commercial Evidence'!$A$3:$A$502,$A418,'Commercial Evidence'!$B$3:$B$502,"Sponsors university activities")+COUNTIFS('Commercial Evidence'!$A$3:$A$502,$A418,'Commercial Evidence'!$B$3:$B$502,"Sponsors similar events")+COUNTIFS('Commercial Evidence'!$A$3:$A$502,$A418,'Commercial Evidence'!$B$3:$B$502,"Previous CBS Talks partner")&gt;0,1,0))))</f>
        <v/>
      </c>
      <c r="AC418" s="32" t="str">
        <f aca="false">IF($A418="","",IF(COUNT(G418,J418,M418,P418,AB418)&lt;5,"",G418+J418+M418+P418+AB418))</f>
        <v/>
      </c>
      <c r="AD418" s="32" t="str">
        <f aca="false">IF($A418="","",IF(COUNTIFS(Contacts!$A$3:$A$502,$A418,Contacts!$E$3:$E$502,"Champion",Contacts!$K$3:$K$502,"&lt;&gt;Yes",Contacts!$L$3:$L$502,"&lt;&gt;Yes")+COUNTIFS(Opportunities!$A$3:$A$502,$A418,Opportunities!$C$3:$C$502,"Won",Opportunities!$Q$3:$Q$502,"Satisfied")&gt;0,4,IF(COUNTIFS(Interactions!$B$3:$B$502,$A418,Interactions!$I$3:$I$502,"Yes",Interactions!$A$3:$A$502,"&gt;="&amp;(S_Today-S_WarmDays))&gt;0,3,IF(T418&lt;&gt;"",2,IF(COUNTIFS(Contacts!$A$3:$A$502,$A418,Contacts!$M$3:$M$502,"Yes",Contacts!$K$3:$K$502,"&lt;&gt;Yes",Contacts!$L$3:$L$502,"&lt;&gt;Yes")&gt;0,1,0)))))</f>
        <v/>
      </c>
      <c r="AE418" s="32" t="str">
        <f aca="false">IF($A418="","",IF(Z418="Yes","Do not contact",IF(AC418="","Research",IF(AND(AC418&gt;=S_FitHigh,AD418&gt;=S_AccessHigh),"Priority",IF(AC418&gt;=S_FitHigh,"Build a Path",IF(AD418&gt;=S_AccessHigh,"Quick Win","Low Priority"))))))</f>
        <v/>
      </c>
      <c r="AF418" s="33" t="str">
        <f aca="false">IF($A418="","",IF(_xlfn.MAXIFS(Interactions!$A$3:$A$502,Interactions!$B$3:$B$502,$A418)=0,"",_xlfn.MAXIFS(Interactions!$A$3:$A$502,Interactions!$B$3:$B$502,$A418)))</f>
        <v/>
      </c>
      <c r="AG418" s="32" t="str">
        <f aca="false">IF($A418="","",COUNTIFS(Opportunities!$A$3:$A$502,$A418,Opportunities!$X$3:$X$502,"Yes"))</f>
        <v/>
      </c>
      <c r="AH418" s="32" t="str">
        <f aca="false">IF($A418="","",_xlfn.TEXTJOIN(", ",TRUE(),IF(COUNTIF($A$3:$A$502,$A418)&gt;1,"Duplicate name",""),IF(OR(AND(G418=2,I418=""),AND(J418=2,L418=""),AND(M418=2,O418=""),AND(P418=2,R418="")),"Source missing for a 2",""),IF(F418="","No owner",IF(COUNTIFS(R_TeamName,F418,R_TeamActive,"No")&gt;0,"Needs new owner","")),IF(AND(V418="Yes",X418&lt;&gt;"",X418&lt;S_SemStart),"Path overdue",""),IF(AND(S418&lt;&gt;"",S418&lt;S_Today-365),"Stale research",""),IF(AND(AE418="Research",COUNTIF('Commercial Evidence'!$A$3:$A$502,$A418)=0),"Add commercial evidence","")))</f>
        <v/>
      </c>
      <c r="AI418" s="34" t="str">
        <f aca="false">IF(OR($A418="",Z418="Yes"),"",IF(AND(AE418="Priority",AG418=0,COUNTIFS(Opportunities!$A$3:$A$502,$A418,Opportunities!$Y$3:$Y$502,"Renewal due")=0),600000+(10-AC418)*1000+(4-AD418)*100+ROW()/100000,IF(V418="Yes",700000+IF(X418="",0,X418-40000)/10+ROW()/100000,IF(AND(AE418="Quick Win",U418&lt;&gt;"",AG418=0),800000+(10-AC418)*1000+ROW()/100000,IF(AND(AE418="Build a Path",COUNTIF($V$3:$V$502,"Yes")&lt;S_PathCap),900000+(10-AC418)*1000+(4-AD418)*100+ROW()/100000,"")))))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8"/>
      <c r="T419" s="27"/>
      <c r="U419" s="27"/>
      <c r="V419" s="27"/>
      <c r="W419" s="27"/>
      <c r="X419" s="28"/>
      <c r="Y419" s="27"/>
      <c r="Z419" s="27"/>
      <c r="AA419" s="27"/>
      <c r="AB419" s="32" t="str">
        <f aca="false">IF($A419="","",IF(COUNTIF('Commercial Evidence'!$A$3:$A$502,$A419)=0,"",IF(COUNTIFS('Commercial Evidence'!$A$3:$A$502,$A419,'Commercial Evidence'!$B$3:$B$502,"Previous CBS Talks spend")+COUNTIFS('Commercial Evidence'!$A$3:$A$502,$A419,'Commercial Evidence'!$B$3:$B$502,"Sponsors student organisations")&gt;0,2,IF(COUNTIFS('Commercial Evidence'!$A$3:$A$502,$A419,'Commercial Evidence'!$B$3:$B$502,"Sponsors university activities")+COUNTIFS('Commercial Evidence'!$A$3:$A$502,$A419,'Commercial Evidence'!$B$3:$B$502,"Sponsors similar events")+COUNTIFS('Commercial Evidence'!$A$3:$A$502,$A419,'Commercial Evidence'!$B$3:$B$502,"Previous CBS Talks partner")&gt;0,1,0))))</f>
        <v/>
      </c>
      <c r="AC419" s="32" t="str">
        <f aca="false">IF($A419="","",IF(COUNT(G419,J419,M419,P419,AB419)&lt;5,"",G419+J419+M419+P419+AB419))</f>
        <v/>
      </c>
      <c r="AD419" s="32" t="str">
        <f aca="false">IF($A419="","",IF(COUNTIFS(Contacts!$A$3:$A$502,$A419,Contacts!$E$3:$E$502,"Champion",Contacts!$K$3:$K$502,"&lt;&gt;Yes",Contacts!$L$3:$L$502,"&lt;&gt;Yes")+COUNTIFS(Opportunities!$A$3:$A$502,$A419,Opportunities!$C$3:$C$502,"Won",Opportunities!$Q$3:$Q$502,"Satisfied")&gt;0,4,IF(COUNTIFS(Interactions!$B$3:$B$502,$A419,Interactions!$I$3:$I$502,"Yes",Interactions!$A$3:$A$502,"&gt;="&amp;(S_Today-S_WarmDays))&gt;0,3,IF(T419&lt;&gt;"",2,IF(COUNTIFS(Contacts!$A$3:$A$502,$A419,Contacts!$M$3:$M$502,"Yes",Contacts!$K$3:$K$502,"&lt;&gt;Yes",Contacts!$L$3:$L$502,"&lt;&gt;Yes")&gt;0,1,0)))))</f>
        <v/>
      </c>
      <c r="AE419" s="32" t="str">
        <f aca="false">IF($A419="","",IF(Z419="Yes","Do not contact",IF(AC419="","Research",IF(AND(AC419&gt;=S_FitHigh,AD419&gt;=S_AccessHigh),"Priority",IF(AC419&gt;=S_FitHigh,"Build a Path",IF(AD419&gt;=S_AccessHigh,"Quick Win","Low Priority"))))))</f>
        <v/>
      </c>
      <c r="AF419" s="33" t="str">
        <f aca="false">IF($A419="","",IF(_xlfn.MAXIFS(Interactions!$A$3:$A$502,Interactions!$B$3:$B$502,$A419)=0,"",_xlfn.MAXIFS(Interactions!$A$3:$A$502,Interactions!$B$3:$B$502,$A419)))</f>
        <v/>
      </c>
      <c r="AG419" s="32" t="str">
        <f aca="false">IF($A419="","",COUNTIFS(Opportunities!$A$3:$A$502,$A419,Opportunities!$X$3:$X$502,"Yes"))</f>
        <v/>
      </c>
      <c r="AH419" s="32" t="str">
        <f aca="false">IF($A419="","",_xlfn.TEXTJOIN(", ",TRUE(),IF(COUNTIF($A$3:$A$502,$A419)&gt;1,"Duplicate name",""),IF(OR(AND(G419=2,I419=""),AND(J419=2,L419=""),AND(M419=2,O419=""),AND(P419=2,R419="")),"Source missing for a 2",""),IF(F419="","No owner",IF(COUNTIFS(R_TeamName,F419,R_TeamActive,"No")&gt;0,"Needs new owner","")),IF(AND(V419="Yes",X419&lt;&gt;"",X419&lt;S_SemStart),"Path overdue",""),IF(AND(S419&lt;&gt;"",S419&lt;S_Today-365),"Stale research",""),IF(AND(AE419="Research",COUNTIF('Commercial Evidence'!$A$3:$A$502,$A419)=0),"Add commercial evidence","")))</f>
        <v/>
      </c>
      <c r="AI419" s="34" t="str">
        <f aca="false">IF(OR($A419="",Z419="Yes"),"",IF(AND(AE419="Priority",AG419=0,COUNTIFS(Opportunities!$A$3:$A$502,$A419,Opportunities!$Y$3:$Y$502,"Renewal due")=0),600000+(10-AC419)*1000+(4-AD419)*100+ROW()/100000,IF(V419="Yes",700000+IF(X419="",0,X419-40000)/10+ROW()/100000,IF(AND(AE419="Quick Win",U419&lt;&gt;"",AG419=0),800000+(10-AC419)*1000+ROW()/100000,IF(AND(AE419="Build a Path",COUNTIF($V$3:$V$502,"Yes")&lt;S_PathCap),900000+(10-AC419)*1000+(4-AD419)*100+ROW()/100000,"")))))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8"/>
      <c r="T420" s="27"/>
      <c r="U420" s="27"/>
      <c r="V420" s="27"/>
      <c r="W420" s="27"/>
      <c r="X420" s="28"/>
      <c r="Y420" s="27"/>
      <c r="Z420" s="27"/>
      <c r="AA420" s="27"/>
      <c r="AB420" s="32" t="str">
        <f aca="false">IF($A420="","",IF(COUNTIF('Commercial Evidence'!$A$3:$A$502,$A420)=0,"",IF(COUNTIFS('Commercial Evidence'!$A$3:$A$502,$A420,'Commercial Evidence'!$B$3:$B$502,"Previous CBS Talks spend")+COUNTIFS('Commercial Evidence'!$A$3:$A$502,$A420,'Commercial Evidence'!$B$3:$B$502,"Sponsors student organisations")&gt;0,2,IF(COUNTIFS('Commercial Evidence'!$A$3:$A$502,$A420,'Commercial Evidence'!$B$3:$B$502,"Sponsors university activities")+COUNTIFS('Commercial Evidence'!$A$3:$A$502,$A420,'Commercial Evidence'!$B$3:$B$502,"Sponsors similar events")+COUNTIFS('Commercial Evidence'!$A$3:$A$502,$A420,'Commercial Evidence'!$B$3:$B$502,"Previous CBS Talks partner")&gt;0,1,0))))</f>
        <v/>
      </c>
      <c r="AC420" s="32" t="str">
        <f aca="false">IF($A420="","",IF(COUNT(G420,J420,M420,P420,AB420)&lt;5,"",G420+J420+M420+P420+AB420))</f>
        <v/>
      </c>
      <c r="AD420" s="32" t="str">
        <f aca="false">IF($A420="","",IF(COUNTIFS(Contacts!$A$3:$A$502,$A420,Contacts!$E$3:$E$502,"Champion",Contacts!$K$3:$K$502,"&lt;&gt;Yes",Contacts!$L$3:$L$502,"&lt;&gt;Yes")+COUNTIFS(Opportunities!$A$3:$A$502,$A420,Opportunities!$C$3:$C$502,"Won",Opportunities!$Q$3:$Q$502,"Satisfied")&gt;0,4,IF(COUNTIFS(Interactions!$B$3:$B$502,$A420,Interactions!$I$3:$I$502,"Yes",Interactions!$A$3:$A$502,"&gt;="&amp;(S_Today-S_WarmDays))&gt;0,3,IF(T420&lt;&gt;"",2,IF(COUNTIFS(Contacts!$A$3:$A$502,$A420,Contacts!$M$3:$M$502,"Yes",Contacts!$K$3:$K$502,"&lt;&gt;Yes",Contacts!$L$3:$L$502,"&lt;&gt;Yes")&gt;0,1,0)))))</f>
        <v/>
      </c>
      <c r="AE420" s="32" t="str">
        <f aca="false">IF($A420="","",IF(Z420="Yes","Do not contact",IF(AC420="","Research",IF(AND(AC420&gt;=S_FitHigh,AD420&gt;=S_AccessHigh),"Priority",IF(AC420&gt;=S_FitHigh,"Build a Path",IF(AD420&gt;=S_AccessHigh,"Quick Win","Low Priority"))))))</f>
        <v/>
      </c>
      <c r="AF420" s="33" t="str">
        <f aca="false">IF($A420="","",IF(_xlfn.MAXIFS(Interactions!$A$3:$A$502,Interactions!$B$3:$B$502,$A420)=0,"",_xlfn.MAXIFS(Interactions!$A$3:$A$502,Interactions!$B$3:$B$502,$A420)))</f>
        <v/>
      </c>
      <c r="AG420" s="32" t="str">
        <f aca="false">IF($A420="","",COUNTIFS(Opportunities!$A$3:$A$502,$A420,Opportunities!$X$3:$X$502,"Yes"))</f>
        <v/>
      </c>
      <c r="AH420" s="32" t="str">
        <f aca="false">IF($A420="","",_xlfn.TEXTJOIN(", ",TRUE(),IF(COUNTIF($A$3:$A$502,$A420)&gt;1,"Duplicate name",""),IF(OR(AND(G420=2,I420=""),AND(J420=2,L420=""),AND(M420=2,O420=""),AND(P420=2,R420="")),"Source missing for a 2",""),IF(F420="","No owner",IF(COUNTIFS(R_TeamName,F420,R_TeamActive,"No")&gt;0,"Needs new owner","")),IF(AND(V420="Yes",X420&lt;&gt;"",X420&lt;S_SemStart),"Path overdue",""),IF(AND(S420&lt;&gt;"",S420&lt;S_Today-365),"Stale research",""),IF(AND(AE420="Research",COUNTIF('Commercial Evidence'!$A$3:$A$502,$A420)=0),"Add commercial evidence","")))</f>
        <v/>
      </c>
      <c r="AI420" s="34" t="str">
        <f aca="false">IF(OR($A420="",Z420="Yes"),"",IF(AND(AE420="Priority",AG420=0,COUNTIFS(Opportunities!$A$3:$A$502,$A420,Opportunities!$Y$3:$Y$502,"Renewal due")=0),600000+(10-AC420)*1000+(4-AD420)*100+ROW()/100000,IF(V420="Yes",700000+IF(X420="",0,X420-40000)/10+ROW()/100000,IF(AND(AE420="Quick Win",U420&lt;&gt;"",AG420=0),800000+(10-AC420)*1000+ROW()/100000,IF(AND(AE420="Build a Path",COUNTIF($V$3:$V$502,"Yes")&lt;S_PathCap),900000+(10-AC420)*1000+(4-AD420)*100+ROW()/100000,"")))))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8"/>
      <c r="T421" s="27"/>
      <c r="U421" s="27"/>
      <c r="V421" s="27"/>
      <c r="W421" s="27"/>
      <c r="X421" s="28"/>
      <c r="Y421" s="27"/>
      <c r="Z421" s="27"/>
      <c r="AA421" s="27"/>
      <c r="AB421" s="32" t="str">
        <f aca="false">IF($A421="","",IF(COUNTIF('Commercial Evidence'!$A$3:$A$502,$A421)=0,"",IF(COUNTIFS('Commercial Evidence'!$A$3:$A$502,$A421,'Commercial Evidence'!$B$3:$B$502,"Previous CBS Talks spend")+COUNTIFS('Commercial Evidence'!$A$3:$A$502,$A421,'Commercial Evidence'!$B$3:$B$502,"Sponsors student organisations")&gt;0,2,IF(COUNTIFS('Commercial Evidence'!$A$3:$A$502,$A421,'Commercial Evidence'!$B$3:$B$502,"Sponsors university activities")+COUNTIFS('Commercial Evidence'!$A$3:$A$502,$A421,'Commercial Evidence'!$B$3:$B$502,"Sponsors similar events")+COUNTIFS('Commercial Evidence'!$A$3:$A$502,$A421,'Commercial Evidence'!$B$3:$B$502,"Previous CBS Talks partner")&gt;0,1,0))))</f>
        <v/>
      </c>
      <c r="AC421" s="32" t="str">
        <f aca="false">IF($A421="","",IF(COUNT(G421,J421,M421,P421,AB421)&lt;5,"",G421+J421+M421+P421+AB421))</f>
        <v/>
      </c>
      <c r="AD421" s="32" t="str">
        <f aca="false">IF($A421="","",IF(COUNTIFS(Contacts!$A$3:$A$502,$A421,Contacts!$E$3:$E$502,"Champion",Contacts!$K$3:$K$502,"&lt;&gt;Yes",Contacts!$L$3:$L$502,"&lt;&gt;Yes")+COUNTIFS(Opportunities!$A$3:$A$502,$A421,Opportunities!$C$3:$C$502,"Won",Opportunities!$Q$3:$Q$502,"Satisfied")&gt;0,4,IF(COUNTIFS(Interactions!$B$3:$B$502,$A421,Interactions!$I$3:$I$502,"Yes",Interactions!$A$3:$A$502,"&gt;="&amp;(S_Today-S_WarmDays))&gt;0,3,IF(T421&lt;&gt;"",2,IF(COUNTIFS(Contacts!$A$3:$A$502,$A421,Contacts!$M$3:$M$502,"Yes",Contacts!$K$3:$K$502,"&lt;&gt;Yes",Contacts!$L$3:$L$502,"&lt;&gt;Yes")&gt;0,1,0)))))</f>
        <v/>
      </c>
      <c r="AE421" s="32" t="str">
        <f aca="false">IF($A421="","",IF(Z421="Yes","Do not contact",IF(AC421="","Research",IF(AND(AC421&gt;=S_FitHigh,AD421&gt;=S_AccessHigh),"Priority",IF(AC421&gt;=S_FitHigh,"Build a Path",IF(AD421&gt;=S_AccessHigh,"Quick Win","Low Priority"))))))</f>
        <v/>
      </c>
      <c r="AF421" s="33" t="str">
        <f aca="false">IF($A421="","",IF(_xlfn.MAXIFS(Interactions!$A$3:$A$502,Interactions!$B$3:$B$502,$A421)=0,"",_xlfn.MAXIFS(Interactions!$A$3:$A$502,Interactions!$B$3:$B$502,$A421)))</f>
        <v/>
      </c>
      <c r="AG421" s="32" t="str">
        <f aca="false">IF($A421="","",COUNTIFS(Opportunities!$A$3:$A$502,$A421,Opportunities!$X$3:$X$502,"Yes"))</f>
        <v/>
      </c>
      <c r="AH421" s="32" t="str">
        <f aca="false">IF($A421="","",_xlfn.TEXTJOIN(", ",TRUE(),IF(COUNTIF($A$3:$A$502,$A421)&gt;1,"Duplicate name",""),IF(OR(AND(G421=2,I421=""),AND(J421=2,L421=""),AND(M421=2,O421=""),AND(P421=2,R421="")),"Source missing for a 2",""),IF(F421="","No owner",IF(COUNTIFS(R_TeamName,F421,R_TeamActive,"No")&gt;0,"Needs new owner","")),IF(AND(V421="Yes",X421&lt;&gt;"",X421&lt;S_SemStart),"Path overdue",""),IF(AND(S421&lt;&gt;"",S421&lt;S_Today-365),"Stale research",""),IF(AND(AE421="Research",COUNTIF('Commercial Evidence'!$A$3:$A$502,$A421)=0),"Add commercial evidence","")))</f>
        <v/>
      </c>
      <c r="AI421" s="34" t="str">
        <f aca="false">IF(OR($A421="",Z421="Yes"),"",IF(AND(AE421="Priority",AG421=0,COUNTIFS(Opportunities!$A$3:$A$502,$A421,Opportunities!$Y$3:$Y$502,"Renewal due")=0),600000+(10-AC421)*1000+(4-AD421)*100+ROW()/100000,IF(V421="Yes",700000+IF(X421="",0,X421-40000)/10+ROW()/100000,IF(AND(AE421="Quick Win",U421&lt;&gt;"",AG421=0),800000+(10-AC421)*1000+ROW()/100000,IF(AND(AE421="Build a Path",COUNTIF($V$3:$V$502,"Yes")&lt;S_PathCap),900000+(10-AC421)*1000+(4-AD421)*100+ROW()/100000,"")))))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8"/>
      <c r="T422" s="27"/>
      <c r="U422" s="27"/>
      <c r="V422" s="27"/>
      <c r="W422" s="27"/>
      <c r="X422" s="28"/>
      <c r="Y422" s="27"/>
      <c r="Z422" s="27"/>
      <c r="AA422" s="27"/>
      <c r="AB422" s="32" t="str">
        <f aca="false">IF($A422="","",IF(COUNTIF('Commercial Evidence'!$A$3:$A$502,$A422)=0,"",IF(COUNTIFS('Commercial Evidence'!$A$3:$A$502,$A422,'Commercial Evidence'!$B$3:$B$502,"Previous CBS Talks spend")+COUNTIFS('Commercial Evidence'!$A$3:$A$502,$A422,'Commercial Evidence'!$B$3:$B$502,"Sponsors student organisations")&gt;0,2,IF(COUNTIFS('Commercial Evidence'!$A$3:$A$502,$A422,'Commercial Evidence'!$B$3:$B$502,"Sponsors university activities")+COUNTIFS('Commercial Evidence'!$A$3:$A$502,$A422,'Commercial Evidence'!$B$3:$B$502,"Sponsors similar events")+COUNTIFS('Commercial Evidence'!$A$3:$A$502,$A422,'Commercial Evidence'!$B$3:$B$502,"Previous CBS Talks partner")&gt;0,1,0))))</f>
        <v/>
      </c>
      <c r="AC422" s="32" t="str">
        <f aca="false">IF($A422="","",IF(COUNT(G422,J422,M422,P422,AB422)&lt;5,"",G422+J422+M422+P422+AB422))</f>
        <v/>
      </c>
      <c r="AD422" s="32" t="str">
        <f aca="false">IF($A422="","",IF(COUNTIFS(Contacts!$A$3:$A$502,$A422,Contacts!$E$3:$E$502,"Champion",Contacts!$K$3:$K$502,"&lt;&gt;Yes",Contacts!$L$3:$L$502,"&lt;&gt;Yes")+COUNTIFS(Opportunities!$A$3:$A$502,$A422,Opportunities!$C$3:$C$502,"Won",Opportunities!$Q$3:$Q$502,"Satisfied")&gt;0,4,IF(COUNTIFS(Interactions!$B$3:$B$502,$A422,Interactions!$I$3:$I$502,"Yes",Interactions!$A$3:$A$502,"&gt;="&amp;(S_Today-S_WarmDays))&gt;0,3,IF(T422&lt;&gt;"",2,IF(COUNTIFS(Contacts!$A$3:$A$502,$A422,Contacts!$M$3:$M$502,"Yes",Contacts!$K$3:$K$502,"&lt;&gt;Yes",Contacts!$L$3:$L$502,"&lt;&gt;Yes")&gt;0,1,0)))))</f>
        <v/>
      </c>
      <c r="AE422" s="32" t="str">
        <f aca="false">IF($A422="","",IF(Z422="Yes","Do not contact",IF(AC422="","Research",IF(AND(AC422&gt;=S_FitHigh,AD422&gt;=S_AccessHigh),"Priority",IF(AC422&gt;=S_FitHigh,"Build a Path",IF(AD422&gt;=S_AccessHigh,"Quick Win","Low Priority"))))))</f>
        <v/>
      </c>
      <c r="AF422" s="33" t="str">
        <f aca="false">IF($A422="","",IF(_xlfn.MAXIFS(Interactions!$A$3:$A$502,Interactions!$B$3:$B$502,$A422)=0,"",_xlfn.MAXIFS(Interactions!$A$3:$A$502,Interactions!$B$3:$B$502,$A422)))</f>
        <v/>
      </c>
      <c r="AG422" s="32" t="str">
        <f aca="false">IF($A422="","",COUNTIFS(Opportunities!$A$3:$A$502,$A422,Opportunities!$X$3:$X$502,"Yes"))</f>
        <v/>
      </c>
      <c r="AH422" s="32" t="str">
        <f aca="false">IF($A422="","",_xlfn.TEXTJOIN(", ",TRUE(),IF(COUNTIF($A$3:$A$502,$A422)&gt;1,"Duplicate name",""),IF(OR(AND(G422=2,I422=""),AND(J422=2,L422=""),AND(M422=2,O422=""),AND(P422=2,R422="")),"Source missing for a 2",""),IF(F422="","No owner",IF(COUNTIFS(R_TeamName,F422,R_TeamActive,"No")&gt;0,"Needs new owner","")),IF(AND(V422="Yes",X422&lt;&gt;"",X422&lt;S_SemStart),"Path overdue",""),IF(AND(S422&lt;&gt;"",S422&lt;S_Today-365),"Stale research",""),IF(AND(AE422="Research",COUNTIF('Commercial Evidence'!$A$3:$A$502,$A422)=0),"Add commercial evidence","")))</f>
        <v/>
      </c>
      <c r="AI422" s="34" t="str">
        <f aca="false">IF(OR($A422="",Z422="Yes"),"",IF(AND(AE422="Priority",AG422=0,COUNTIFS(Opportunities!$A$3:$A$502,$A422,Opportunities!$Y$3:$Y$502,"Renewal due")=0),600000+(10-AC422)*1000+(4-AD422)*100+ROW()/100000,IF(V422="Yes",700000+IF(X422="",0,X422-40000)/10+ROW()/100000,IF(AND(AE422="Quick Win",U422&lt;&gt;"",AG422=0),800000+(10-AC422)*1000+ROW()/100000,IF(AND(AE422="Build a Path",COUNTIF($V$3:$V$502,"Yes")&lt;S_PathCap),900000+(10-AC422)*1000+(4-AD422)*100+ROW()/100000,"")))))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8"/>
      <c r="T423" s="27"/>
      <c r="U423" s="27"/>
      <c r="V423" s="27"/>
      <c r="W423" s="27"/>
      <c r="X423" s="28"/>
      <c r="Y423" s="27"/>
      <c r="Z423" s="27"/>
      <c r="AA423" s="27"/>
      <c r="AB423" s="32" t="str">
        <f aca="false">IF($A423="","",IF(COUNTIF('Commercial Evidence'!$A$3:$A$502,$A423)=0,"",IF(COUNTIFS('Commercial Evidence'!$A$3:$A$502,$A423,'Commercial Evidence'!$B$3:$B$502,"Previous CBS Talks spend")+COUNTIFS('Commercial Evidence'!$A$3:$A$502,$A423,'Commercial Evidence'!$B$3:$B$502,"Sponsors student organisations")&gt;0,2,IF(COUNTIFS('Commercial Evidence'!$A$3:$A$502,$A423,'Commercial Evidence'!$B$3:$B$502,"Sponsors university activities")+COUNTIFS('Commercial Evidence'!$A$3:$A$502,$A423,'Commercial Evidence'!$B$3:$B$502,"Sponsors similar events")+COUNTIFS('Commercial Evidence'!$A$3:$A$502,$A423,'Commercial Evidence'!$B$3:$B$502,"Previous CBS Talks partner")&gt;0,1,0))))</f>
        <v/>
      </c>
      <c r="AC423" s="32" t="str">
        <f aca="false">IF($A423="","",IF(COUNT(G423,J423,M423,P423,AB423)&lt;5,"",G423+J423+M423+P423+AB423))</f>
        <v/>
      </c>
      <c r="AD423" s="32" t="str">
        <f aca="false">IF($A423="","",IF(COUNTIFS(Contacts!$A$3:$A$502,$A423,Contacts!$E$3:$E$502,"Champion",Contacts!$K$3:$K$502,"&lt;&gt;Yes",Contacts!$L$3:$L$502,"&lt;&gt;Yes")+COUNTIFS(Opportunities!$A$3:$A$502,$A423,Opportunities!$C$3:$C$502,"Won",Opportunities!$Q$3:$Q$502,"Satisfied")&gt;0,4,IF(COUNTIFS(Interactions!$B$3:$B$502,$A423,Interactions!$I$3:$I$502,"Yes",Interactions!$A$3:$A$502,"&gt;="&amp;(S_Today-S_WarmDays))&gt;0,3,IF(T423&lt;&gt;"",2,IF(COUNTIFS(Contacts!$A$3:$A$502,$A423,Contacts!$M$3:$M$502,"Yes",Contacts!$K$3:$K$502,"&lt;&gt;Yes",Contacts!$L$3:$L$502,"&lt;&gt;Yes")&gt;0,1,0)))))</f>
        <v/>
      </c>
      <c r="AE423" s="32" t="str">
        <f aca="false">IF($A423="","",IF(Z423="Yes","Do not contact",IF(AC423="","Research",IF(AND(AC423&gt;=S_FitHigh,AD423&gt;=S_AccessHigh),"Priority",IF(AC423&gt;=S_FitHigh,"Build a Path",IF(AD423&gt;=S_AccessHigh,"Quick Win","Low Priority"))))))</f>
        <v/>
      </c>
      <c r="AF423" s="33" t="str">
        <f aca="false">IF($A423="","",IF(_xlfn.MAXIFS(Interactions!$A$3:$A$502,Interactions!$B$3:$B$502,$A423)=0,"",_xlfn.MAXIFS(Interactions!$A$3:$A$502,Interactions!$B$3:$B$502,$A423)))</f>
        <v/>
      </c>
      <c r="AG423" s="32" t="str">
        <f aca="false">IF($A423="","",COUNTIFS(Opportunities!$A$3:$A$502,$A423,Opportunities!$X$3:$X$502,"Yes"))</f>
        <v/>
      </c>
      <c r="AH423" s="32" t="str">
        <f aca="false">IF($A423="","",_xlfn.TEXTJOIN(", ",TRUE(),IF(COUNTIF($A$3:$A$502,$A423)&gt;1,"Duplicate name",""),IF(OR(AND(G423=2,I423=""),AND(J423=2,L423=""),AND(M423=2,O423=""),AND(P423=2,R423="")),"Source missing for a 2",""),IF(F423="","No owner",IF(COUNTIFS(R_TeamName,F423,R_TeamActive,"No")&gt;0,"Needs new owner","")),IF(AND(V423="Yes",X423&lt;&gt;"",X423&lt;S_SemStart),"Path overdue",""),IF(AND(S423&lt;&gt;"",S423&lt;S_Today-365),"Stale research",""),IF(AND(AE423="Research",COUNTIF('Commercial Evidence'!$A$3:$A$502,$A423)=0),"Add commercial evidence","")))</f>
        <v/>
      </c>
      <c r="AI423" s="34" t="str">
        <f aca="false">IF(OR($A423="",Z423="Yes"),"",IF(AND(AE423="Priority",AG423=0,COUNTIFS(Opportunities!$A$3:$A$502,$A423,Opportunities!$Y$3:$Y$502,"Renewal due")=0),600000+(10-AC423)*1000+(4-AD423)*100+ROW()/100000,IF(V423="Yes",700000+IF(X423="",0,X423-40000)/10+ROW()/100000,IF(AND(AE423="Quick Win",U423&lt;&gt;"",AG423=0),800000+(10-AC423)*1000+ROW()/100000,IF(AND(AE423="Build a Path",COUNTIF($V$3:$V$502,"Yes")&lt;S_PathCap),900000+(10-AC423)*1000+(4-AD423)*100+ROW()/100000,"")))))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8"/>
      <c r="T424" s="27"/>
      <c r="U424" s="27"/>
      <c r="V424" s="27"/>
      <c r="W424" s="27"/>
      <c r="X424" s="28"/>
      <c r="Y424" s="27"/>
      <c r="Z424" s="27"/>
      <c r="AA424" s="27"/>
      <c r="AB424" s="32" t="str">
        <f aca="false">IF($A424="","",IF(COUNTIF('Commercial Evidence'!$A$3:$A$502,$A424)=0,"",IF(COUNTIFS('Commercial Evidence'!$A$3:$A$502,$A424,'Commercial Evidence'!$B$3:$B$502,"Previous CBS Talks spend")+COUNTIFS('Commercial Evidence'!$A$3:$A$502,$A424,'Commercial Evidence'!$B$3:$B$502,"Sponsors student organisations")&gt;0,2,IF(COUNTIFS('Commercial Evidence'!$A$3:$A$502,$A424,'Commercial Evidence'!$B$3:$B$502,"Sponsors university activities")+COUNTIFS('Commercial Evidence'!$A$3:$A$502,$A424,'Commercial Evidence'!$B$3:$B$502,"Sponsors similar events")+COUNTIFS('Commercial Evidence'!$A$3:$A$502,$A424,'Commercial Evidence'!$B$3:$B$502,"Previous CBS Talks partner")&gt;0,1,0))))</f>
        <v/>
      </c>
      <c r="AC424" s="32" t="str">
        <f aca="false">IF($A424="","",IF(COUNT(G424,J424,M424,P424,AB424)&lt;5,"",G424+J424+M424+P424+AB424))</f>
        <v/>
      </c>
      <c r="AD424" s="32" t="str">
        <f aca="false">IF($A424="","",IF(COUNTIFS(Contacts!$A$3:$A$502,$A424,Contacts!$E$3:$E$502,"Champion",Contacts!$K$3:$K$502,"&lt;&gt;Yes",Contacts!$L$3:$L$502,"&lt;&gt;Yes")+COUNTIFS(Opportunities!$A$3:$A$502,$A424,Opportunities!$C$3:$C$502,"Won",Opportunities!$Q$3:$Q$502,"Satisfied")&gt;0,4,IF(COUNTIFS(Interactions!$B$3:$B$502,$A424,Interactions!$I$3:$I$502,"Yes",Interactions!$A$3:$A$502,"&gt;="&amp;(S_Today-S_WarmDays))&gt;0,3,IF(T424&lt;&gt;"",2,IF(COUNTIFS(Contacts!$A$3:$A$502,$A424,Contacts!$M$3:$M$502,"Yes",Contacts!$K$3:$K$502,"&lt;&gt;Yes",Contacts!$L$3:$L$502,"&lt;&gt;Yes")&gt;0,1,0)))))</f>
        <v/>
      </c>
      <c r="AE424" s="32" t="str">
        <f aca="false">IF($A424="","",IF(Z424="Yes","Do not contact",IF(AC424="","Research",IF(AND(AC424&gt;=S_FitHigh,AD424&gt;=S_AccessHigh),"Priority",IF(AC424&gt;=S_FitHigh,"Build a Path",IF(AD424&gt;=S_AccessHigh,"Quick Win","Low Priority"))))))</f>
        <v/>
      </c>
      <c r="AF424" s="33" t="str">
        <f aca="false">IF($A424="","",IF(_xlfn.MAXIFS(Interactions!$A$3:$A$502,Interactions!$B$3:$B$502,$A424)=0,"",_xlfn.MAXIFS(Interactions!$A$3:$A$502,Interactions!$B$3:$B$502,$A424)))</f>
        <v/>
      </c>
      <c r="AG424" s="32" t="str">
        <f aca="false">IF($A424="","",COUNTIFS(Opportunities!$A$3:$A$502,$A424,Opportunities!$X$3:$X$502,"Yes"))</f>
        <v/>
      </c>
      <c r="AH424" s="32" t="str">
        <f aca="false">IF($A424="","",_xlfn.TEXTJOIN(", ",TRUE(),IF(COUNTIF($A$3:$A$502,$A424)&gt;1,"Duplicate name",""),IF(OR(AND(G424=2,I424=""),AND(J424=2,L424=""),AND(M424=2,O424=""),AND(P424=2,R424="")),"Source missing for a 2",""),IF(F424="","No owner",IF(COUNTIFS(R_TeamName,F424,R_TeamActive,"No")&gt;0,"Needs new owner","")),IF(AND(V424="Yes",X424&lt;&gt;"",X424&lt;S_SemStart),"Path overdue",""),IF(AND(S424&lt;&gt;"",S424&lt;S_Today-365),"Stale research",""),IF(AND(AE424="Research",COUNTIF('Commercial Evidence'!$A$3:$A$502,$A424)=0),"Add commercial evidence","")))</f>
        <v/>
      </c>
      <c r="AI424" s="34" t="str">
        <f aca="false">IF(OR($A424="",Z424="Yes"),"",IF(AND(AE424="Priority",AG424=0,COUNTIFS(Opportunities!$A$3:$A$502,$A424,Opportunities!$Y$3:$Y$502,"Renewal due")=0),600000+(10-AC424)*1000+(4-AD424)*100+ROW()/100000,IF(V424="Yes",700000+IF(X424="",0,X424-40000)/10+ROW()/100000,IF(AND(AE424="Quick Win",U424&lt;&gt;"",AG424=0),800000+(10-AC424)*1000+ROW()/100000,IF(AND(AE424="Build a Path",COUNTIF($V$3:$V$502,"Yes")&lt;S_PathCap),900000+(10-AC424)*1000+(4-AD424)*100+ROW()/100000,"")))))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8"/>
      <c r="T425" s="27"/>
      <c r="U425" s="27"/>
      <c r="V425" s="27"/>
      <c r="W425" s="27"/>
      <c r="X425" s="28"/>
      <c r="Y425" s="27"/>
      <c r="Z425" s="27"/>
      <c r="AA425" s="27"/>
      <c r="AB425" s="32" t="str">
        <f aca="false">IF($A425="","",IF(COUNTIF('Commercial Evidence'!$A$3:$A$502,$A425)=0,"",IF(COUNTIFS('Commercial Evidence'!$A$3:$A$502,$A425,'Commercial Evidence'!$B$3:$B$502,"Previous CBS Talks spend")+COUNTIFS('Commercial Evidence'!$A$3:$A$502,$A425,'Commercial Evidence'!$B$3:$B$502,"Sponsors student organisations")&gt;0,2,IF(COUNTIFS('Commercial Evidence'!$A$3:$A$502,$A425,'Commercial Evidence'!$B$3:$B$502,"Sponsors university activities")+COUNTIFS('Commercial Evidence'!$A$3:$A$502,$A425,'Commercial Evidence'!$B$3:$B$502,"Sponsors similar events")+COUNTIFS('Commercial Evidence'!$A$3:$A$502,$A425,'Commercial Evidence'!$B$3:$B$502,"Previous CBS Talks partner")&gt;0,1,0))))</f>
        <v/>
      </c>
      <c r="AC425" s="32" t="str">
        <f aca="false">IF($A425="","",IF(COUNT(G425,J425,M425,P425,AB425)&lt;5,"",G425+J425+M425+P425+AB425))</f>
        <v/>
      </c>
      <c r="AD425" s="32" t="str">
        <f aca="false">IF($A425="","",IF(COUNTIFS(Contacts!$A$3:$A$502,$A425,Contacts!$E$3:$E$502,"Champion",Contacts!$K$3:$K$502,"&lt;&gt;Yes",Contacts!$L$3:$L$502,"&lt;&gt;Yes")+COUNTIFS(Opportunities!$A$3:$A$502,$A425,Opportunities!$C$3:$C$502,"Won",Opportunities!$Q$3:$Q$502,"Satisfied")&gt;0,4,IF(COUNTIFS(Interactions!$B$3:$B$502,$A425,Interactions!$I$3:$I$502,"Yes",Interactions!$A$3:$A$502,"&gt;="&amp;(S_Today-S_WarmDays))&gt;0,3,IF(T425&lt;&gt;"",2,IF(COUNTIFS(Contacts!$A$3:$A$502,$A425,Contacts!$M$3:$M$502,"Yes",Contacts!$K$3:$K$502,"&lt;&gt;Yes",Contacts!$L$3:$L$502,"&lt;&gt;Yes")&gt;0,1,0)))))</f>
        <v/>
      </c>
      <c r="AE425" s="32" t="str">
        <f aca="false">IF($A425="","",IF(Z425="Yes","Do not contact",IF(AC425="","Research",IF(AND(AC425&gt;=S_FitHigh,AD425&gt;=S_AccessHigh),"Priority",IF(AC425&gt;=S_FitHigh,"Build a Path",IF(AD425&gt;=S_AccessHigh,"Quick Win","Low Priority"))))))</f>
        <v/>
      </c>
      <c r="AF425" s="33" t="str">
        <f aca="false">IF($A425="","",IF(_xlfn.MAXIFS(Interactions!$A$3:$A$502,Interactions!$B$3:$B$502,$A425)=0,"",_xlfn.MAXIFS(Interactions!$A$3:$A$502,Interactions!$B$3:$B$502,$A425)))</f>
        <v/>
      </c>
      <c r="AG425" s="32" t="str">
        <f aca="false">IF($A425="","",COUNTIFS(Opportunities!$A$3:$A$502,$A425,Opportunities!$X$3:$X$502,"Yes"))</f>
        <v/>
      </c>
      <c r="AH425" s="32" t="str">
        <f aca="false">IF($A425="","",_xlfn.TEXTJOIN(", ",TRUE(),IF(COUNTIF($A$3:$A$502,$A425)&gt;1,"Duplicate name",""),IF(OR(AND(G425=2,I425=""),AND(J425=2,L425=""),AND(M425=2,O425=""),AND(P425=2,R425="")),"Source missing for a 2",""),IF(F425="","No owner",IF(COUNTIFS(R_TeamName,F425,R_TeamActive,"No")&gt;0,"Needs new owner","")),IF(AND(V425="Yes",X425&lt;&gt;"",X425&lt;S_SemStart),"Path overdue",""),IF(AND(S425&lt;&gt;"",S425&lt;S_Today-365),"Stale research",""),IF(AND(AE425="Research",COUNTIF('Commercial Evidence'!$A$3:$A$502,$A425)=0),"Add commercial evidence","")))</f>
        <v/>
      </c>
      <c r="AI425" s="34" t="str">
        <f aca="false">IF(OR($A425="",Z425="Yes"),"",IF(AND(AE425="Priority",AG425=0,COUNTIFS(Opportunities!$A$3:$A$502,$A425,Opportunities!$Y$3:$Y$502,"Renewal due")=0),600000+(10-AC425)*1000+(4-AD425)*100+ROW()/100000,IF(V425="Yes",700000+IF(X425="",0,X425-40000)/10+ROW()/100000,IF(AND(AE425="Quick Win",U425&lt;&gt;"",AG425=0),800000+(10-AC425)*1000+ROW()/100000,IF(AND(AE425="Build a Path",COUNTIF($V$3:$V$502,"Yes")&lt;S_PathCap),900000+(10-AC425)*1000+(4-AD425)*100+ROW()/100000,"")))))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8"/>
      <c r="T426" s="27"/>
      <c r="U426" s="27"/>
      <c r="V426" s="27"/>
      <c r="W426" s="27"/>
      <c r="X426" s="28"/>
      <c r="Y426" s="27"/>
      <c r="Z426" s="27"/>
      <c r="AA426" s="27"/>
      <c r="AB426" s="32" t="str">
        <f aca="false">IF($A426="","",IF(COUNTIF('Commercial Evidence'!$A$3:$A$502,$A426)=0,"",IF(COUNTIFS('Commercial Evidence'!$A$3:$A$502,$A426,'Commercial Evidence'!$B$3:$B$502,"Previous CBS Talks spend")+COUNTIFS('Commercial Evidence'!$A$3:$A$502,$A426,'Commercial Evidence'!$B$3:$B$502,"Sponsors student organisations")&gt;0,2,IF(COUNTIFS('Commercial Evidence'!$A$3:$A$502,$A426,'Commercial Evidence'!$B$3:$B$502,"Sponsors university activities")+COUNTIFS('Commercial Evidence'!$A$3:$A$502,$A426,'Commercial Evidence'!$B$3:$B$502,"Sponsors similar events")+COUNTIFS('Commercial Evidence'!$A$3:$A$502,$A426,'Commercial Evidence'!$B$3:$B$502,"Previous CBS Talks partner")&gt;0,1,0))))</f>
        <v/>
      </c>
      <c r="AC426" s="32" t="str">
        <f aca="false">IF($A426="","",IF(COUNT(G426,J426,M426,P426,AB426)&lt;5,"",G426+J426+M426+P426+AB426))</f>
        <v/>
      </c>
      <c r="AD426" s="32" t="str">
        <f aca="false">IF($A426="","",IF(COUNTIFS(Contacts!$A$3:$A$502,$A426,Contacts!$E$3:$E$502,"Champion",Contacts!$K$3:$K$502,"&lt;&gt;Yes",Contacts!$L$3:$L$502,"&lt;&gt;Yes")+COUNTIFS(Opportunities!$A$3:$A$502,$A426,Opportunities!$C$3:$C$502,"Won",Opportunities!$Q$3:$Q$502,"Satisfied")&gt;0,4,IF(COUNTIFS(Interactions!$B$3:$B$502,$A426,Interactions!$I$3:$I$502,"Yes",Interactions!$A$3:$A$502,"&gt;="&amp;(S_Today-S_WarmDays))&gt;0,3,IF(T426&lt;&gt;"",2,IF(COUNTIFS(Contacts!$A$3:$A$502,$A426,Contacts!$M$3:$M$502,"Yes",Contacts!$K$3:$K$502,"&lt;&gt;Yes",Contacts!$L$3:$L$502,"&lt;&gt;Yes")&gt;0,1,0)))))</f>
        <v/>
      </c>
      <c r="AE426" s="32" t="str">
        <f aca="false">IF($A426="","",IF(Z426="Yes","Do not contact",IF(AC426="","Research",IF(AND(AC426&gt;=S_FitHigh,AD426&gt;=S_AccessHigh),"Priority",IF(AC426&gt;=S_FitHigh,"Build a Path",IF(AD426&gt;=S_AccessHigh,"Quick Win","Low Priority"))))))</f>
        <v/>
      </c>
      <c r="AF426" s="33" t="str">
        <f aca="false">IF($A426="","",IF(_xlfn.MAXIFS(Interactions!$A$3:$A$502,Interactions!$B$3:$B$502,$A426)=0,"",_xlfn.MAXIFS(Interactions!$A$3:$A$502,Interactions!$B$3:$B$502,$A426)))</f>
        <v/>
      </c>
      <c r="AG426" s="32" t="str">
        <f aca="false">IF($A426="","",COUNTIFS(Opportunities!$A$3:$A$502,$A426,Opportunities!$X$3:$X$502,"Yes"))</f>
        <v/>
      </c>
      <c r="AH426" s="32" t="str">
        <f aca="false">IF($A426="","",_xlfn.TEXTJOIN(", ",TRUE(),IF(COUNTIF($A$3:$A$502,$A426)&gt;1,"Duplicate name",""),IF(OR(AND(G426=2,I426=""),AND(J426=2,L426=""),AND(M426=2,O426=""),AND(P426=2,R426="")),"Source missing for a 2",""),IF(F426="","No owner",IF(COUNTIFS(R_TeamName,F426,R_TeamActive,"No")&gt;0,"Needs new owner","")),IF(AND(V426="Yes",X426&lt;&gt;"",X426&lt;S_SemStart),"Path overdue",""),IF(AND(S426&lt;&gt;"",S426&lt;S_Today-365),"Stale research",""),IF(AND(AE426="Research",COUNTIF('Commercial Evidence'!$A$3:$A$502,$A426)=0),"Add commercial evidence","")))</f>
        <v/>
      </c>
      <c r="AI426" s="34" t="str">
        <f aca="false">IF(OR($A426="",Z426="Yes"),"",IF(AND(AE426="Priority",AG426=0,COUNTIFS(Opportunities!$A$3:$A$502,$A426,Opportunities!$Y$3:$Y$502,"Renewal due")=0),600000+(10-AC426)*1000+(4-AD426)*100+ROW()/100000,IF(V426="Yes",700000+IF(X426="",0,X426-40000)/10+ROW()/100000,IF(AND(AE426="Quick Win",U426&lt;&gt;"",AG426=0),800000+(10-AC426)*1000+ROW()/100000,IF(AND(AE426="Build a Path",COUNTIF($V$3:$V$502,"Yes")&lt;S_PathCap),900000+(10-AC426)*1000+(4-AD426)*100+ROW()/100000,"")))))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8"/>
      <c r="T427" s="27"/>
      <c r="U427" s="27"/>
      <c r="V427" s="27"/>
      <c r="W427" s="27"/>
      <c r="X427" s="28"/>
      <c r="Y427" s="27"/>
      <c r="Z427" s="27"/>
      <c r="AA427" s="27"/>
      <c r="AB427" s="32" t="str">
        <f aca="false">IF($A427="","",IF(COUNTIF('Commercial Evidence'!$A$3:$A$502,$A427)=0,"",IF(COUNTIFS('Commercial Evidence'!$A$3:$A$502,$A427,'Commercial Evidence'!$B$3:$B$502,"Previous CBS Talks spend")+COUNTIFS('Commercial Evidence'!$A$3:$A$502,$A427,'Commercial Evidence'!$B$3:$B$502,"Sponsors student organisations")&gt;0,2,IF(COUNTIFS('Commercial Evidence'!$A$3:$A$502,$A427,'Commercial Evidence'!$B$3:$B$502,"Sponsors university activities")+COUNTIFS('Commercial Evidence'!$A$3:$A$502,$A427,'Commercial Evidence'!$B$3:$B$502,"Sponsors similar events")+COUNTIFS('Commercial Evidence'!$A$3:$A$502,$A427,'Commercial Evidence'!$B$3:$B$502,"Previous CBS Talks partner")&gt;0,1,0))))</f>
        <v/>
      </c>
      <c r="AC427" s="32" t="str">
        <f aca="false">IF($A427="","",IF(COUNT(G427,J427,M427,P427,AB427)&lt;5,"",G427+J427+M427+P427+AB427))</f>
        <v/>
      </c>
      <c r="AD427" s="32" t="str">
        <f aca="false">IF($A427="","",IF(COUNTIFS(Contacts!$A$3:$A$502,$A427,Contacts!$E$3:$E$502,"Champion",Contacts!$K$3:$K$502,"&lt;&gt;Yes",Contacts!$L$3:$L$502,"&lt;&gt;Yes")+COUNTIFS(Opportunities!$A$3:$A$502,$A427,Opportunities!$C$3:$C$502,"Won",Opportunities!$Q$3:$Q$502,"Satisfied")&gt;0,4,IF(COUNTIFS(Interactions!$B$3:$B$502,$A427,Interactions!$I$3:$I$502,"Yes",Interactions!$A$3:$A$502,"&gt;="&amp;(S_Today-S_WarmDays))&gt;0,3,IF(T427&lt;&gt;"",2,IF(COUNTIFS(Contacts!$A$3:$A$502,$A427,Contacts!$M$3:$M$502,"Yes",Contacts!$K$3:$K$502,"&lt;&gt;Yes",Contacts!$L$3:$L$502,"&lt;&gt;Yes")&gt;0,1,0)))))</f>
        <v/>
      </c>
      <c r="AE427" s="32" t="str">
        <f aca="false">IF($A427="","",IF(Z427="Yes","Do not contact",IF(AC427="","Research",IF(AND(AC427&gt;=S_FitHigh,AD427&gt;=S_AccessHigh),"Priority",IF(AC427&gt;=S_FitHigh,"Build a Path",IF(AD427&gt;=S_AccessHigh,"Quick Win","Low Priority"))))))</f>
        <v/>
      </c>
      <c r="AF427" s="33" t="str">
        <f aca="false">IF($A427="","",IF(_xlfn.MAXIFS(Interactions!$A$3:$A$502,Interactions!$B$3:$B$502,$A427)=0,"",_xlfn.MAXIFS(Interactions!$A$3:$A$502,Interactions!$B$3:$B$502,$A427)))</f>
        <v/>
      </c>
      <c r="AG427" s="32" t="str">
        <f aca="false">IF($A427="","",COUNTIFS(Opportunities!$A$3:$A$502,$A427,Opportunities!$X$3:$X$502,"Yes"))</f>
        <v/>
      </c>
      <c r="AH427" s="32" t="str">
        <f aca="false">IF($A427="","",_xlfn.TEXTJOIN(", ",TRUE(),IF(COUNTIF($A$3:$A$502,$A427)&gt;1,"Duplicate name",""),IF(OR(AND(G427=2,I427=""),AND(J427=2,L427=""),AND(M427=2,O427=""),AND(P427=2,R427="")),"Source missing for a 2",""),IF(F427="","No owner",IF(COUNTIFS(R_TeamName,F427,R_TeamActive,"No")&gt;0,"Needs new owner","")),IF(AND(V427="Yes",X427&lt;&gt;"",X427&lt;S_SemStart),"Path overdue",""),IF(AND(S427&lt;&gt;"",S427&lt;S_Today-365),"Stale research",""),IF(AND(AE427="Research",COUNTIF('Commercial Evidence'!$A$3:$A$502,$A427)=0),"Add commercial evidence","")))</f>
        <v/>
      </c>
      <c r="AI427" s="34" t="str">
        <f aca="false">IF(OR($A427="",Z427="Yes"),"",IF(AND(AE427="Priority",AG427=0,COUNTIFS(Opportunities!$A$3:$A$502,$A427,Opportunities!$Y$3:$Y$502,"Renewal due")=0),600000+(10-AC427)*1000+(4-AD427)*100+ROW()/100000,IF(V427="Yes",700000+IF(X427="",0,X427-40000)/10+ROW()/100000,IF(AND(AE427="Quick Win",U427&lt;&gt;"",AG427=0),800000+(10-AC427)*1000+ROW()/100000,IF(AND(AE427="Build a Path",COUNTIF($V$3:$V$502,"Yes")&lt;S_PathCap),900000+(10-AC427)*1000+(4-AD427)*100+ROW()/100000,"")))))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8"/>
      <c r="T428" s="27"/>
      <c r="U428" s="27"/>
      <c r="V428" s="27"/>
      <c r="W428" s="27"/>
      <c r="X428" s="28"/>
      <c r="Y428" s="27"/>
      <c r="Z428" s="27"/>
      <c r="AA428" s="27"/>
      <c r="AB428" s="32" t="str">
        <f aca="false">IF($A428="","",IF(COUNTIF('Commercial Evidence'!$A$3:$A$502,$A428)=0,"",IF(COUNTIFS('Commercial Evidence'!$A$3:$A$502,$A428,'Commercial Evidence'!$B$3:$B$502,"Previous CBS Talks spend")+COUNTIFS('Commercial Evidence'!$A$3:$A$502,$A428,'Commercial Evidence'!$B$3:$B$502,"Sponsors student organisations")&gt;0,2,IF(COUNTIFS('Commercial Evidence'!$A$3:$A$502,$A428,'Commercial Evidence'!$B$3:$B$502,"Sponsors university activities")+COUNTIFS('Commercial Evidence'!$A$3:$A$502,$A428,'Commercial Evidence'!$B$3:$B$502,"Sponsors similar events")+COUNTIFS('Commercial Evidence'!$A$3:$A$502,$A428,'Commercial Evidence'!$B$3:$B$502,"Previous CBS Talks partner")&gt;0,1,0))))</f>
        <v/>
      </c>
      <c r="AC428" s="32" t="str">
        <f aca="false">IF($A428="","",IF(COUNT(G428,J428,M428,P428,AB428)&lt;5,"",G428+J428+M428+P428+AB428))</f>
        <v/>
      </c>
      <c r="AD428" s="32" t="str">
        <f aca="false">IF($A428="","",IF(COUNTIFS(Contacts!$A$3:$A$502,$A428,Contacts!$E$3:$E$502,"Champion",Contacts!$K$3:$K$502,"&lt;&gt;Yes",Contacts!$L$3:$L$502,"&lt;&gt;Yes")+COUNTIFS(Opportunities!$A$3:$A$502,$A428,Opportunities!$C$3:$C$502,"Won",Opportunities!$Q$3:$Q$502,"Satisfied")&gt;0,4,IF(COUNTIFS(Interactions!$B$3:$B$502,$A428,Interactions!$I$3:$I$502,"Yes",Interactions!$A$3:$A$502,"&gt;="&amp;(S_Today-S_WarmDays))&gt;0,3,IF(T428&lt;&gt;"",2,IF(COUNTIFS(Contacts!$A$3:$A$502,$A428,Contacts!$M$3:$M$502,"Yes",Contacts!$K$3:$K$502,"&lt;&gt;Yes",Contacts!$L$3:$L$502,"&lt;&gt;Yes")&gt;0,1,0)))))</f>
        <v/>
      </c>
      <c r="AE428" s="32" t="str">
        <f aca="false">IF($A428="","",IF(Z428="Yes","Do not contact",IF(AC428="","Research",IF(AND(AC428&gt;=S_FitHigh,AD428&gt;=S_AccessHigh),"Priority",IF(AC428&gt;=S_FitHigh,"Build a Path",IF(AD428&gt;=S_AccessHigh,"Quick Win","Low Priority"))))))</f>
        <v/>
      </c>
      <c r="AF428" s="33" t="str">
        <f aca="false">IF($A428="","",IF(_xlfn.MAXIFS(Interactions!$A$3:$A$502,Interactions!$B$3:$B$502,$A428)=0,"",_xlfn.MAXIFS(Interactions!$A$3:$A$502,Interactions!$B$3:$B$502,$A428)))</f>
        <v/>
      </c>
      <c r="AG428" s="32" t="str">
        <f aca="false">IF($A428="","",COUNTIFS(Opportunities!$A$3:$A$502,$A428,Opportunities!$X$3:$X$502,"Yes"))</f>
        <v/>
      </c>
      <c r="AH428" s="32" t="str">
        <f aca="false">IF($A428="","",_xlfn.TEXTJOIN(", ",TRUE(),IF(COUNTIF($A$3:$A$502,$A428)&gt;1,"Duplicate name",""),IF(OR(AND(G428=2,I428=""),AND(J428=2,L428=""),AND(M428=2,O428=""),AND(P428=2,R428="")),"Source missing for a 2",""),IF(F428="","No owner",IF(COUNTIFS(R_TeamName,F428,R_TeamActive,"No")&gt;0,"Needs new owner","")),IF(AND(V428="Yes",X428&lt;&gt;"",X428&lt;S_SemStart),"Path overdue",""),IF(AND(S428&lt;&gt;"",S428&lt;S_Today-365),"Stale research",""),IF(AND(AE428="Research",COUNTIF('Commercial Evidence'!$A$3:$A$502,$A428)=0),"Add commercial evidence","")))</f>
        <v/>
      </c>
      <c r="AI428" s="34" t="str">
        <f aca="false">IF(OR($A428="",Z428="Yes"),"",IF(AND(AE428="Priority",AG428=0,COUNTIFS(Opportunities!$A$3:$A$502,$A428,Opportunities!$Y$3:$Y$502,"Renewal due")=0),600000+(10-AC428)*1000+(4-AD428)*100+ROW()/100000,IF(V428="Yes",700000+IF(X428="",0,X428-40000)/10+ROW()/100000,IF(AND(AE428="Quick Win",U428&lt;&gt;"",AG428=0),800000+(10-AC428)*1000+ROW()/100000,IF(AND(AE428="Build a Path",COUNTIF($V$3:$V$502,"Yes")&lt;S_PathCap),900000+(10-AC428)*1000+(4-AD428)*100+ROW()/100000,"")))))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8"/>
      <c r="T429" s="27"/>
      <c r="U429" s="27"/>
      <c r="V429" s="27"/>
      <c r="W429" s="27"/>
      <c r="X429" s="28"/>
      <c r="Y429" s="27"/>
      <c r="Z429" s="27"/>
      <c r="AA429" s="27"/>
      <c r="AB429" s="32" t="str">
        <f aca="false">IF($A429="","",IF(COUNTIF('Commercial Evidence'!$A$3:$A$502,$A429)=0,"",IF(COUNTIFS('Commercial Evidence'!$A$3:$A$502,$A429,'Commercial Evidence'!$B$3:$B$502,"Previous CBS Talks spend")+COUNTIFS('Commercial Evidence'!$A$3:$A$502,$A429,'Commercial Evidence'!$B$3:$B$502,"Sponsors student organisations")&gt;0,2,IF(COUNTIFS('Commercial Evidence'!$A$3:$A$502,$A429,'Commercial Evidence'!$B$3:$B$502,"Sponsors university activities")+COUNTIFS('Commercial Evidence'!$A$3:$A$502,$A429,'Commercial Evidence'!$B$3:$B$502,"Sponsors similar events")+COUNTIFS('Commercial Evidence'!$A$3:$A$502,$A429,'Commercial Evidence'!$B$3:$B$502,"Previous CBS Talks partner")&gt;0,1,0))))</f>
        <v/>
      </c>
      <c r="AC429" s="32" t="str">
        <f aca="false">IF($A429="","",IF(COUNT(G429,J429,M429,P429,AB429)&lt;5,"",G429+J429+M429+P429+AB429))</f>
        <v/>
      </c>
      <c r="AD429" s="32" t="str">
        <f aca="false">IF($A429="","",IF(COUNTIFS(Contacts!$A$3:$A$502,$A429,Contacts!$E$3:$E$502,"Champion",Contacts!$K$3:$K$502,"&lt;&gt;Yes",Contacts!$L$3:$L$502,"&lt;&gt;Yes")+COUNTIFS(Opportunities!$A$3:$A$502,$A429,Opportunities!$C$3:$C$502,"Won",Opportunities!$Q$3:$Q$502,"Satisfied")&gt;0,4,IF(COUNTIFS(Interactions!$B$3:$B$502,$A429,Interactions!$I$3:$I$502,"Yes",Interactions!$A$3:$A$502,"&gt;="&amp;(S_Today-S_WarmDays))&gt;0,3,IF(T429&lt;&gt;"",2,IF(COUNTIFS(Contacts!$A$3:$A$502,$A429,Contacts!$M$3:$M$502,"Yes",Contacts!$K$3:$K$502,"&lt;&gt;Yes",Contacts!$L$3:$L$502,"&lt;&gt;Yes")&gt;0,1,0)))))</f>
        <v/>
      </c>
      <c r="AE429" s="32" t="str">
        <f aca="false">IF($A429="","",IF(Z429="Yes","Do not contact",IF(AC429="","Research",IF(AND(AC429&gt;=S_FitHigh,AD429&gt;=S_AccessHigh),"Priority",IF(AC429&gt;=S_FitHigh,"Build a Path",IF(AD429&gt;=S_AccessHigh,"Quick Win","Low Priority"))))))</f>
        <v/>
      </c>
      <c r="AF429" s="33" t="str">
        <f aca="false">IF($A429="","",IF(_xlfn.MAXIFS(Interactions!$A$3:$A$502,Interactions!$B$3:$B$502,$A429)=0,"",_xlfn.MAXIFS(Interactions!$A$3:$A$502,Interactions!$B$3:$B$502,$A429)))</f>
        <v/>
      </c>
      <c r="AG429" s="32" t="str">
        <f aca="false">IF($A429="","",COUNTIFS(Opportunities!$A$3:$A$502,$A429,Opportunities!$X$3:$X$502,"Yes"))</f>
        <v/>
      </c>
      <c r="AH429" s="32" t="str">
        <f aca="false">IF($A429="","",_xlfn.TEXTJOIN(", ",TRUE(),IF(COUNTIF($A$3:$A$502,$A429)&gt;1,"Duplicate name",""),IF(OR(AND(G429=2,I429=""),AND(J429=2,L429=""),AND(M429=2,O429=""),AND(P429=2,R429="")),"Source missing for a 2",""),IF(F429="","No owner",IF(COUNTIFS(R_TeamName,F429,R_TeamActive,"No")&gt;0,"Needs new owner","")),IF(AND(V429="Yes",X429&lt;&gt;"",X429&lt;S_SemStart),"Path overdue",""),IF(AND(S429&lt;&gt;"",S429&lt;S_Today-365),"Stale research",""),IF(AND(AE429="Research",COUNTIF('Commercial Evidence'!$A$3:$A$502,$A429)=0),"Add commercial evidence","")))</f>
        <v/>
      </c>
      <c r="AI429" s="34" t="str">
        <f aca="false">IF(OR($A429="",Z429="Yes"),"",IF(AND(AE429="Priority",AG429=0,COUNTIFS(Opportunities!$A$3:$A$502,$A429,Opportunities!$Y$3:$Y$502,"Renewal due")=0),600000+(10-AC429)*1000+(4-AD429)*100+ROW()/100000,IF(V429="Yes",700000+IF(X429="",0,X429-40000)/10+ROW()/100000,IF(AND(AE429="Quick Win",U429&lt;&gt;"",AG429=0),800000+(10-AC429)*1000+ROW()/100000,IF(AND(AE429="Build a Path",COUNTIF($V$3:$V$502,"Yes")&lt;S_PathCap),900000+(10-AC429)*1000+(4-AD429)*100+ROW()/100000,"")))))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8"/>
      <c r="T430" s="27"/>
      <c r="U430" s="27"/>
      <c r="V430" s="27"/>
      <c r="W430" s="27"/>
      <c r="X430" s="28"/>
      <c r="Y430" s="27"/>
      <c r="Z430" s="27"/>
      <c r="AA430" s="27"/>
      <c r="AB430" s="32" t="str">
        <f aca="false">IF($A430="","",IF(COUNTIF('Commercial Evidence'!$A$3:$A$502,$A430)=0,"",IF(COUNTIFS('Commercial Evidence'!$A$3:$A$502,$A430,'Commercial Evidence'!$B$3:$B$502,"Previous CBS Talks spend")+COUNTIFS('Commercial Evidence'!$A$3:$A$502,$A430,'Commercial Evidence'!$B$3:$B$502,"Sponsors student organisations")&gt;0,2,IF(COUNTIFS('Commercial Evidence'!$A$3:$A$502,$A430,'Commercial Evidence'!$B$3:$B$502,"Sponsors university activities")+COUNTIFS('Commercial Evidence'!$A$3:$A$502,$A430,'Commercial Evidence'!$B$3:$B$502,"Sponsors similar events")+COUNTIFS('Commercial Evidence'!$A$3:$A$502,$A430,'Commercial Evidence'!$B$3:$B$502,"Previous CBS Talks partner")&gt;0,1,0))))</f>
        <v/>
      </c>
      <c r="AC430" s="32" t="str">
        <f aca="false">IF($A430="","",IF(COUNT(G430,J430,M430,P430,AB430)&lt;5,"",G430+J430+M430+P430+AB430))</f>
        <v/>
      </c>
      <c r="AD430" s="32" t="str">
        <f aca="false">IF($A430="","",IF(COUNTIFS(Contacts!$A$3:$A$502,$A430,Contacts!$E$3:$E$502,"Champion",Contacts!$K$3:$K$502,"&lt;&gt;Yes",Contacts!$L$3:$L$502,"&lt;&gt;Yes")+COUNTIFS(Opportunities!$A$3:$A$502,$A430,Opportunities!$C$3:$C$502,"Won",Opportunities!$Q$3:$Q$502,"Satisfied")&gt;0,4,IF(COUNTIFS(Interactions!$B$3:$B$502,$A430,Interactions!$I$3:$I$502,"Yes",Interactions!$A$3:$A$502,"&gt;="&amp;(S_Today-S_WarmDays))&gt;0,3,IF(T430&lt;&gt;"",2,IF(COUNTIFS(Contacts!$A$3:$A$502,$A430,Contacts!$M$3:$M$502,"Yes",Contacts!$K$3:$K$502,"&lt;&gt;Yes",Contacts!$L$3:$L$502,"&lt;&gt;Yes")&gt;0,1,0)))))</f>
        <v/>
      </c>
      <c r="AE430" s="32" t="str">
        <f aca="false">IF($A430="","",IF(Z430="Yes","Do not contact",IF(AC430="","Research",IF(AND(AC430&gt;=S_FitHigh,AD430&gt;=S_AccessHigh),"Priority",IF(AC430&gt;=S_FitHigh,"Build a Path",IF(AD430&gt;=S_AccessHigh,"Quick Win","Low Priority"))))))</f>
        <v/>
      </c>
      <c r="AF430" s="33" t="str">
        <f aca="false">IF($A430="","",IF(_xlfn.MAXIFS(Interactions!$A$3:$A$502,Interactions!$B$3:$B$502,$A430)=0,"",_xlfn.MAXIFS(Interactions!$A$3:$A$502,Interactions!$B$3:$B$502,$A430)))</f>
        <v/>
      </c>
      <c r="AG430" s="32" t="str">
        <f aca="false">IF($A430="","",COUNTIFS(Opportunities!$A$3:$A$502,$A430,Opportunities!$X$3:$X$502,"Yes"))</f>
        <v/>
      </c>
      <c r="AH430" s="32" t="str">
        <f aca="false">IF($A430="","",_xlfn.TEXTJOIN(", ",TRUE(),IF(COUNTIF($A$3:$A$502,$A430)&gt;1,"Duplicate name",""),IF(OR(AND(G430=2,I430=""),AND(J430=2,L430=""),AND(M430=2,O430=""),AND(P430=2,R430="")),"Source missing for a 2",""),IF(F430="","No owner",IF(COUNTIFS(R_TeamName,F430,R_TeamActive,"No")&gt;0,"Needs new owner","")),IF(AND(V430="Yes",X430&lt;&gt;"",X430&lt;S_SemStart),"Path overdue",""),IF(AND(S430&lt;&gt;"",S430&lt;S_Today-365),"Stale research",""),IF(AND(AE430="Research",COUNTIF('Commercial Evidence'!$A$3:$A$502,$A430)=0),"Add commercial evidence","")))</f>
        <v/>
      </c>
      <c r="AI430" s="34" t="str">
        <f aca="false">IF(OR($A430="",Z430="Yes"),"",IF(AND(AE430="Priority",AG430=0,COUNTIFS(Opportunities!$A$3:$A$502,$A430,Opportunities!$Y$3:$Y$502,"Renewal due")=0),600000+(10-AC430)*1000+(4-AD430)*100+ROW()/100000,IF(V430="Yes",700000+IF(X430="",0,X430-40000)/10+ROW()/100000,IF(AND(AE430="Quick Win",U430&lt;&gt;"",AG430=0),800000+(10-AC430)*1000+ROW()/100000,IF(AND(AE430="Build a Path",COUNTIF($V$3:$V$502,"Yes")&lt;S_PathCap),900000+(10-AC430)*1000+(4-AD430)*100+ROW()/100000,"")))))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8"/>
      <c r="T431" s="27"/>
      <c r="U431" s="27"/>
      <c r="V431" s="27"/>
      <c r="W431" s="27"/>
      <c r="X431" s="28"/>
      <c r="Y431" s="27"/>
      <c r="Z431" s="27"/>
      <c r="AA431" s="27"/>
      <c r="AB431" s="32" t="str">
        <f aca="false">IF($A431="","",IF(COUNTIF('Commercial Evidence'!$A$3:$A$502,$A431)=0,"",IF(COUNTIFS('Commercial Evidence'!$A$3:$A$502,$A431,'Commercial Evidence'!$B$3:$B$502,"Previous CBS Talks spend")+COUNTIFS('Commercial Evidence'!$A$3:$A$502,$A431,'Commercial Evidence'!$B$3:$B$502,"Sponsors student organisations")&gt;0,2,IF(COUNTIFS('Commercial Evidence'!$A$3:$A$502,$A431,'Commercial Evidence'!$B$3:$B$502,"Sponsors university activities")+COUNTIFS('Commercial Evidence'!$A$3:$A$502,$A431,'Commercial Evidence'!$B$3:$B$502,"Sponsors similar events")+COUNTIFS('Commercial Evidence'!$A$3:$A$502,$A431,'Commercial Evidence'!$B$3:$B$502,"Previous CBS Talks partner")&gt;0,1,0))))</f>
        <v/>
      </c>
      <c r="AC431" s="32" t="str">
        <f aca="false">IF($A431="","",IF(COUNT(G431,J431,M431,P431,AB431)&lt;5,"",G431+J431+M431+P431+AB431))</f>
        <v/>
      </c>
      <c r="AD431" s="32" t="str">
        <f aca="false">IF($A431="","",IF(COUNTIFS(Contacts!$A$3:$A$502,$A431,Contacts!$E$3:$E$502,"Champion",Contacts!$K$3:$K$502,"&lt;&gt;Yes",Contacts!$L$3:$L$502,"&lt;&gt;Yes")+COUNTIFS(Opportunities!$A$3:$A$502,$A431,Opportunities!$C$3:$C$502,"Won",Opportunities!$Q$3:$Q$502,"Satisfied")&gt;0,4,IF(COUNTIFS(Interactions!$B$3:$B$502,$A431,Interactions!$I$3:$I$502,"Yes",Interactions!$A$3:$A$502,"&gt;="&amp;(S_Today-S_WarmDays))&gt;0,3,IF(T431&lt;&gt;"",2,IF(COUNTIFS(Contacts!$A$3:$A$502,$A431,Contacts!$M$3:$M$502,"Yes",Contacts!$K$3:$K$502,"&lt;&gt;Yes",Contacts!$L$3:$L$502,"&lt;&gt;Yes")&gt;0,1,0)))))</f>
        <v/>
      </c>
      <c r="AE431" s="32" t="str">
        <f aca="false">IF($A431="","",IF(Z431="Yes","Do not contact",IF(AC431="","Research",IF(AND(AC431&gt;=S_FitHigh,AD431&gt;=S_AccessHigh),"Priority",IF(AC431&gt;=S_FitHigh,"Build a Path",IF(AD431&gt;=S_AccessHigh,"Quick Win","Low Priority"))))))</f>
        <v/>
      </c>
      <c r="AF431" s="33" t="str">
        <f aca="false">IF($A431="","",IF(_xlfn.MAXIFS(Interactions!$A$3:$A$502,Interactions!$B$3:$B$502,$A431)=0,"",_xlfn.MAXIFS(Interactions!$A$3:$A$502,Interactions!$B$3:$B$502,$A431)))</f>
        <v/>
      </c>
      <c r="AG431" s="32" t="str">
        <f aca="false">IF($A431="","",COUNTIFS(Opportunities!$A$3:$A$502,$A431,Opportunities!$X$3:$X$502,"Yes"))</f>
        <v/>
      </c>
      <c r="AH431" s="32" t="str">
        <f aca="false">IF($A431="","",_xlfn.TEXTJOIN(", ",TRUE(),IF(COUNTIF($A$3:$A$502,$A431)&gt;1,"Duplicate name",""),IF(OR(AND(G431=2,I431=""),AND(J431=2,L431=""),AND(M431=2,O431=""),AND(P431=2,R431="")),"Source missing for a 2",""),IF(F431="","No owner",IF(COUNTIFS(R_TeamName,F431,R_TeamActive,"No")&gt;0,"Needs new owner","")),IF(AND(V431="Yes",X431&lt;&gt;"",X431&lt;S_SemStart),"Path overdue",""),IF(AND(S431&lt;&gt;"",S431&lt;S_Today-365),"Stale research",""),IF(AND(AE431="Research",COUNTIF('Commercial Evidence'!$A$3:$A$502,$A431)=0),"Add commercial evidence","")))</f>
        <v/>
      </c>
      <c r="AI431" s="34" t="str">
        <f aca="false">IF(OR($A431="",Z431="Yes"),"",IF(AND(AE431="Priority",AG431=0,COUNTIFS(Opportunities!$A$3:$A$502,$A431,Opportunities!$Y$3:$Y$502,"Renewal due")=0),600000+(10-AC431)*1000+(4-AD431)*100+ROW()/100000,IF(V431="Yes",700000+IF(X431="",0,X431-40000)/10+ROW()/100000,IF(AND(AE431="Quick Win",U431&lt;&gt;"",AG431=0),800000+(10-AC431)*1000+ROW()/100000,IF(AND(AE431="Build a Path",COUNTIF($V$3:$V$502,"Yes")&lt;S_PathCap),900000+(10-AC431)*1000+(4-AD431)*100+ROW()/100000,"")))))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8"/>
      <c r="T432" s="27"/>
      <c r="U432" s="27"/>
      <c r="V432" s="27"/>
      <c r="W432" s="27"/>
      <c r="X432" s="28"/>
      <c r="Y432" s="27"/>
      <c r="Z432" s="27"/>
      <c r="AA432" s="27"/>
      <c r="AB432" s="32" t="str">
        <f aca="false">IF($A432="","",IF(COUNTIF('Commercial Evidence'!$A$3:$A$502,$A432)=0,"",IF(COUNTIFS('Commercial Evidence'!$A$3:$A$502,$A432,'Commercial Evidence'!$B$3:$B$502,"Previous CBS Talks spend")+COUNTIFS('Commercial Evidence'!$A$3:$A$502,$A432,'Commercial Evidence'!$B$3:$B$502,"Sponsors student organisations")&gt;0,2,IF(COUNTIFS('Commercial Evidence'!$A$3:$A$502,$A432,'Commercial Evidence'!$B$3:$B$502,"Sponsors university activities")+COUNTIFS('Commercial Evidence'!$A$3:$A$502,$A432,'Commercial Evidence'!$B$3:$B$502,"Sponsors similar events")+COUNTIFS('Commercial Evidence'!$A$3:$A$502,$A432,'Commercial Evidence'!$B$3:$B$502,"Previous CBS Talks partner")&gt;0,1,0))))</f>
        <v/>
      </c>
      <c r="AC432" s="32" t="str">
        <f aca="false">IF($A432="","",IF(COUNT(G432,J432,M432,P432,AB432)&lt;5,"",G432+J432+M432+P432+AB432))</f>
        <v/>
      </c>
      <c r="AD432" s="32" t="str">
        <f aca="false">IF($A432="","",IF(COUNTIFS(Contacts!$A$3:$A$502,$A432,Contacts!$E$3:$E$502,"Champion",Contacts!$K$3:$K$502,"&lt;&gt;Yes",Contacts!$L$3:$L$502,"&lt;&gt;Yes")+COUNTIFS(Opportunities!$A$3:$A$502,$A432,Opportunities!$C$3:$C$502,"Won",Opportunities!$Q$3:$Q$502,"Satisfied")&gt;0,4,IF(COUNTIFS(Interactions!$B$3:$B$502,$A432,Interactions!$I$3:$I$502,"Yes",Interactions!$A$3:$A$502,"&gt;="&amp;(S_Today-S_WarmDays))&gt;0,3,IF(T432&lt;&gt;"",2,IF(COUNTIFS(Contacts!$A$3:$A$502,$A432,Contacts!$M$3:$M$502,"Yes",Contacts!$K$3:$K$502,"&lt;&gt;Yes",Contacts!$L$3:$L$502,"&lt;&gt;Yes")&gt;0,1,0)))))</f>
        <v/>
      </c>
      <c r="AE432" s="32" t="str">
        <f aca="false">IF($A432="","",IF(Z432="Yes","Do not contact",IF(AC432="","Research",IF(AND(AC432&gt;=S_FitHigh,AD432&gt;=S_AccessHigh),"Priority",IF(AC432&gt;=S_FitHigh,"Build a Path",IF(AD432&gt;=S_AccessHigh,"Quick Win","Low Priority"))))))</f>
        <v/>
      </c>
      <c r="AF432" s="33" t="str">
        <f aca="false">IF($A432="","",IF(_xlfn.MAXIFS(Interactions!$A$3:$A$502,Interactions!$B$3:$B$502,$A432)=0,"",_xlfn.MAXIFS(Interactions!$A$3:$A$502,Interactions!$B$3:$B$502,$A432)))</f>
        <v/>
      </c>
      <c r="AG432" s="32" t="str">
        <f aca="false">IF($A432="","",COUNTIFS(Opportunities!$A$3:$A$502,$A432,Opportunities!$X$3:$X$502,"Yes"))</f>
        <v/>
      </c>
      <c r="AH432" s="32" t="str">
        <f aca="false">IF($A432="","",_xlfn.TEXTJOIN(", ",TRUE(),IF(COUNTIF($A$3:$A$502,$A432)&gt;1,"Duplicate name",""),IF(OR(AND(G432=2,I432=""),AND(J432=2,L432=""),AND(M432=2,O432=""),AND(P432=2,R432="")),"Source missing for a 2",""),IF(F432="","No owner",IF(COUNTIFS(R_TeamName,F432,R_TeamActive,"No")&gt;0,"Needs new owner","")),IF(AND(V432="Yes",X432&lt;&gt;"",X432&lt;S_SemStart),"Path overdue",""),IF(AND(S432&lt;&gt;"",S432&lt;S_Today-365),"Stale research",""),IF(AND(AE432="Research",COUNTIF('Commercial Evidence'!$A$3:$A$502,$A432)=0),"Add commercial evidence","")))</f>
        <v/>
      </c>
      <c r="AI432" s="34" t="str">
        <f aca="false">IF(OR($A432="",Z432="Yes"),"",IF(AND(AE432="Priority",AG432=0,COUNTIFS(Opportunities!$A$3:$A$502,$A432,Opportunities!$Y$3:$Y$502,"Renewal due")=0),600000+(10-AC432)*1000+(4-AD432)*100+ROW()/100000,IF(V432="Yes",700000+IF(X432="",0,X432-40000)/10+ROW()/100000,IF(AND(AE432="Quick Win",U432&lt;&gt;"",AG432=0),800000+(10-AC432)*1000+ROW()/100000,IF(AND(AE432="Build a Path",COUNTIF($V$3:$V$502,"Yes")&lt;S_PathCap),900000+(10-AC432)*1000+(4-AD432)*100+ROW()/100000,"")))))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8"/>
      <c r="T433" s="27"/>
      <c r="U433" s="27"/>
      <c r="V433" s="27"/>
      <c r="W433" s="27"/>
      <c r="X433" s="28"/>
      <c r="Y433" s="27"/>
      <c r="Z433" s="27"/>
      <c r="AA433" s="27"/>
      <c r="AB433" s="32" t="str">
        <f aca="false">IF($A433="","",IF(COUNTIF('Commercial Evidence'!$A$3:$A$502,$A433)=0,"",IF(COUNTIFS('Commercial Evidence'!$A$3:$A$502,$A433,'Commercial Evidence'!$B$3:$B$502,"Previous CBS Talks spend")+COUNTIFS('Commercial Evidence'!$A$3:$A$502,$A433,'Commercial Evidence'!$B$3:$B$502,"Sponsors student organisations")&gt;0,2,IF(COUNTIFS('Commercial Evidence'!$A$3:$A$502,$A433,'Commercial Evidence'!$B$3:$B$502,"Sponsors university activities")+COUNTIFS('Commercial Evidence'!$A$3:$A$502,$A433,'Commercial Evidence'!$B$3:$B$502,"Sponsors similar events")+COUNTIFS('Commercial Evidence'!$A$3:$A$502,$A433,'Commercial Evidence'!$B$3:$B$502,"Previous CBS Talks partner")&gt;0,1,0))))</f>
        <v/>
      </c>
      <c r="AC433" s="32" t="str">
        <f aca="false">IF($A433="","",IF(COUNT(G433,J433,M433,P433,AB433)&lt;5,"",G433+J433+M433+P433+AB433))</f>
        <v/>
      </c>
      <c r="AD433" s="32" t="str">
        <f aca="false">IF($A433="","",IF(COUNTIFS(Contacts!$A$3:$A$502,$A433,Contacts!$E$3:$E$502,"Champion",Contacts!$K$3:$K$502,"&lt;&gt;Yes",Contacts!$L$3:$L$502,"&lt;&gt;Yes")+COUNTIFS(Opportunities!$A$3:$A$502,$A433,Opportunities!$C$3:$C$502,"Won",Opportunities!$Q$3:$Q$502,"Satisfied")&gt;0,4,IF(COUNTIFS(Interactions!$B$3:$B$502,$A433,Interactions!$I$3:$I$502,"Yes",Interactions!$A$3:$A$502,"&gt;="&amp;(S_Today-S_WarmDays))&gt;0,3,IF(T433&lt;&gt;"",2,IF(COUNTIFS(Contacts!$A$3:$A$502,$A433,Contacts!$M$3:$M$502,"Yes",Contacts!$K$3:$K$502,"&lt;&gt;Yes",Contacts!$L$3:$L$502,"&lt;&gt;Yes")&gt;0,1,0)))))</f>
        <v/>
      </c>
      <c r="AE433" s="32" t="str">
        <f aca="false">IF($A433="","",IF(Z433="Yes","Do not contact",IF(AC433="","Research",IF(AND(AC433&gt;=S_FitHigh,AD433&gt;=S_AccessHigh),"Priority",IF(AC433&gt;=S_FitHigh,"Build a Path",IF(AD433&gt;=S_AccessHigh,"Quick Win","Low Priority"))))))</f>
        <v/>
      </c>
      <c r="AF433" s="33" t="str">
        <f aca="false">IF($A433="","",IF(_xlfn.MAXIFS(Interactions!$A$3:$A$502,Interactions!$B$3:$B$502,$A433)=0,"",_xlfn.MAXIFS(Interactions!$A$3:$A$502,Interactions!$B$3:$B$502,$A433)))</f>
        <v/>
      </c>
      <c r="AG433" s="32" t="str">
        <f aca="false">IF($A433="","",COUNTIFS(Opportunities!$A$3:$A$502,$A433,Opportunities!$X$3:$X$502,"Yes"))</f>
        <v/>
      </c>
      <c r="AH433" s="32" t="str">
        <f aca="false">IF($A433="","",_xlfn.TEXTJOIN(", ",TRUE(),IF(COUNTIF($A$3:$A$502,$A433)&gt;1,"Duplicate name",""),IF(OR(AND(G433=2,I433=""),AND(J433=2,L433=""),AND(M433=2,O433=""),AND(P433=2,R433="")),"Source missing for a 2",""),IF(F433="","No owner",IF(COUNTIFS(R_TeamName,F433,R_TeamActive,"No")&gt;0,"Needs new owner","")),IF(AND(V433="Yes",X433&lt;&gt;"",X433&lt;S_SemStart),"Path overdue",""),IF(AND(S433&lt;&gt;"",S433&lt;S_Today-365),"Stale research",""),IF(AND(AE433="Research",COUNTIF('Commercial Evidence'!$A$3:$A$502,$A433)=0),"Add commercial evidence","")))</f>
        <v/>
      </c>
      <c r="AI433" s="34" t="str">
        <f aca="false">IF(OR($A433="",Z433="Yes"),"",IF(AND(AE433="Priority",AG433=0,COUNTIFS(Opportunities!$A$3:$A$502,$A433,Opportunities!$Y$3:$Y$502,"Renewal due")=0),600000+(10-AC433)*1000+(4-AD433)*100+ROW()/100000,IF(V433="Yes",700000+IF(X433="",0,X433-40000)/10+ROW()/100000,IF(AND(AE433="Quick Win",U433&lt;&gt;"",AG433=0),800000+(10-AC433)*1000+ROW()/100000,IF(AND(AE433="Build a Path",COUNTIF($V$3:$V$502,"Yes")&lt;S_PathCap),900000+(10-AC433)*1000+(4-AD433)*100+ROW()/100000,"")))))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8"/>
      <c r="T434" s="27"/>
      <c r="U434" s="27"/>
      <c r="V434" s="27"/>
      <c r="W434" s="27"/>
      <c r="X434" s="28"/>
      <c r="Y434" s="27"/>
      <c r="Z434" s="27"/>
      <c r="AA434" s="27"/>
      <c r="AB434" s="32" t="str">
        <f aca="false">IF($A434="","",IF(COUNTIF('Commercial Evidence'!$A$3:$A$502,$A434)=0,"",IF(COUNTIFS('Commercial Evidence'!$A$3:$A$502,$A434,'Commercial Evidence'!$B$3:$B$502,"Previous CBS Talks spend")+COUNTIFS('Commercial Evidence'!$A$3:$A$502,$A434,'Commercial Evidence'!$B$3:$B$502,"Sponsors student organisations")&gt;0,2,IF(COUNTIFS('Commercial Evidence'!$A$3:$A$502,$A434,'Commercial Evidence'!$B$3:$B$502,"Sponsors university activities")+COUNTIFS('Commercial Evidence'!$A$3:$A$502,$A434,'Commercial Evidence'!$B$3:$B$502,"Sponsors similar events")+COUNTIFS('Commercial Evidence'!$A$3:$A$502,$A434,'Commercial Evidence'!$B$3:$B$502,"Previous CBS Talks partner")&gt;0,1,0))))</f>
        <v/>
      </c>
      <c r="AC434" s="32" t="str">
        <f aca="false">IF($A434="","",IF(COUNT(G434,J434,M434,P434,AB434)&lt;5,"",G434+J434+M434+P434+AB434))</f>
        <v/>
      </c>
      <c r="AD434" s="32" t="str">
        <f aca="false">IF($A434="","",IF(COUNTIFS(Contacts!$A$3:$A$502,$A434,Contacts!$E$3:$E$502,"Champion",Contacts!$K$3:$K$502,"&lt;&gt;Yes",Contacts!$L$3:$L$502,"&lt;&gt;Yes")+COUNTIFS(Opportunities!$A$3:$A$502,$A434,Opportunities!$C$3:$C$502,"Won",Opportunities!$Q$3:$Q$502,"Satisfied")&gt;0,4,IF(COUNTIFS(Interactions!$B$3:$B$502,$A434,Interactions!$I$3:$I$502,"Yes",Interactions!$A$3:$A$502,"&gt;="&amp;(S_Today-S_WarmDays))&gt;0,3,IF(T434&lt;&gt;"",2,IF(COUNTIFS(Contacts!$A$3:$A$502,$A434,Contacts!$M$3:$M$502,"Yes",Contacts!$K$3:$K$502,"&lt;&gt;Yes",Contacts!$L$3:$L$502,"&lt;&gt;Yes")&gt;0,1,0)))))</f>
        <v/>
      </c>
      <c r="AE434" s="32" t="str">
        <f aca="false">IF($A434="","",IF(Z434="Yes","Do not contact",IF(AC434="","Research",IF(AND(AC434&gt;=S_FitHigh,AD434&gt;=S_AccessHigh),"Priority",IF(AC434&gt;=S_FitHigh,"Build a Path",IF(AD434&gt;=S_AccessHigh,"Quick Win","Low Priority"))))))</f>
        <v/>
      </c>
      <c r="AF434" s="33" t="str">
        <f aca="false">IF($A434="","",IF(_xlfn.MAXIFS(Interactions!$A$3:$A$502,Interactions!$B$3:$B$502,$A434)=0,"",_xlfn.MAXIFS(Interactions!$A$3:$A$502,Interactions!$B$3:$B$502,$A434)))</f>
        <v/>
      </c>
      <c r="AG434" s="32" t="str">
        <f aca="false">IF($A434="","",COUNTIFS(Opportunities!$A$3:$A$502,$A434,Opportunities!$X$3:$X$502,"Yes"))</f>
        <v/>
      </c>
      <c r="AH434" s="32" t="str">
        <f aca="false">IF($A434="","",_xlfn.TEXTJOIN(", ",TRUE(),IF(COUNTIF($A$3:$A$502,$A434)&gt;1,"Duplicate name",""),IF(OR(AND(G434=2,I434=""),AND(J434=2,L434=""),AND(M434=2,O434=""),AND(P434=2,R434="")),"Source missing for a 2",""),IF(F434="","No owner",IF(COUNTIFS(R_TeamName,F434,R_TeamActive,"No")&gt;0,"Needs new owner","")),IF(AND(V434="Yes",X434&lt;&gt;"",X434&lt;S_SemStart),"Path overdue",""),IF(AND(S434&lt;&gt;"",S434&lt;S_Today-365),"Stale research",""),IF(AND(AE434="Research",COUNTIF('Commercial Evidence'!$A$3:$A$502,$A434)=0),"Add commercial evidence","")))</f>
        <v/>
      </c>
      <c r="AI434" s="34" t="str">
        <f aca="false">IF(OR($A434="",Z434="Yes"),"",IF(AND(AE434="Priority",AG434=0,COUNTIFS(Opportunities!$A$3:$A$502,$A434,Opportunities!$Y$3:$Y$502,"Renewal due")=0),600000+(10-AC434)*1000+(4-AD434)*100+ROW()/100000,IF(V434="Yes",700000+IF(X434="",0,X434-40000)/10+ROW()/100000,IF(AND(AE434="Quick Win",U434&lt;&gt;"",AG434=0),800000+(10-AC434)*1000+ROW()/100000,IF(AND(AE434="Build a Path",COUNTIF($V$3:$V$502,"Yes")&lt;S_PathCap),900000+(10-AC434)*1000+(4-AD434)*100+ROW()/100000,"")))))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8"/>
      <c r="T435" s="27"/>
      <c r="U435" s="27"/>
      <c r="V435" s="27"/>
      <c r="W435" s="27"/>
      <c r="X435" s="28"/>
      <c r="Y435" s="27"/>
      <c r="Z435" s="27"/>
      <c r="AA435" s="27"/>
      <c r="AB435" s="32" t="str">
        <f aca="false">IF($A435="","",IF(COUNTIF('Commercial Evidence'!$A$3:$A$502,$A435)=0,"",IF(COUNTIFS('Commercial Evidence'!$A$3:$A$502,$A435,'Commercial Evidence'!$B$3:$B$502,"Previous CBS Talks spend")+COUNTIFS('Commercial Evidence'!$A$3:$A$502,$A435,'Commercial Evidence'!$B$3:$B$502,"Sponsors student organisations")&gt;0,2,IF(COUNTIFS('Commercial Evidence'!$A$3:$A$502,$A435,'Commercial Evidence'!$B$3:$B$502,"Sponsors university activities")+COUNTIFS('Commercial Evidence'!$A$3:$A$502,$A435,'Commercial Evidence'!$B$3:$B$502,"Sponsors similar events")+COUNTIFS('Commercial Evidence'!$A$3:$A$502,$A435,'Commercial Evidence'!$B$3:$B$502,"Previous CBS Talks partner")&gt;0,1,0))))</f>
        <v/>
      </c>
      <c r="AC435" s="32" t="str">
        <f aca="false">IF($A435="","",IF(COUNT(G435,J435,M435,P435,AB435)&lt;5,"",G435+J435+M435+P435+AB435))</f>
        <v/>
      </c>
      <c r="AD435" s="32" t="str">
        <f aca="false">IF($A435="","",IF(COUNTIFS(Contacts!$A$3:$A$502,$A435,Contacts!$E$3:$E$502,"Champion",Contacts!$K$3:$K$502,"&lt;&gt;Yes",Contacts!$L$3:$L$502,"&lt;&gt;Yes")+COUNTIFS(Opportunities!$A$3:$A$502,$A435,Opportunities!$C$3:$C$502,"Won",Opportunities!$Q$3:$Q$502,"Satisfied")&gt;0,4,IF(COUNTIFS(Interactions!$B$3:$B$502,$A435,Interactions!$I$3:$I$502,"Yes",Interactions!$A$3:$A$502,"&gt;="&amp;(S_Today-S_WarmDays))&gt;0,3,IF(T435&lt;&gt;"",2,IF(COUNTIFS(Contacts!$A$3:$A$502,$A435,Contacts!$M$3:$M$502,"Yes",Contacts!$K$3:$K$502,"&lt;&gt;Yes",Contacts!$L$3:$L$502,"&lt;&gt;Yes")&gt;0,1,0)))))</f>
        <v/>
      </c>
      <c r="AE435" s="32" t="str">
        <f aca="false">IF($A435="","",IF(Z435="Yes","Do not contact",IF(AC435="","Research",IF(AND(AC435&gt;=S_FitHigh,AD435&gt;=S_AccessHigh),"Priority",IF(AC435&gt;=S_FitHigh,"Build a Path",IF(AD435&gt;=S_AccessHigh,"Quick Win","Low Priority"))))))</f>
        <v/>
      </c>
      <c r="AF435" s="33" t="str">
        <f aca="false">IF($A435="","",IF(_xlfn.MAXIFS(Interactions!$A$3:$A$502,Interactions!$B$3:$B$502,$A435)=0,"",_xlfn.MAXIFS(Interactions!$A$3:$A$502,Interactions!$B$3:$B$502,$A435)))</f>
        <v/>
      </c>
      <c r="AG435" s="32" t="str">
        <f aca="false">IF($A435="","",COUNTIFS(Opportunities!$A$3:$A$502,$A435,Opportunities!$X$3:$X$502,"Yes"))</f>
        <v/>
      </c>
      <c r="AH435" s="32" t="str">
        <f aca="false">IF($A435="","",_xlfn.TEXTJOIN(", ",TRUE(),IF(COUNTIF($A$3:$A$502,$A435)&gt;1,"Duplicate name",""),IF(OR(AND(G435=2,I435=""),AND(J435=2,L435=""),AND(M435=2,O435=""),AND(P435=2,R435="")),"Source missing for a 2",""),IF(F435="","No owner",IF(COUNTIFS(R_TeamName,F435,R_TeamActive,"No")&gt;0,"Needs new owner","")),IF(AND(V435="Yes",X435&lt;&gt;"",X435&lt;S_SemStart),"Path overdue",""),IF(AND(S435&lt;&gt;"",S435&lt;S_Today-365),"Stale research",""),IF(AND(AE435="Research",COUNTIF('Commercial Evidence'!$A$3:$A$502,$A435)=0),"Add commercial evidence","")))</f>
        <v/>
      </c>
      <c r="AI435" s="34" t="str">
        <f aca="false">IF(OR($A435="",Z435="Yes"),"",IF(AND(AE435="Priority",AG435=0,COUNTIFS(Opportunities!$A$3:$A$502,$A435,Opportunities!$Y$3:$Y$502,"Renewal due")=0),600000+(10-AC435)*1000+(4-AD435)*100+ROW()/100000,IF(V435="Yes",700000+IF(X435="",0,X435-40000)/10+ROW()/100000,IF(AND(AE435="Quick Win",U435&lt;&gt;"",AG435=0),800000+(10-AC435)*1000+ROW()/100000,IF(AND(AE435="Build a Path",COUNTIF($V$3:$V$502,"Yes")&lt;S_PathCap),900000+(10-AC435)*1000+(4-AD435)*100+ROW()/100000,"")))))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8"/>
      <c r="T436" s="27"/>
      <c r="U436" s="27"/>
      <c r="V436" s="27"/>
      <c r="W436" s="27"/>
      <c r="X436" s="28"/>
      <c r="Y436" s="27"/>
      <c r="Z436" s="27"/>
      <c r="AA436" s="27"/>
      <c r="AB436" s="32" t="str">
        <f aca="false">IF($A436="","",IF(COUNTIF('Commercial Evidence'!$A$3:$A$502,$A436)=0,"",IF(COUNTIFS('Commercial Evidence'!$A$3:$A$502,$A436,'Commercial Evidence'!$B$3:$B$502,"Previous CBS Talks spend")+COUNTIFS('Commercial Evidence'!$A$3:$A$502,$A436,'Commercial Evidence'!$B$3:$B$502,"Sponsors student organisations")&gt;0,2,IF(COUNTIFS('Commercial Evidence'!$A$3:$A$502,$A436,'Commercial Evidence'!$B$3:$B$502,"Sponsors university activities")+COUNTIFS('Commercial Evidence'!$A$3:$A$502,$A436,'Commercial Evidence'!$B$3:$B$502,"Sponsors similar events")+COUNTIFS('Commercial Evidence'!$A$3:$A$502,$A436,'Commercial Evidence'!$B$3:$B$502,"Previous CBS Talks partner")&gt;0,1,0))))</f>
        <v/>
      </c>
      <c r="AC436" s="32" t="str">
        <f aca="false">IF($A436="","",IF(COUNT(G436,J436,M436,P436,AB436)&lt;5,"",G436+J436+M436+P436+AB436))</f>
        <v/>
      </c>
      <c r="AD436" s="32" t="str">
        <f aca="false">IF($A436="","",IF(COUNTIFS(Contacts!$A$3:$A$502,$A436,Contacts!$E$3:$E$502,"Champion",Contacts!$K$3:$K$502,"&lt;&gt;Yes",Contacts!$L$3:$L$502,"&lt;&gt;Yes")+COUNTIFS(Opportunities!$A$3:$A$502,$A436,Opportunities!$C$3:$C$502,"Won",Opportunities!$Q$3:$Q$502,"Satisfied")&gt;0,4,IF(COUNTIFS(Interactions!$B$3:$B$502,$A436,Interactions!$I$3:$I$502,"Yes",Interactions!$A$3:$A$502,"&gt;="&amp;(S_Today-S_WarmDays))&gt;0,3,IF(T436&lt;&gt;"",2,IF(COUNTIFS(Contacts!$A$3:$A$502,$A436,Contacts!$M$3:$M$502,"Yes",Contacts!$K$3:$K$502,"&lt;&gt;Yes",Contacts!$L$3:$L$502,"&lt;&gt;Yes")&gt;0,1,0)))))</f>
        <v/>
      </c>
      <c r="AE436" s="32" t="str">
        <f aca="false">IF($A436="","",IF(Z436="Yes","Do not contact",IF(AC436="","Research",IF(AND(AC436&gt;=S_FitHigh,AD436&gt;=S_AccessHigh),"Priority",IF(AC436&gt;=S_FitHigh,"Build a Path",IF(AD436&gt;=S_AccessHigh,"Quick Win","Low Priority"))))))</f>
        <v/>
      </c>
      <c r="AF436" s="33" t="str">
        <f aca="false">IF($A436="","",IF(_xlfn.MAXIFS(Interactions!$A$3:$A$502,Interactions!$B$3:$B$502,$A436)=0,"",_xlfn.MAXIFS(Interactions!$A$3:$A$502,Interactions!$B$3:$B$502,$A436)))</f>
        <v/>
      </c>
      <c r="AG436" s="32" t="str">
        <f aca="false">IF($A436="","",COUNTIFS(Opportunities!$A$3:$A$502,$A436,Opportunities!$X$3:$X$502,"Yes"))</f>
        <v/>
      </c>
      <c r="AH436" s="32" t="str">
        <f aca="false">IF($A436="","",_xlfn.TEXTJOIN(", ",TRUE(),IF(COUNTIF($A$3:$A$502,$A436)&gt;1,"Duplicate name",""),IF(OR(AND(G436=2,I436=""),AND(J436=2,L436=""),AND(M436=2,O436=""),AND(P436=2,R436="")),"Source missing for a 2",""),IF(F436="","No owner",IF(COUNTIFS(R_TeamName,F436,R_TeamActive,"No")&gt;0,"Needs new owner","")),IF(AND(V436="Yes",X436&lt;&gt;"",X436&lt;S_SemStart),"Path overdue",""),IF(AND(S436&lt;&gt;"",S436&lt;S_Today-365),"Stale research",""),IF(AND(AE436="Research",COUNTIF('Commercial Evidence'!$A$3:$A$502,$A436)=0),"Add commercial evidence","")))</f>
        <v/>
      </c>
      <c r="AI436" s="34" t="str">
        <f aca="false">IF(OR($A436="",Z436="Yes"),"",IF(AND(AE436="Priority",AG436=0,COUNTIFS(Opportunities!$A$3:$A$502,$A436,Opportunities!$Y$3:$Y$502,"Renewal due")=0),600000+(10-AC436)*1000+(4-AD436)*100+ROW()/100000,IF(V436="Yes",700000+IF(X436="",0,X436-40000)/10+ROW()/100000,IF(AND(AE436="Quick Win",U436&lt;&gt;"",AG436=0),800000+(10-AC436)*1000+ROW()/100000,IF(AND(AE436="Build a Path",COUNTIF($V$3:$V$502,"Yes")&lt;S_PathCap),900000+(10-AC436)*1000+(4-AD436)*100+ROW()/100000,"")))))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8"/>
      <c r="T437" s="27"/>
      <c r="U437" s="27"/>
      <c r="V437" s="27"/>
      <c r="W437" s="27"/>
      <c r="X437" s="28"/>
      <c r="Y437" s="27"/>
      <c r="Z437" s="27"/>
      <c r="AA437" s="27"/>
      <c r="AB437" s="32" t="str">
        <f aca="false">IF($A437="","",IF(COUNTIF('Commercial Evidence'!$A$3:$A$502,$A437)=0,"",IF(COUNTIFS('Commercial Evidence'!$A$3:$A$502,$A437,'Commercial Evidence'!$B$3:$B$502,"Previous CBS Talks spend")+COUNTIFS('Commercial Evidence'!$A$3:$A$502,$A437,'Commercial Evidence'!$B$3:$B$502,"Sponsors student organisations")&gt;0,2,IF(COUNTIFS('Commercial Evidence'!$A$3:$A$502,$A437,'Commercial Evidence'!$B$3:$B$502,"Sponsors university activities")+COUNTIFS('Commercial Evidence'!$A$3:$A$502,$A437,'Commercial Evidence'!$B$3:$B$502,"Sponsors similar events")+COUNTIFS('Commercial Evidence'!$A$3:$A$502,$A437,'Commercial Evidence'!$B$3:$B$502,"Previous CBS Talks partner")&gt;0,1,0))))</f>
        <v/>
      </c>
      <c r="AC437" s="32" t="str">
        <f aca="false">IF($A437="","",IF(COUNT(G437,J437,M437,P437,AB437)&lt;5,"",G437+J437+M437+P437+AB437))</f>
        <v/>
      </c>
      <c r="AD437" s="32" t="str">
        <f aca="false">IF($A437="","",IF(COUNTIFS(Contacts!$A$3:$A$502,$A437,Contacts!$E$3:$E$502,"Champion",Contacts!$K$3:$K$502,"&lt;&gt;Yes",Contacts!$L$3:$L$502,"&lt;&gt;Yes")+COUNTIFS(Opportunities!$A$3:$A$502,$A437,Opportunities!$C$3:$C$502,"Won",Opportunities!$Q$3:$Q$502,"Satisfied")&gt;0,4,IF(COUNTIFS(Interactions!$B$3:$B$502,$A437,Interactions!$I$3:$I$502,"Yes",Interactions!$A$3:$A$502,"&gt;="&amp;(S_Today-S_WarmDays))&gt;0,3,IF(T437&lt;&gt;"",2,IF(COUNTIFS(Contacts!$A$3:$A$502,$A437,Contacts!$M$3:$M$502,"Yes",Contacts!$K$3:$K$502,"&lt;&gt;Yes",Contacts!$L$3:$L$502,"&lt;&gt;Yes")&gt;0,1,0)))))</f>
        <v/>
      </c>
      <c r="AE437" s="32" t="str">
        <f aca="false">IF($A437="","",IF(Z437="Yes","Do not contact",IF(AC437="","Research",IF(AND(AC437&gt;=S_FitHigh,AD437&gt;=S_AccessHigh),"Priority",IF(AC437&gt;=S_FitHigh,"Build a Path",IF(AD437&gt;=S_AccessHigh,"Quick Win","Low Priority"))))))</f>
        <v/>
      </c>
      <c r="AF437" s="33" t="str">
        <f aca="false">IF($A437="","",IF(_xlfn.MAXIFS(Interactions!$A$3:$A$502,Interactions!$B$3:$B$502,$A437)=0,"",_xlfn.MAXIFS(Interactions!$A$3:$A$502,Interactions!$B$3:$B$502,$A437)))</f>
        <v/>
      </c>
      <c r="AG437" s="32" t="str">
        <f aca="false">IF($A437="","",COUNTIFS(Opportunities!$A$3:$A$502,$A437,Opportunities!$X$3:$X$502,"Yes"))</f>
        <v/>
      </c>
      <c r="AH437" s="32" t="str">
        <f aca="false">IF($A437="","",_xlfn.TEXTJOIN(", ",TRUE(),IF(COUNTIF($A$3:$A$502,$A437)&gt;1,"Duplicate name",""),IF(OR(AND(G437=2,I437=""),AND(J437=2,L437=""),AND(M437=2,O437=""),AND(P437=2,R437="")),"Source missing for a 2",""),IF(F437="","No owner",IF(COUNTIFS(R_TeamName,F437,R_TeamActive,"No")&gt;0,"Needs new owner","")),IF(AND(V437="Yes",X437&lt;&gt;"",X437&lt;S_SemStart),"Path overdue",""),IF(AND(S437&lt;&gt;"",S437&lt;S_Today-365),"Stale research",""),IF(AND(AE437="Research",COUNTIF('Commercial Evidence'!$A$3:$A$502,$A437)=0),"Add commercial evidence","")))</f>
        <v/>
      </c>
      <c r="AI437" s="34" t="str">
        <f aca="false">IF(OR($A437="",Z437="Yes"),"",IF(AND(AE437="Priority",AG437=0,COUNTIFS(Opportunities!$A$3:$A$502,$A437,Opportunities!$Y$3:$Y$502,"Renewal due")=0),600000+(10-AC437)*1000+(4-AD437)*100+ROW()/100000,IF(V437="Yes",700000+IF(X437="",0,X437-40000)/10+ROW()/100000,IF(AND(AE437="Quick Win",U437&lt;&gt;"",AG437=0),800000+(10-AC437)*1000+ROW()/100000,IF(AND(AE437="Build a Path",COUNTIF($V$3:$V$502,"Yes")&lt;S_PathCap),900000+(10-AC437)*1000+(4-AD437)*100+ROW()/100000,"")))))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8"/>
      <c r="T438" s="27"/>
      <c r="U438" s="27"/>
      <c r="V438" s="27"/>
      <c r="W438" s="27"/>
      <c r="X438" s="28"/>
      <c r="Y438" s="27"/>
      <c r="Z438" s="27"/>
      <c r="AA438" s="27"/>
      <c r="AB438" s="32" t="str">
        <f aca="false">IF($A438="","",IF(COUNTIF('Commercial Evidence'!$A$3:$A$502,$A438)=0,"",IF(COUNTIFS('Commercial Evidence'!$A$3:$A$502,$A438,'Commercial Evidence'!$B$3:$B$502,"Previous CBS Talks spend")+COUNTIFS('Commercial Evidence'!$A$3:$A$502,$A438,'Commercial Evidence'!$B$3:$B$502,"Sponsors student organisations")&gt;0,2,IF(COUNTIFS('Commercial Evidence'!$A$3:$A$502,$A438,'Commercial Evidence'!$B$3:$B$502,"Sponsors university activities")+COUNTIFS('Commercial Evidence'!$A$3:$A$502,$A438,'Commercial Evidence'!$B$3:$B$502,"Sponsors similar events")+COUNTIFS('Commercial Evidence'!$A$3:$A$502,$A438,'Commercial Evidence'!$B$3:$B$502,"Previous CBS Talks partner")&gt;0,1,0))))</f>
        <v/>
      </c>
      <c r="AC438" s="32" t="str">
        <f aca="false">IF($A438="","",IF(COUNT(G438,J438,M438,P438,AB438)&lt;5,"",G438+J438+M438+P438+AB438))</f>
        <v/>
      </c>
      <c r="AD438" s="32" t="str">
        <f aca="false">IF($A438="","",IF(COUNTIFS(Contacts!$A$3:$A$502,$A438,Contacts!$E$3:$E$502,"Champion",Contacts!$K$3:$K$502,"&lt;&gt;Yes",Contacts!$L$3:$L$502,"&lt;&gt;Yes")+COUNTIFS(Opportunities!$A$3:$A$502,$A438,Opportunities!$C$3:$C$502,"Won",Opportunities!$Q$3:$Q$502,"Satisfied")&gt;0,4,IF(COUNTIFS(Interactions!$B$3:$B$502,$A438,Interactions!$I$3:$I$502,"Yes",Interactions!$A$3:$A$502,"&gt;="&amp;(S_Today-S_WarmDays))&gt;0,3,IF(T438&lt;&gt;"",2,IF(COUNTIFS(Contacts!$A$3:$A$502,$A438,Contacts!$M$3:$M$502,"Yes",Contacts!$K$3:$K$502,"&lt;&gt;Yes",Contacts!$L$3:$L$502,"&lt;&gt;Yes")&gt;0,1,0)))))</f>
        <v/>
      </c>
      <c r="AE438" s="32" t="str">
        <f aca="false">IF($A438="","",IF(Z438="Yes","Do not contact",IF(AC438="","Research",IF(AND(AC438&gt;=S_FitHigh,AD438&gt;=S_AccessHigh),"Priority",IF(AC438&gt;=S_FitHigh,"Build a Path",IF(AD438&gt;=S_AccessHigh,"Quick Win","Low Priority"))))))</f>
        <v/>
      </c>
      <c r="AF438" s="33" t="str">
        <f aca="false">IF($A438="","",IF(_xlfn.MAXIFS(Interactions!$A$3:$A$502,Interactions!$B$3:$B$502,$A438)=0,"",_xlfn.MAXIFS(Interactions!$A$3:$A$502,Interactions!$B$3:$B$502,$A438)))</f>
        <v/>
      </c>
      <c r="AG438" s="32" t="str">
        <f aca="false">IF($A438="","",COUNTIFS(Opportunities!$A$3:$A$502,$A438,Opportunities!$X$3:$X$502,"Yes"))</f>
        <v/>
      </c>
      <c r="AH438" s="32" t="str">
        <f aca="false">IF($A438="","",_xlfn.TEXTJOIN(", ",TRUE(),IF(COUNTIF($A$3:$A$502,$A438)&gt;1,"Duplicate name",""),IF(OR(AND(G438=2,I438=""),AND(J438=2,L438=""),AND(M438=2,O438=""),AND(P438=2,R438="")),"Source missing for a 2",""),IF(F438="","No owner",IF(COUNTIFS(R_TeamName,F438,R_TeamActive,"No")&gt;0,"Needs new owner","")),IF(AND(V438="Yes",X438&lt;&gt;"",X438&lt;S_SemStart),"Path overdue",""),IF(AND(S438&lt;&gt;"",S438&lt;S_Today-365),"Stale research",""),IF(AND(AE438="Research",COUNTIF('Commercial Evidence'!$A$3:$A$502,$A438)=0),"Add commercial evidence","")))</f>
        <v/>
      </c>
      <c r="AI438" s="34" t="str">
        <f aca="false">IF(OR($A438="",Z438="Yes"),"",IF(AND(AE438="Priority",AG438=0,COUNTIFS(Opportunities!$A$3:$A$502,$A438,Opportunities!$Y$3:$Y$502,"Renewal due")=0),600000+(10-AC438)*1000+(4-AD438)*100+ROW()/100000,IF(V438="Yes",700000+IF(X438="",0,X438-40000)/10+ROW()/100000,IF(AND(AE438="Quick Win",U438&lt;&gt;"",AG438=0),800000+(10-AC438)*1000+ROW()/100000,IF(AND(AE438="Build a Path",COUNTIF($V$3:$V$502,"Yes")&lt;S_PathCap),900000+(10-AC438)*1000+(4-AD438)*100+ROW()/100000,"")))))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8"/>
      <c r="T439" s="27"/>
      <c r="U439" s="27"/>
      <c r="V439" s="27"/>
      <c r="W439" s="27"/>
      <c r="X439" s="28"/>
      <c r="Y439" s="27"/>
      <c r="Z439" s="27"/>
      <c r="AA439" s="27"/>
      <c r="AB439" s="32" t="str">
        <f aca="false">IF($A439="","",IF(COUNTIF('Commercial Evidence'!$A$3:$A$502,$A439)=0,"",IF(COUNTIFS('Commercial Evidence'!$A$3:$A$502,$A439,'Commercial Evidence'!$B$3:$B$502,"Previous CBS Talks spend")+COUNTIFS('Commercial Evidence'!$A$3:$A$502,$A439,'Commercial Evidence'!$B$3:$B$502,"Sponsors student organisations")&gt;0,2,IF(COUNTIFS('Commercial Evidence'!$A$3:$A$502,$A439,'Commercial Evidence'!$B$3:$B$502,"Sponsors university activities")+COUNTIFS('Commercial Evidence'!$A$3:$A$502,$A439,'Commercial Evidence'!$B$3:$B$502,"Sponsors similar events")+COUNTIFS('Commercial Evidence'!$A$3:$A$502,$A439,'Commercial Evidence'!$B$3:$B$502,"Previous CBS Talks partner")&gt;0,1,0))))</f>
        <v/>
      </c>
      <c r="AC439" s="32" t="str">
        <f aca="false">IF($A439="","",IF(COUNT(G439,J439,M439,P439,AB439)&lt;5,"",G439+J439+M439+P439+AB439))</f>
        <v/>
      </c>
      <c r="AD439" s="32" t="str">
        <f aca="false">IF($A439="","",IF(COUNTIFS(Contacts!$A$3:$A$502,$A439,Contacts!$E$3:$E$502,"Champion",Contacts!$K$3:$K$502,"&lt;&gt;Yes",Contacts!$L$3:$L$502,"&lt;&gt;Yes")+COUNTIFS(Opportunities!$A$3:$A$502,$A439,Opportunities!$C$3:$C$502,"Won",Opportunities!$Q$3:$Q$502,"Satisfied")&gt;0,4,IF(COUNTIFS(Interactions!$B$3:$B$502,$A439,Interactions!$I$3:$I$502,"Yes",Interactions!$A$3:$A$502,"&gt;="&amp;(S_Today-S_WarmDays))&gt;0,3,IF(T439&lt;&gt;"",2,IF(COUNTIFS(Contacts!$A$3:$A$502,$A439,Contacts!$M$3:$M$502,"Yes",Contacts!$K$3:$K$502,"&lt;&gt;Yes",Contacts!$L$3:$L$502,"&lt;&gt;Yes")&gt;0,1,0)))))</f>
        <v/>
      </c>
      <c r="AE439" s="32" t="str">
        <f aca="false">IF($A439="","",IF(Z439="Yes","Do not contact",IF(AC439="","Research",IF(AND(AC439&gt;=S_FitHigh,AD439&gt;=S_AccessHigh),"Priority",IF(AC439&gt;=S_FitHigh,"Build a Path",IF(AD439&gt;=S_AccessHigh,"Quick Win","Low Priority"))))))</f>
        <v/>
      </c>
      <c r="AF439" s="33" t="str">
        <f aca="false">IF($A439="","",IF(_xlfn.MAXIFS(Interactions!$A$3:$A$502,Interactions!$B$3:$B$502,$A439)=0,"",_xlfn.MAXIFS(Interactions!$A$3:$A$502,Interactions!$B$3:$B$502,$A439)))</f>
        <v/>
      </c>
      <c r="AG439" s="32" t="str">
        <f aca="false">IF($A439="","",COUNTIFS(Opportunities!$A$3:$A$502,$A439,Opportunities!$X$3:$X$502,"Yes"))</f>
        <v/>
      </c>
      <c r="AH439" s="32" t="str">
        <f aca="false">IF($A439="","",_xlfn.TEXTJOIN(", ",TRUE(),IF(COUNTIF($A$3:$A$502,$A439)&gt;1,"Duplicate name",""),IF(OR(AND(G439=2,I439=""),AND(J439=2,L439=""),AND(M439=2,O439=""),AND(P439=2,R439="")),"Source missing for a 2",""),IF(F439="","No owner",IF(COUNTIFS(R_TeamName,F439,R_TeamActive,"No")&gt;0,"Needs new owner","")),IF(AND(V439="Yes",X439&lt;&gt;"",X439&lt;S_SemStart),"Path overdue",""),IF(AND(S439&lt;&gt;"",S439&lt;S_Today-365),"Stale research",""),IF(AND(AE439="Research",COUNTIF('Commercial Evidence'!$A$3:$A$502,$A439)=0),"Add commercial evidence","")))</f>
        <v/>
      </c>
      <c r="AI439" s="34" t="str">
        <f aca="false">IF(OR($A439="",Z439="Yes"),"",IF(AND(AE439="Priority",AG439=0,COUNTIFS(Opportunities!$A$3:$A$502,$A439,Opportunities!$Y$3:$Y$502,"Renewal due")=0),600000+(10-AC439)*1000+(4-AD439)*100+ROW()/100000,IF(V439="Yes",700000+IF(X439="",0,X439-40000)/10+ROW()/100000,IF(AND(AE439="Quick Win",U439&lt;&gt;"",AG439=0),800000+(10-AC439)*1000+ROW()/100000,IF(AND(AE439="Build a Path",COUNTIF($V$3:$V$502,"Yes")&lt;S_PathCap),900000+(10-AC439)*1000+(4-AD439)*100+ROW()/100000,"")))))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8"/>
      <c r="T440" s="27"/>
      <c r="U440" s="27"/>
      <c r="V440" s="27"/>
      <c r="W440" s="27"/>
      <c r="X440" s="28"/>
      <c r="Y440" s="27"/>
      <c r="Z440" s="27"/>
      <c r="AA440" s="27"/>
      <c r="AB440" s="32" t="str">
        <f aca="false">IF($A440="","",IF(COUNTIF('Commercial Evidence'!$A$3:$A$502,$A440)=0,"",IF(COUNTIFS('Commercial Evidence'!$A$3:$A$502,$A440,'Commercial Evidence'!$B$3:$B$502,"Previous CBS Talks spend")+COUNTIFS('Commercial Evidence'!$A$3:$A$502,$A440,'Commercial Evidence'!$B$3:$B$502,"Sponsors student organisations")&gt;0,2,IF(COUNTIFS('Commercial Evidence'!$A$3:$A$502,$A440,'Commercial Evidence'!$B$3:$B$502,"Sponsors university activities")+COUNTIFS('Commercial Evidence'!$A$3:$A$502,$A440,'Commercial Evidence'!$B$3:$B$502,"Sponsors similar events")+COUNTIFS('Commercial Evidence'!$A$3:$A$502,$A440,'Commercial Evidence'!$B$3:$B$502,"Previous CBS Talks partner")&gt;0,1,0))))</f>
        <v/>
      </c>
      <c r="AC440" s="32" t="str">
        <f aca="false">IF($A440="","",IF(COUNT(G440,J440,M440,P440,AB440)&lt;5,"",G440+J440+M440+P440+AB440))</f>
        <v/>
      </c>
      <c r="AD440" s="32" t="str">
        <f aca="false">IF($A440="","",IF(COUNTIFS(Contacts!$A$3:$A$502,$A440,Contacts!$E$3:$E$502,"Champion",Contacts!$K$3:$K$502,"&lt;&gt;Yes",Contacts!$L$3:$L$502,"&lt;&gt;Yes")+COUNTIFS(Opportunities!$A$3:$A$502,$A440,Opportunities!$C$3:$C$502,"Won",Opportunities!$Q$3:$Q$502,"Satisfied")&gt;0,4,IF(COUNTIFS(Interactions!$B$3:$B$502,$A440,Interactions!$I$3:$I$502,"Yes",Interactions!$A$3:$A$502,"&gt;="&amp;(S_Today-S_WarmDays))&gt;0,3,IF(T440&lt;&gt;"",2,IF(COUNTIFS(Contacts!$A$3:$A$502,$A440,Contacts!$M$3:$M$502,"Yes",Contacts!$K$3:$K$502,"&lt;&gt;Yes",Contacts!$L$3:$L$502,"&lt;&gt;Yes")&gt;0,1,0)))))</f>
        <v/>
      </c>
      <c r="AE440" s="32" t="str">
        <f aca="false">IF($A440="","",IF(Z440="Yes","Do not contact",IF(AC440="","Research",IF(AND(AC440&gt;=S_FitHigh,AD440&gt;=S_AccessHigh),"Priority",IF(AC440&gt;=S_FitHigh,"Build a Path",IF(AD440&gt;=S_AccessHigh,"Quick Win","Low Priority"))))))</f>
        <v/>
      </c>
      <c r="AF440" s="33" t="str">
        <f aca="false">IF($A440="","",IF(_xlfn.MAXIFS(Interactions!$A$3:$A$502,Interactions!$B$3:$B$502,$A440)=0,"",_xlfn.MAXIFS(Interactions!$A$3:$A$502,Interactions!$B$3:$B$502,$A440)))</f>
        <v/>
      </c>
      <c r="AG440" s="32" t="str">
        <f aca="false">IF($A440="","",COUNTIFS(Opportunities!$A$3:$A$502,$A440,Opportunities!$X$3:$X$502,"Yes"))</f>
        <v/>
      </c>
      <c r="AH440" s="32" t="str">
        <f aca="false">IF($A440="","",_xlfn.TEXTJOIN(", ",TRUE(),IF(COUNTIF($A$3:$A$502,$A440)&gt;1,"Duplicate name",""),IF(OR(AND(G440=2,I440=""),AND(J440=2,L440=""),AND(M440=2,O440=""),AND(P440=2,R440="")),"Source missing for a 2",""),IF(F440="","No owner",IF(COUNTIFS(R_TeamName,F440,R_TeamActive,"No")&gt;0,"Needs new owner","")),IF(AND(V440="Yes",X440&lt;&gt;"",X440&lt;S_SemStart),"Path overdue",""),IF(AND(S440&lt;&gt;"",S440&lt;S_Today-365),"Stale research",""),IF(AND(AE440="Research",COUNTIF('Commercial Evidence'!$A$3:$A$502,$A440)=0),"Add commercial evidence","")))</f>
        <v/>
      </c>
      <c r="AI440" s="34" t="str">
        <f aca="false">IF(OR($A440="",Z440="Yes"),"",IF(AND(AE440="Priority",AG440=0,COUNTIFS(Opportunities!$A$3:$A$502,$A440,Opportunities!$Y$3:$Y$502,"Renewal due")=0),600000+(10-AC440)*1000+(4-AD440)*100+ROW()/100000,IF(V440="Yes",700000+IF(X440="",0,X440-40000)/10+ROW()/100000,IF(AND(AE440="Quick Win",U440&lt;&gt;"",AG440=0),800000+(10-AC440)*1000+ROW()/100000,IF(AND(AE440="Build a Path",COUNTIF($V$3:$V$502,"Yes")&lt;S_PathCap),900000+(10-AC440)*1000+(4-AD440)*100+ROW()/100000,"")))))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8"/>
      <c r="T441" s="27"/>
      <c r="U441" s="27"/>
      <c r="V441" s="27"/>
      <c r="W441" s="27"/>
      <c r="X441" s="28"/>
      <c r="Y441" s="27"/>
      <c r="Z441" s="27"/>
      <c r="AA441" s="27"/>
      <c r="AB441" s="32" t="str">
        <f aca="false">IF($A441="","",IF(COUNTIF('Commercial Evidence'!$A$3:$A$502,$A441)=0,"",IF(COUNTIFS('Commercial Evidence'!$A$3:$A$502,$A441,'Commercial Evidence'!$B$3:$B$502,"Previous CBS Talks spend")+COUNTIFS('Commercial Evidence'!$A$3:$A$502,$A441,'Commercial Evidence'!$B$3:$B$502,"Sponsors student organisations")&gt;0,2,IF(COUNTIFS('Commercial Evidence'!$A$3:$A$502,$A441,'Commercial Evidence'!$B$3:$B$502,"Sponsors university activities")+COUNTIFS('Commercial Evidence'!$A$3:$A$502,$A441,'Commercial Evidence'!$B$3:$B$502,"Sponsors similar events")+COUNTIFS('Commercial Evidence'!$A$3:$A$502,$A441,'Commercial Evidence'!$B$3:$B$502,"Previous CBS Talks partner")&gt;0,1,0))))</f>
        <v/>
      </c>
      <c r="AC441" s="32" t="str">
        <f aca="false">IF($A441="","",IF(COUNT(G441,J441,M441,P441,AB441)&lt;5,"",G441+J441+M441+P441+AB441))</f>
        <v/>
      </c>
      <c r="AD441" s="32" t="str">
        <f aca="false">IF($A441="","",IF(COUNTIFS(Contacts!$A$3:$A$502,$A441,Contacts!$E$3:$E$502,"Champion",Contacts!$K$3:$K$502,"&lt;&gt;Yes",Contacts!$L$3:$L$502,"&lt;&gt;Yes")+COUNTIFS(Opportunities!$A$3:$A$502,$A441,Opportunities!$C$3:$C$502,"Won",Opportunities!$Q$3:$Q$502,"Satisfied")&gt;0,4,IF(COUNTIFS(Interactions!$B$3:$B$502,$A441,Interactions!$I$3:$I$502,"Yes",Interactions!$A$3:$A$502,"&gt;="&amp;(S_Today-S_WarmDays))&gt;0,3,IF(T441&lt;&gt;"",2,IF(COUNTIFS(Contacts!$A$3:$A$502,$A441,Contacts!$M$3:$M$502,"Yes",Contacts!$K$3:$K$502,"&lt;&gt;Yes",Contacts!$L$3:$L$502,"&lt;&gt;Yes")&gt;0,1,0)))))</f>
        <v/>
      </c>
      <c r="AE441" s="32" t="str">
        <f aca="false">IF($A441="","",IF(Z441="Yes","Do not contact",IF(AC441="","Research",IF(AND(AC441&gt;=S_FitHigh,AD441&gt;=S_AccessHigh),"Priority",IF(AC441&gt;=S_FitHigh,"Build a Path",IF(AD441&gt;=S_AccessHigh,"Quick Win","Low Priority"))))))</f>
        <v/>
      </c>
      <c r="AF441" s="33" t="str">
        <f aca="false">IF($A441="","",IF(_xlfn.MAXIFS(Interactions!$A$3:$A$502,Interactions!$B$3:$B$502,$A441)=0,"",_xlfn.MAXIFS(Interactions!$A$3:$A$502,Interactions!$B$3:$B$502,$A441)))</f>
        <v/>
      </c>
      <c r="AG441" s="32" t="str">
        <f aca="false">IF($A441="","",COUNTIFS(Opportunities!$A$3:$A$502,$A441,Opportunities!$X$3:$X$502,"Yes"))</f>
        <v/>
      </c>
      <c r="AH441" s="32" t="str">
        <f aca="false">IF($A441="","",_xlfn.TEXTJOIN(", ",TRUE(),IF(COUNTIF($A$3:$A$502,$A441)&gt;1,"Duplicate name",""),IF(OR(AND(G441=2,I441=""),AND(J441=2,L441=""),AND(M441=2,O441=""),AND(P441=2,R441="")),"Source missing for a 2",""),IF(F441="","No owner",IF(COUNTIFS(R_TeamName,F441,R_TeamActive,"No")&gt;0,"Needs new owner","")),IF(AND(V441="Yes",X441&lt;&gt;"",X441&lt;S_SemStart),"Path overdue",""),IF(AND(S441&lt;&gt;"",S441&lt;S_Today-365),"Stale research",""),IF(AND(AE441="Research",COUNTIF('Commercial Evidence'!$A$3:$A$502,$A441)=0),"Add commercial evidence","")))</f>
        <v/>
      </c>
      <c r="AI441" s="34" t="str">
        <f aca="false">IF(OR($A441="",Z441="Yes"),"",IF(AND(AE441="Priority",AG441=0,COUNTIFS(Opportunities!$A$3:$A$502,$A441,Opportunities!$Y$3:$Y$502,"Renewal due")=0),600000+(10-AC441)*1000+(4-AD441)*100+ROW()/100000,IF(V441="Yes",700000+IF(X441="",0,X441-40000)/10+ROW()/100000,IF(AND(AE441="Quick Win",U441&lt;&gt;"",AG441=0),800000+(10-AC441)*1000+ROW()/100000,IF(AND(AE441="Build a Path",COUNTIF($V$3:$V$502,"Yes")&lt;S_PathCap),900000+(10-AC441)*1000+(4-AD441)*100+ROW()/100000,"")))))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8"/>
      <c r="T442" s="27"/>
      <c r="U442" s="27"/>
      <c r="V442" s="27"/>
      <c r="W442" s="27"/>
      <c r="X442" s="28"/>
      <c r="Y442" s="27"/>
      <c r="Z442" s="27"/>
      <c r="AA442" s="27"/>
      <c r="AB442" s="32" t="str">
        <f aca="false">IF($A442="","",IF(COUNTIF('Commercial Evidence'!$A$3:$A$502,$A442)=0,"",IF(COUNTIFS('Commercial Evidence'!$A$3:$A$502,$A442,'Commercial Evidence'!$B$3:$B$502,"Previous CBS Talks spend")+COUNTIFS('Commercial Evidence'!$A$3:$A$502,$A442,'Commercial Evidence'!$B$3:$B$502,"Sponsors student organisations")&gt;0,2,IF(COUNTIFS('Commercial Evidence'!$A$3:$A$502,$A442,'Commercial Evidence'!$B$3:$B$502,"Sponsors university activities")+COUNTIFS('Commercial Evidence'!$A$3:$A$502,$A442,'Commercial Evidence'!$B$3:$B$502,"Sponsors similar events")+COUNTIFS('Commercial Evidence'!$A$3:$A$502,$A442,'Commercial Evidence'!$B$3:$B$502,"Previous CBS Talks partner")&gt;0,1,0))))</f>
        <v/>
      </c>
      <c r="AC442" s="32" t="str">
        <f aca="false">IF($A442="","",IF(COUNT(G442,J442,M442,P442,AB442)&lt;5,"",G442+J442+M442+P442+AB442))</f>
        <v/>
      </c>
      <c r="AD442" s="32" t="str">
        <f aca="false">IF($A442="","",IF(COUNTIFS(Contacts!$A$3:$A$502,$A442,Contacts!$E$3:$E$502,"Champion",Contacts!$K$3:$K$502,"&lt;&gt;Yes",Contacts!$L$3:$L$502,"&lt;&gt;Yes")+COUNTIFS(Opportunities!$A$3:$A$502,$A442,Opportunities!$C$3:$C$502,"Won",Opportunities!$Q$3:$Q$502,"Satisfied")&gt;0,4,IF(COUNTIFS(Interactions!$B$3:$B$502,$A442,Interactions!$I$3:$I$502,"Yes",Interactions!$A$3:$A$502,"&gt;="&amp;(S_Today-S_WarmDays))&gt;0,3,IF(T442&lt;&gt;"",2,IF(COUNTIFS(Contacts!$A$3:$A$502,$A442,Contacts!$M$3:$M$502,"Yes",Contacts!$K$3:$K$502,"&lt;&gt;Yes",Contacts!$L$3:$L$502,"&lt;&gt;Yes")&gt;0,1,0)))))</f>
        <v/>
      </c>
      <c r="AE442" s="32" t="str">
        <f aca="false">IF($A442="","",IF(Z442="Yes","Do not contact",IF(AC442="","Research",IF(AND(AC442&gt;=S_FitHigh,AD442&gt;=S_AccessHigh),"Priority",IF(AC442&gt;=S_FitHigh,"Build a Path",IF(AD442&gt;=S_AccessHigh,"Quick Win","Low Priority"))))))</f>
        <v/>
      </c>
      <c r="AF442" s="33" t="str">
        <f aca="false">IF($A442="","",IF(_xlfn.MAXIFS(Interactions!$A$3:$A$502,Interactions!$B$3:$B$502,$A442)=0,"",_xlfn.MAXIFS(Interactions!$A$3:$A$502,Interactions!$B$3:$B$502,$A442)))</f>
        <v/>
      </c>
      <c r="AG442" s="32" t="str">
        <f aca="false">IF($A442="","",COUNTIFS(Opportunities!$A$3:$A$502,$A442,Opportunities!$X$3:$X$502,"Yes"))</f>
        <v/>
      </c>
      <c r="AH442" s="32" t="str">
        <f aca="false">IF($A442="","",_xlfn.TEXTJOIN(", ",TRUE(),IF(COUNTIF($A$3:$A$502,$A442)&gt;1,"Duplicate name",""),IF(OR(AND(G442=2,I442=""),AND(J442=2,L442=""),AND(M442=2,O442=""),AND(P442=2,R442="")),"Source missing for a 2",""),IF(F442="","No owner",IF(COUNTIFS(R_TeamName,F442,R_TeamActive,"No")&gt;0,"Needs new owner","")),IF(AND(V442="Yes",X442&lt;&gt;"",X442&lt;S_SemStart),"Path overdue",""),IF(AND(S442&lt;&gt;"",S442&lt;S_Today-365),"Stale research",""),IF(AND(AE442="Research",COUNTIF('Commercial Evidence'!$A$3:$A$502,$A442)=0),"Add commercial evidence","")))</f>
        <v/>
      </c>
      <c r="AI442" s="34" t="str">
        <f aca="false">IF(OR($A442="",Z442="Yes"),"",IF(AND(AE442="Priority",AG442=0,COUNTIFS(Opportunities!$A$3:$A$502,$A442,Opportunities!$Y$3:$Y$502,"Renewal due")=0),600000+(10-AC442)*1000+(4-AD442)*100+ROW()/100000,IF(V442="Yes",700000+IF(X442="",0,X442-40000)/10+ROW()/100000,IF(AND(AE442="Quick Win",U442&lt;&gt;"",AG442=0),800000+(10-AC442)*1000+ROW()/100000,IF(AND(AE442="Build a Path",COUNTIF($V$3:$V$502,"Yes")&lt;S_PathCap),900000+(10-AC442)*1000+(4-AD442)*100+ROW()/100000,"")))))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8"/>
      <c r="T443" s="27"/>
      <c r="U443" s="27"/>
      <c r="V443" s="27"/>
      <c r="W443" s="27"/>
      <c r="X443" s="28"/>
      <c r="Y443" s="27"/>
      <c r="Z443" s="27"/>
      <c r="AA443" s="27"/>
      <c r="AB443" s="32" t="str">
        <f aca="false">IF($A443="","",IF(COUNTIF('Commercial Evidence'!$A$3:$A$502,$A443)=0,"",IF(COUNTIFS('Commercial Evidence'!$A$3:$A$502,$A443,'Commercial Evidence'!$B$3:$B$502,"Previous CBS Talks spend")+COUNTIFS('Commercial Evidence'!$A$3:$A$502,$A443,'Commercial Evidence'!$B$3:$B$502,"Sponsors student organisations")&gt;0,2,IF(COUNTIFS('Commercial Evidence'!$A$3:$A$502,$A443,'Commercial Evidence'!$B$3:$B$502,"Sponsors university activities")+COUNTIFS('Commercial Evidence'!$A$3:$A$502,$A443,'Commercial Evidence'!$B$3:$B$502,"Sponsors similar events")+COUNTIFS('Commercial Evidence'!$A$3:$A$502,$A443,'Commercial Evidence'!$B$3:$B$502,"Previous CBS Talks partner")&gt;0,1,0))))</f>
        <v/>
      </c>
      <c r="AC443" s="32" t="str">
        <f aca="false">IF($A443="","",IF(COUNT(G443,J443,M443,P443,AB443)&lt;5,"",G443+J443+M443+P443+AB443))</f>
        <v/>
      </c>
      <c r="AD443" s="32" t="str">
        <f aca="false">IF($A443="","",IF(COUNTIFS(Contacts!$A$3:$A$502,$A443,Contacts!$E$3:$E$502,"Champion",Contacts!$K$3:$K$502,"&lt;&gt;Yes",Contacts!$L$3:$L$502,"&lt;&gt;Yes")+COUNTIFS(Opportunities!$A$3:$A$502,$A443,Opportunities!$C$3:$C$502,"Won",Opportunities!$Q$3:$Q$502,"Satisfied")&gt;0,4,IF(COUNTIFS(Interactions!$B$3:$B$502,$A443,Interactions!$I$3:$I$502,"Yes",Interactions!$A$3:$A$502,"&gt;="&amp;(S_Today-S_WarmDays))&gt;0,3,IF(T443&lt;&gt;"",2,IF(COUNTIFS(Contacts!$A$3:$A$502,$A443,Contacts!$M$3:$M$502,"Yes",Contacts!$K$3:$K$502,"&lt;&gt;Yes",Contacts!$L$3:$L$502,"&lt;&gt;Yes")&gt;0,1,0)))))</f>
        <v/>
      </c>
      <c r="AE443" s="32" t="str">
        <f aca="false">IF($A443="","",IF(Z443="Yes","Do not contact",IF(AC443="","Research",IF(AND(AC443&gt;=S_FitHigh,AD443&gt;=S_AccessHigh),"Priority",IF(AC443&gt;=S_FitHigh,"Build a Path",IF(AD443&gt;=S_AccessHigh,"Quick Win","Low Priority"))))))</f>
        <v/>
      </c>
      <c r="AF443" s="33" t="str">
        <f aca="false">IF($A443="","",IF(_xlfn.MAXIFS(Interactions!$A$3:$A$502,Interactions!$B$3:$B$502,$A443)=0,"",_xlfn.MAXIFS(Interactions!$A$3:$A$502,Interactions!$B$3:$B$502,$A443)))</f>
        <v/>
      </c>
      <c r="AG443" s="32" t="str">
        <f aca="false">IF($A443="","",COUNTIFS(Opportunities!$A$3:$A$502,$A443,Opportunities!$X$3:$X$502,"Yes"))</f>
        <v/>
      </c>
      <c r="AH443" s="32" t="str">
        <f aca="false">IF($A443="","",_xlfn.TEXTJOIN(", ",TRUE(),IF(COUNTIF($A$3:$A$502,$A443)&gt;1,"Duplicate name",""),IF(OR(AND(G443=2,I443=""),AND(J443=2,L443=""),AND(M443=2,O443=""),AND(P443=2,R443="")),"Source missing for a 2",""),IF(F443="","No owner",IF(COUNTIFS(R_TeamName,F443,R_TeamActive,"No")&gt;0,"Needs new owner","")),IF(AND(V443="Yes",X443&lt;&gt;"",X443&lt;S_SemStart),"Path overdue",""),IF(AND(S443&lt;&gt;"",S443&lt;S_Today-365),"Stale research",""),IF(AND(AE443="Research",COUNTIF('Commercial Evidence'!$A$3:$A$502,$A443)=0),"Add commercial evidence","")))</f>
        <v/>
      </c>
      <c r="AI443" s="34" t="str">
        <f aca="false">IF(OR($A443="",Z443="Yes"),"",IF(AND(AE443="Priority",AG443=0,COUNTIFS(Opportunities!$A$3:$A$502,$A443,Opportunities!$Y$3:$Y$502,"Renewal due")=0),600000+(10-AC443)*1000+(4-AD443)*100+ROW()/100000,IF(V443="Yes",700000+IF(X443="",0,X443-40000)/10+ROW()/100000,IF(AND(AE443="Quick Win",U443&lt;&gt;"",AG443=0),800000+(10-AC443)*1000+ROW()/100000,IF(AND(AE443="Build a Path",COUNTIF($V$3:$V$502,"Yes")&lt;S_PathCap),900000+(10-AC443)*1000+(4-AD443)*100+ROW()/100000,"")))))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8"/>
      <c r="T444" s="27"/>
      <c r="U444" s="27"/>
      <c r="V444" s="27"/>
      <c r="W444" s="27"/>
      <c r="X444" s="28"/>
      <c r="Y444" s="27"/>
      <c r="Z444" s="27"/>
      <c r="AA444" s="27"/>
      <c r="AB444" s="32" t="str">
        <f aca="false">IF($A444="","",IF(COUNTIF('Commercial Evidence'!$A$3:$A$502,$A444)=0,"",IF(COUNTIFS('Commercial Evidence'!$A$3:$A$502,$A444,'Commercial Evidence'!$B$3:$B$502,"Previous CBS Talks spend")+COUNTIFS('Commercial Evidence'!$A$3:$A$502,$A444,'Commercial Evidence'!$B$3:$B$502,"Sponsors student organisations")&gt;0,2,IF(COUNTIFS('Commercial Evidence'!$A$3:$A$502,$A444,'Commercial Evidence'!$B$3:$B$502,"Sponsors university activities")+COUNTIFS('Commercial Evidence'!$A$3:$A$502,$A444,'Commercial Evidence'!$B$3:$B$502,"Sponsors similar events")+COUNTIFS('Commercial Evidence'!$A$3:$A$502,$A444,'Commercial Evidence'!$B$3:$B$502,"Previous CBS Talks partner")&gt;0,1,0))))</f>
        <v/>
      </c>
      <c r="AC444" s="32" t="str">
        <f aca="false">IF($A444="","",IF(COUNT(G444,J444,M444,P444,AB444)&lt;5,"",G444+J444+M444+P444+AB444))</f>
        <v/>
      </c>
      <c r="AD444" s="32" t="str">
        <f aca="false">IF($A444="","",IF(COUNTIFS(Contacts!$A$3:$A$502,$A444,Contacts!$E$3:$E$502,"Champion",Contacts!$K$3:$K$502,"&lt;&gt;Yes",Contacts!$L$3:$L$502,"&lt;&gt;Yes")+COUNTIFS(Opportunities!$A$3:$A$502,$A444,Opportunities!$C$3:$C$502,"Won",Opportunities!$Q$3:$Q$502,"Satisfied")&gt;0,4,IF(COUNTIFS(Interactions!$B$3:$B$502,$A444,Interactions!$I$3:$I$502,"Yes",Interactions!$A$3:$A$502,"&gt;="&amp;(S_Today-S_WarmDays))&gt;0,3,IF(T444&lt;&gt;"",2,IF(COUNTIFS(Contacts!$A$3:$A$502,$A444,Contacts!$M$3:$M$502,"Yes",Contacts!$K$3:$K$502,"&lt;&gt;Yes",Contacts!$L$3:$L$502,"&lt;&gt;Yes")&gt;0,1,0)))))</f>
        <v/>
      </c>
      <c r="AE444" s="32" t="str">
        <f aca="false">IF($A444="","",IF(Z444="Yes","Do not contact",IF(AC444="","Research",IF(AND(AC444&gt;=S_FitHigh,AD444&gt;=S_AccessHigh),"Priority",IF(AC444&gt;=S_FitHigh,"Build a Path",IF(AD444&gt;=S_AccessHigh,"Quick Win","Low Priority"))))))</f>
        <v/>
      </c>
      <c r="AF444" s="33" t="str">
        <f aca="false">IF($A444="","",IF(_xlfn.MAXIFS(Interactions!$A$3:$A$502,Interactions!$B$3:$B$502,$A444)=0,"",_xlfn.MAXIFS(Interactions!$A$3:$A$502,Interactions!$B$3:$B$502,$A444)))</f>
        <v/>
      </c>
      <c r="AG444" s="32" t="str">
        <f aca="false">IF($A444="","",COUNTIFS(Opportunities!$A$3:$A$502,$A444,Opportunities!$X$3:$X$502,"Yes"))</f>
        <v/>
      </c>
      <c r="AH444" s="32" t="str">
        <f aca="false">IF($A444="","",_xlfn.TEXTJOIN(", ",TRUE(),IF(COUNTIF($A$3:$A$502,$A444)&gt;1,"Duplicate name",""),IF(OR(AND(G444=2,I444=""),AND(J444=2,L444=""),AND(M444=2,O444=""),AND(P444=2,R444="")),"Source missing for a 2",""),IF(F444="","No owner",IF(COUNTIFS(R_TeamName,F444,R_TeamActive,"No")&gt;0,"Needs new owner","")),IF(AND(V444="Yes",X444&lt;&gt;"",X444&lt;S_SemStart),"Path overdue",""),IF(AND(S444&lt;&gt;"",S444&lt;S_Today-365),"Stale research",""),IF(AND(AE444="Research",COUNTIF('Commercial Evidence'!$A$3:$A$502,$A444)=0),"Add commercial evidence","")))</f>
        <v/>
      </c>
      <c r="AI444" s="34" t="str">
        <f aca="false">IF(OR($A444="",Z444="Yes"),"",IF(AND(AE444="Priority",AG444=0,COUNTIFS(Opportunities!$A$3:$A$502,$A444,Opportunities!$Y$3:$Y$502,"Renewal due")=0),600000+(10-AC444)*1000+(4-AD444)*100+ROW()/100000,IF(V444="Yes",700000+IF(X444="",0,X444-40000)/10+ROW()/100000,IF(AND(AE444="Quick Win",U444&lt;&gt;"",AG444=0),800000+(10-AC444)*1000+ROW()/100000,IF(AND(AE444="Build a Path",COUNTIF($V$3:$V$502,"Yes")&lt;S_PathCap),900000+(10-AC444)*1000+(4-AD444)*100+ROW()/100000,"")))))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8"/>
      <c r="T445" s="27"/>
      <c r="U445" s="27"/>
      <c r="V445" s="27"/>
      <c r="W445" s="27"/>
      <c r="X445" s="28"/>
      <c r="Y445" s="27"/>
      <c r="Z445" s="27"/>
      <c r="AA445" s="27"/>
      <c r="AB445" s="32" t="str">
        <f aca="false">IF($A445="","",IF(COUNTIF('Commercial Evidence'!$A$3:$A$502,$A445)=0,"",IF(COUNTIFS('Commercial Evidence'!$A$3:$A$502,$A445,'Commercial Evidence'!$B$3:$B$502,"Previous CBS Talks spend")+COUNTIFS('Commercial Evidence'!$A$3:$A$502,$A445,'Commercial Evidence'!$B$3:$B$502,"Sponsors student organisations")&gt;0,2,IF(COUNTIFS('Commercial Evidence'!$A$3:$A$502,$A445,'Commercial Evidence'!$B$3:$B$502,"Sponsors university activities")+COUNTIFS('Commercial Evidence'!$A$3:$A$502,$A445,'Commercial Evidence'!$B$3:$B$502,"Sponsors similar events")+COUNTIFS('Commercial Evidence'!$A$3:$A$502,$A445,'Commercial Evidence'!$B$3:$B$502,"Previous CBS Talks partner")&gt;0,1,0))))</f>
        <v/>
      </c>
      <c r="AC445" s="32" t="str">
        <f aca="false">IF($A445="","",IF(COUNT(G445,J445,M445,P445,AB445)&lt;5,"",G445+J445+M445+P445+AB445))</f>
        <v/>
      </c>
      <c r="AD445" s="32" t="str">
        <f aca="false">IF($A445="","",IF(COUNTIFS(Contacts!$A$3:$A$502,$A445,Contacts!$E$3:$E$502,"Champion",Contacts!$K$3:$K$502,"&lt;&gt;Yes",Contacts!$L$3:$L$502,"&lt;&gt;Yes")+COUNTIFS(Opportunities!$A$3:$A$502,$A445,Opportunities!$C$3:$C$502,"Won",Opportunities!$Q$3:$Q$502,"Satisfied")&gt;0,4,IF(COUNTIFS(Interactions!$B$3:$B$502,$A445,Interactions!$I$3:$I$502,"Yes",Interactions!$A$3:$A$502,"&gt;="&amp;(S_Today-S_WarmDays))&gt;0,3,IF(T445&lt;&gt;"",2,IF(COUNTIFS(Contacts!$A$3:$A$502,$A445,Contacts!$M$3:$M$502,"Yes",Contacts!$K$3:$K$502,"&lt;&gt;Yes",Contacts!$L$3:$L$502,"&lt;&gt;Yes")&gt;0,1,0)))))</f>
        <v/>
      </c>
      <c r="AE445" s="32" t="str">
        <f aca="false">IF($A445="","",IF(Z445="Yes","Do not contact",IF(AC445="","Research",IF(AND(AC445&gt;=S_FitHigh,AD445&gt;=S_AccessHigh),"Priority",IF(AC445&gt;=S_FitHigh,"Build a Path",IF(AD445&gt;=S_AccessHigh,"Quick Win","Low Priority"))))))</f>
        <v/>
      </c>
      <c r="AF445" s="33" t="str">
        <f aca="false">IF($A445="","",IF(_xlfn.MAXIFS(Interactions!$A$3:$A$502,Interactions!$B$3:$B$502,$A445)=0,"",_xlfn.MAXIFS(Interactions!$A$3:$A$502,Interactions!$B$3:$B$502,$A445)))</f>
        <v/>
      </c>
      <c r="AG445" s="32" t="str">
        <f aca="false">IF($A445="","",COUNTIFS(Opportunities!$A$3:$A$502,$A445,Opportunities!$X$3:$X$502,"Yes"))</f>
        <v/>
      </c>
      <c r="AH445" s="32" t="str">
        <f aca="false">IF($A445="","",_xlfn.TEXTJOIN(", ",TRUE(),IF(COUNTIF($A$3:$A$502,$A445)&gt;1,"Duplicate name",""),IF(OR(AND(G445=2,I445=""),AND(J445=2,L445=""),AND(M445=2,O445=""),AND(P445=2,R445="")),"Source missing for a 2",""),IF(F445="","No owner",IF(COUNTIFS(R_TeamName,F445,R_TeamActive,"No")&gt;0,"Needs new owner","")),IF(AND(V445="Yes",X445&lt;&gt;"",X445&lt;S_SemStart),"Path overdue",""),IF(AND(S445&lt;&gt;"",S445&lt;S_Today-365),"Stale research",""),IF(AND(AE445="Research",COUNTIF('Commercial Evidence'!$A$3:$A$502,$A445)=0),"Add commercial evidence","")))</f>
        <v/>
      </c>
      <c r="AI445" s="34" t="str">
        <f aca="false">IF(OR($A445="",Z445="Yes"),"",IF(AND(AE445="Priority",AG445=0,COUNTIFS(Opportunities!$A$3:$A$502,$A445,Opportunities!$Y$3:$Y$502,"Renewal due")=0),600000+(10-AC445)*1000+(4-AD445)*100+ROW()/100000,IF(V445="Yes",700000+IF(X445="",0,X445-40000)/10+ROW()/100000,IF(AND(AE445="Quick Win",U445&lt;&gt;"",AG445=0),800000+(10-AC445)*1000+ROW()/100000,IF(AND(AE445="Build a Path",COUNTIF($V$3:$V$502,"Yes")&lt;S_PathCap),900000+(10-AC445)*1000+(4-AD445)*100+ROW()/100000,"")))))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8"/>
      <c r="T446" s="27"/>
      <c r="U446" s="27"/>
      <c r="V446" s="27"/>
      <c r="W446" s="27"/>
      <c r="X446" s="28"/>
      <c r="Y446" s="27"/>
      <c r="Z446" s="27"/>
      <c r="AA446" s="27"/>
      <c r="AB446" s="32" t="str">
        <f aca="false">IF($A446="","",IF(COUNTIF('Commercial Evidence'!$A$3:$A$502,$A446)=0,"",IF(COUNTIFS('Commercial Evidence'!$A$3:$A$502,$A446,'Commercial Evidence'!$B$3:$B$502,"Previous CBS Talks spend")+COUNTIFS('Commercial Evidence'!$A$3:$A$502,$A446,'Commercial Evidence'!$B$3:$B$502,"Sponsors student organisations")&gt;0,2,IF(COUNTIFS('Commercial Evidence'!$A$3:$A$502,$A446,'Commercial Evidence'!$B$3:$B$502,"Sponsors university activities")+COUNTIFS('Commercial Evidence'!$A$3:$A$502,$A446,'Commercial Evidence'!$B$3:$B$502,"Sponsors similar events")+COUNTIFS('Commercial Evidence'!$A$3:$A$502,$A446,'Commercial Evidence'!$B$3:$B$502,"Previous CBS Talks partner")&gt;0,1,0))))</f>
        <v/>
      </c>
      <c r="AC446" s="32" t="str">
        <f aca="false">IF($A446="","",IF(COUNT(G446,J446,M446,P446,AB446)&lt;5,"",G446+J446+M446+P446+AB446))</f>
        <v/>
      </c>
      <c r="AD446" s="32" t="str">
        <f aca="false">IF($A446="","",IF(COUNTIFS(Contacts!$A$3:$A$502,$A446,Contacts!$E$3:$E$502,"Champion",Contacts!$K$3:$K$502,"&lt;&gt;Yes",Contacts!$L$3:$L$502,"&lt;&gt;Yes")+COUNTIFS(Opportunities!$A$3:$A$502,$A446,Opportunities!$C$3:$C$502,"Won",Opportunities!$Q$3:$Q$502,"Satisfied")&gt;0,4,IF(COUNTIFS(Interactions!$B$3:$B$502,$A446,Interactions!$I$3:$I$502,"Yes",Interactions!$A$3:$A$502,"&gt;="&amp;(S_Today-S_WarmDays))&gt;0,3,IF(T446&lt;&gt;"",2,IF(COUNTIFS(Contacts!$A$3:$A$502,$A446,Contacts!$M$3:$M$502,"Yes",Contacts!$K$3:$K$502,"&lt;&gt;Yes",Contacts!$L$3:$L$502,"&lt;&gt;Yes")&gt;0,1,0)))))</f>
        <v/>
      </c>
      <c r="AE446" s="32" t="str">
        <f aca="false">IF($A446="","",IF(Z446="Yes","Do not contact",IF(AC446="","Research",IF(AND(AC446&gt;=S_FitHigh,AD446&gt;=S_AccessHigh),"Priority",IF(AC446&gt;=S_FitHigh,"Build a Path",IF(AD446&gt;=S_AccessHigh,"Quick Win","Low Priority"))))))</f>
        <v/>
      </c>
      <c r="AF446" s="33" t="str">
        <f aca="false">IF($A446="","",IF(_xlfn.MAXIFS(Interactions!$A$3:$A$502,Interactions!$B$3:$B$502,$A446)=0,"",_xlfn.MAXIFS(Interactions!$A$3:$A$502,Interactions!$B$3:$B$502,$A446)))</f>
        <v/>
      </c>
      <c r="AG446" s="32" t="str">
        <f aca="false">IF($A446="","",COUNTIFS(Opportunities!$A$3:$A$502,$A446,Opportunities!$X$3:$X$502,"Yes"))</f>
        <v/>
      </c>
      <c r="AH446" s="32" t="str">
        <f aca="false">IF($A446="","",_xlfn.TEXTJOIN(", ",TRUE(),IF(COUNTIF($A$3:$A$502,$A446)&gt;1,"Duplicate name",""),IF(OR(AND(G446=2,I446=""),AND(J446=2,L446=""),AND(M446=2,O446=""),AND(P446=2,R446="")),"Source missing for a 2",""),IF(F446="","No owner",IF(COUNTIFS(R_TeamName,F446,R_TeamActive,"No")&gt;0,"Needs new owner","")),IF(AND(V446="Yes",X446&lt;&gt;"",X446&lt;S_SemStart),"Path overdue",""),IF(AND(S446&lt;&gt;"",S446&lt;S_Today-365),"Stale research",""),IF(AND(AE446="Research",COUNTIF('Commercial Evidence'!$A$3:$A$502,$A446)=0),"Add commercial evidence","")))</f>
        <v/>
      </c>
      <c r="AI446" s="34" t="str">
        <f aca="false">IF(OR($A446="",Z446="Yes"),"",IF(AND(AE446="Priority",AG446=0,COUNTIFS(Opportunities!$A$3:$A$502,$A446,Opportunities!$Y$3:$Y$502,"Renewal due")=0),600000+(10-AC446)*1000+(4-AD446)*100+ROW()/100000,IF(V446="Yes",700000+IF(X446="",0,X446-40000)/10+ROW()/100000,IF(AND(AE446="Quick Win",U446&lt;&gt;"",AG446=0),800000+(10-AC446)*1000+ROW()/100000,IF(AND(AE446="Build a Path",COUNTIF($V$3:$V$502,"Yes")&lt;S_PathCap),900000+(10-AC446)*1000+(4-AD446)*100+ROW()/100000,"")))))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8"/>
      <c r="T447" s="27"/>
      <c r="U447" s="27"/>
      <c r="V447" s="27"/>
      <c r="W447" s="27"/>
      <c r="X447" s="28"/>
      <c r="Y447" s="27"/>
      <c r="Z447" s="27"/>
      <c r="AA447" s="27"/>
      <c r="AB447" s="32" t="str">
        <f aca="false">IF($A447="","",IF(COUNTIF('Commercial Evidence'!$A$3:$A$502,$A447)=0,"",IF(COUNTIFS('Commercial Evidence'!$A$3:$A$502,$A447,'Commercial Evidence'!$B$3:$B$502,"Previous CBS Talks spend")+COUNTIFS('Commercial Evidence'!$A$3:$A$502,$A447,'Commercial Evidence'!$B$3:$B$502,"Sponsors student organisations")&gt;0,2,IF(COUNTIFS('Commercial Evidence'!$A$3:$A$502,$A447,'Commercial Evidence'!$B$3:$B$502,"Sponsors university activities")+COUNTIFS('Commercial Evidence'!$A$3:$A$502,$A447,'Commercial Evidence'!$B$3:$B$502,"Sponsors similar events")+COUNTIFS('Commercial Evidence'!$A$3:$A$502,$A447,'Commercial Evidence'!$B$3:$B$502,"Previous CBS Talks partner")&gt;0,1,0))))</f>
        <v/>
      </c>
      <c r="AC447" s="32" t="str">
        <f aca="false">IF($A447="","",IF(COUNT(G447,J447,M447,P447,AB447)&lt;5,"",G447+J447+M447+P447+AB447))</f>
        <v/>
      </c>
      <c r="AD447" s="32" t="str">
        <f aca="false">IF($A447="","",IF(COUNTIFS(Contacts!$A$3:$A$502,$A447,Contacts!$E$3:$E$502,"Champion",Contacts!$K$3:$K$502,"&lt;&gt;Yes",Contacts!$L$3:$L$502,"&lt;&gt;Yes")+COUNTIFS(Opportunities!$A$3:$A$502,$A447,Opportunities!$C$3:$C$502,"Won",Opportunities!$Q$3:$Q$502,"Satisfied")&gt;0,4,IF(COUNTIFS(Interactions!$B$3:$B$502,$A447,Interactions!$I$3:$I$502,"Yes",Interactions!$A$3:$A$502,"&gt;="&amp;(S_Today-S_WarmDays))&gt;0,3,IF(T447&lt;&gt;"",2,IF(COUNTIFS(Contacts!$A$3:$A$502,$A447,Contacts!$M$3:$M$502,"Yes",Contacts!$K$3:$K$502,"&lt;&gt;Yes",Contacts!$L$3:$L$502,"&lt;&gt;Yes")&gt;0,1,0)))))</f>
        <v/>
      </c>
      <c r="AE447" s="32" t="str">
        <f aca="false">IF($A447="","",IF(Z447="Yes","Do not contact",IF(AC447="","Research",IF(AND(AC447&gt;=S_FitHigh,AD447&gt;=S_AccessHigh),"Priority",IF(AC447&gt;=S_FitHigh,"Build a Path",IF(AD447&gt;=S_AccessHigh,"Quick Win","Low Priority"))))))</f>
        <v/>
      </c>
      <c r="AF447" s="33" t="str">
        <f aca="false">IF($A447="","",IF(_xlfn.MAXIFS(Interactions!$A$3:$A$502,Interactions!$B$3:$B$502,$A447)=0,"",_xlfn.MAXIFS(Interactions!$A$3:$A$502,Interactions!$B$3:$B$502,$A447)))</f>
        <v/>
      </c>
      <c r="AG447" s="32" t="str">
        <f aca="false">IF($A447="","",COUNTIFS(Opportunities!$A$3:$A$502,$A447,Opportunities!$X$3:$X$502,"Yes"))</f>
        <v/>
      </c>
      <c r="AH447" s="32" t="str">
        <f aca="false">IF($A447="","",_xlfn.TEXTJOIN(", ",TRUE(),IF(COUNTIF($A$3:$A$502,$A447)&gt;1,"Duplicate name",""),IF(OR(AND(G447=2,I447=""),AND(J447=2,L447=""),AND(M447=2,O447=""),AND(P447=2,R447="")),"Source missing for a 2",""),IF(F447="","No owner",IF(COUNTIFS(R_TeamName,F447,R_TeamActive,"No")&gt;0,"Needs new owner","")),IF(AND(V447="Yes",X447&lt;&gt;"",X447&lt;S_SemStart),"Path overdue",""),IF(AND(S447&lt;&gt;"",S447&lt;S_Today-365),"Stale research",""),IF(AND(AE447="Research",COUNTIF('Commercial Evidence'!$A$3:$A$502,$A447)=0),"Add commercial evidence","")))</f>
        <v/>
      </c>
      <c r="AI447" s="34" t="str">
        <f aca="false">IF(OR($A447="",Z447="Yes"),"",IF(AND(AE447="Priority",AG447=0,COUNTIFS(Opportunities!$A$3:$A$502,$A447,Opportunities!$Y$3:$Y$502,"Renewal due")=0),600000+(10-AC447)*1000+(4-AD447)*100+ROW()/100000,IF(V447="Yes",700000+IF(X447="",0,X447-40000)/10+ROW()/100000,IF(AND(AE447="Quick Win",U447&lt;&gt;"",AG447=0),800000+(10-AC447)*1000+ROW()/100000,IF(AND(AE447="Build a Path",COUNTIF($V$3:$V$502,"Yes")&lt;S_PathCap),900000+(10-AC447)*1000+(4-AD447)*100+ROW()/100000,"")))))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8"/>
      <c r="T448" s="27"/>
      <c r="U448" s="27"/>
      <c r="V448" s="27"/>
      <c r="W448" s="27"/>
      <c r="X448" s="28"/>
      <c r="Y448" s="27"/>
      <c r="Z448" s="27"/>
      <c r="AA448" s="27"/>
      <c r="AB448" s="32" t="str">
        <f aca="false">IF($A448="","",IF(COUNTIF('Commercial Evidence'!$A$3:$A$502,$A448)=0,"",IF(COUNTIFS('Commercial Evidence'!$A$3:$A$502,$A448,'Commercial Evidence'!$B$3:$B$502,"Previous CBS Talks spend")+COUNTIFS('Commercial Evidence'!$A$3:$A$502,$A448,'Commercial Evidence'!$B$3:$B$502,"Sponsors student organisations")&gt;0,2,IF(COUNTIFS('Commercial Evidence'!$A$3:$A$502,$A448,'Commercial Evidence'!$B$3:$B$502,"Sponsors university activities")+COUNTIFS('Commercial Evidence'!$A$3:$A$502,$A448,'Commercial Evidence'!$B$3:$B$502,"Sponsors similar events")+COUNTIFS('Commercial Evidence'!$A$3:$A$502,$A448,'Commercial Evidence'!$B$3:$B$502,"Previous CBS Talks partner")&gt;0,1,0))))</f>
        <v/>
      </c>
      <c r="AC448" s="32" t="str">
        <f aca="false">IF($A448="","",IF(COUNT(G448,J448,M448,P448,AB448)&lt;5,"",G448+J448+M448+P448+AB448))</f>
        <v/>
      </c>
      <c r="AD448" s="32" t="str">
        <f aca="false">IF($A448="","",IF(COUNTIFS(Contacts!$A$3:$A$502,$A448,Contacts!$E$3:$E$502,"Champion",Contacts!$K$3:$K$502,"&lt;&gt;Yes",Contacts!$L$3:$L$502,"&lt;&gt;Yes")+COUNTIFS(Opportunities!$A$3:$A$502,$A448,Opportunities!$C$3:$C$502,"Won",Opportunities!$Q$3:$Q$502,"Satisfied")&gt;0,4,IF(COUNTIFS(Interactions!$B$3:$B$502,$A448,Interactions!$I$3:$I$502,"Yes",Interactions!$A$3:$A$502,"&gt;="&amp;(S_Today-S_WarmDays))&gt;0,3,IF(T448&lt;&gt;"",2,IF(COUNTIFS(Contacts!$A$3:$A$502,$A448,Contacts!$M$3:$M$502,"Yes",Contacts!$K$3:$K$502,"&lt;&gt;Yes",Contacts!$L$3:$L$502,"&lt;&gt;Yes")&gt;0,1,0)))))</f>
        <v/>
      </c>
      <c r="AE448" s="32" t="str">
        <f aca="false">IF($A448="","",IF(Z448="Yes","Do not contact",IF(AC448="","Research",IF(AND(AC448&gt;=S_FitHigh,AD448&gt;=S_AccessHigh),"Priority",IF(AC448&gt;=S_FitHigh,"Build a Path",IF(AD448&gt;=S_AccessHigh,"Quick Win","Low Priority"))))))</f>
        <v/>
      </c>
      <c r="AF448" s="33" t="str">
        <f aca="false">IF($A448="","",IF(_xlfn.MAXIFS(Interactions!$A$3:$A$502,Interactions!$B$3:$B$502,$A448)=0,"",_xlfn.MAXIFS(Interactions!$A$3:$A$502,Interactions!$B$3:$B$502,$A448)))</f>
        <v/>
      </c>
      <c r="AG448" s="32" t="str">
        <f aca="false">IF($A448="","",COUNTIFS(Opportunities!$A$3:$A$502,$A448,Opportunities!$X$3:$X$502,"Yes"))</f>
        <v/>
      </c>
      <c r="AH448" s="32" t="str">
        <f aca="false">IF($A448="","",_xlfn.TEXTJOIN(", ",TRUE(),IF(COUNTIF($A$3:$A$502,$A448)&gt;1,"Duplicate name",""),IF(OR(AND(G448=2,I448=""),AND(J448=2,L448=""),AND(M448=2,O448=""),AND(P448=2,R448="")),"Source missing for a 2",""),IF(F448="","No owner",IF(COUNTIFS(R_TeamName,F448,R_TeamActive,"No")&gt;0,"Needs new owner","")),IF(AND(V448="Yes",X448&lt;&gt;"",X448&lt;S_SemStart),"Path overdue",""),IF(AND(S448&lt;&gt;"",S448&lt;S_Today-365),"Stale research",""),IF(AND(AE448="Research",COUNTIF('Commercial Evidence'!$A$3:$A$502,$A448)=0),"Add commercial evidence","")))</f>
        <v/>
      </c>
      <c r="AI448" s="34" t="str">
        <f aca="false">IF(OR($A448="",Z448="Yes"),"",IF(AND(AE448="Priority",AG448=0,COUNTIFS(Opportunities!$A$3:$A$502,$A448,Opportunities!$Y$3:$Y$502,"Renewal due")=0),600000+(10-AC448)*1000+(4-AD448)*100+ROW()/100000,IF(V448="Yes",700000+IF(X448="",0,X448-40000)/10+ROW()/100000,IF(AND(AE448="Quick Win",U448&lt;&gt;"",AG448=0),800000+(10-AC448)*1000+ROW()/100000,IF(AND(AE448="Build a Path",COUNTIF($V$3:$V$502,"Yes")&lt;S_PathCap),900000+(10-AC448)*1000+(4-AD448)*100+ROW()/100000,"")))))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8"/>
      <c r="T449" s="27"/>
      <c r="U449" s="27"/>
      <c r="V449" s="27"/>
      <c r="W449" s="27"/>
      <c r="X449" s="28"/>
      <c r="Y449" s="27"/>
      <c r="Z449" s="27"/>
      <c r="AA449" s="27"/>
      <c r="AB449" s="32" t="str">
        <f aca="false">IF($A449="","",IF(COUNTIF('Commercial Evidence'!$A$3:$A$502,$A449)=0,"",IF(COUNTIFS('Commercial Evidence'!$A$3:$A$502,$A449,'Commercial Evidence'!$B$3:$B$502,"Previous CBS Talks spend")+COUNTIFS('Commercial Evidence'!$A$3:$A$502,$A449,'Commercial Evidence'!$B$3:$B$502,"Sponsors student organisations")&gt;0,2,IF(COUNTIFS('Commercial Evidence'!$A$3:$A$502,$A449,'Commercial Evidence'!$B$3:$B$502,"Sponsors university activities")+COUNTIFS('Commercial Evidence'!$A$3:$A$502,$A449,'Commercial Evidence'!$B$3:$B$502,"Sponsors similar events")+COUNTIFS('Commercial Evidence'!$A$3:$A$502,$A449,'Commercial Evidence'!$B$3:$B$502,"Previous CBS Talks partner")&gt;0,1,0))))</f>
        <v/>
      </c>
      <c r="AC449" s="32" t="str">
        <f aca="false">IF($A449="","",IF(COUNT(G449,J449,M449,P449,AB449)&lt;5,"",G449+J449+M449+P449+AB449))</f>
        <v/>
      </c>
      <c r="AD449" s="32" t="str">
        <f aca="false">IF($A449="","",IF(COUNTIFS(Contacts!$A$3:$A$502,$A449,Contacts!$E$3:$E$502,"Champion",Contacts!$K$3:$K$502,"&lt;&gt;Yes",Contacts!$L$3:$L$502,"&lt;&gt;Yes")+COUNTIFS(Opportunities!$A$3:$A$502,$A449,Opportunities!$C$3:$C$502,"Won",Opportunities!$Q$3:$Q$502,"Satisfied")&gt;0,4,IF(COUNTIFS(Interactions!$B$3:$B$502,$A449,Interactions!$I$3:$I$502,"Yes",Interactions!$A$3:$A$502,"&gt;="&amp;(S_Today-S_WarmDays))&gt;0,3,IF(T449&lt;&gt;"",2,IF(COUNTIFS(Contacts!$A$3:$A$502,$A449,Contacts!$M$3:$M$502,"Yes",Contacts!$K$3:$K$502,"&lt;&gt;Yes",Contacts!$L$3:$L$502,"&lt;&gt;Yes")&gt;0,1,0)))))</f>
        <v/>
      </c>
      <c r="AE449" s="32" t="str">
        <f aca="false">IF($A449="","",IF(Z449="Yes","Do not contact",IF(AC449="","Research",IF(AND(AC449&gt;=S_FitHigh,AD449&gt;=S_AccessHigh),"Priority",IF(AC449&gt;=S_FitHigh,"Build a Path",IF(AD449&gt;=S_AccessHigh,"Quick Win","Low Priority"))))))</f>
        <v/>
      </c>
      <c r="AF449" s="33" t="str">
        <f aca="false">IF($A449="","",IF(_xlfn.MAXIFS(Interactions!$A$3:$A$502,Interactions!$B$3:$B$502,$A449)=0,"",_xlfn.MAXIFS(Interactions!$A$3:$A$502,Interactions!$B$3:$B$502,$A449)))</f>
        <v/>
      </c>
      <c r="AG449" s="32" t="str">
        <f aca="false">IF($A449="","",COUNTIFS(Opportunities!$A$3:$A$502,$A449,Opportunities!$X$3:$X$502,"Yes"))</f>
        <v/>
      </c>
      <c r="AH449" s="32" t="str">
        <f aca="false">IF($A449="","",_xlfn.TEXTJOIN(", ",TRUE(),IF(COUNTIF($A$3:$A$502,$A449)&gt;1,"Duplicate name",""),IF(OR(AND(G449=2,I449=""),AND(J449=2,L449=""),AND(M449=2,O449=""),AND(P449=2,R449="")),"Source missing for a 2",""),IF(F449="","No owner",IF(COUNTIFS(R_TeamName,F449,R_TeamActive,"No")&gt;0,"Needs new owner","")),IF(AND(V449="Yes",X449&lt;&gt;"",X449&lt;S_SemStart),"Path overdue",""),IF(AND(S449&lt;&gt;"",S449&lt;S_Today-365),"Stale research",""),IF(AND(AE449="Research",COUNTIF('Commercial Evidence'!$A$3:$A$502,$A449)=0),"Add commercial evidence","")))</f>
        <v/>
      </c>
      <c r="AI449" s="34" t="str">
        <f aca="false">IF(OR($A449="",Z449="Yes"),"",IF(AND(AE449="Priority",AG449=0,COUNTIFS(Opportunities!$A$3:$A$502,$A449,Opportunities!$Y$3:$Y$502,"Renewal due")=0),600000+(10-AC449)*1000+(4-AD449)*100+ROW()/100000,IF(V449="Yes",700000+IF(X449="",0,X449-40000)/10+ROW()/100000,IF(AND(AE449="Quick Win",U449&lt;&gt;"",AG449=0),800000+(10-AC449)*1000+ROW()/100000,IF(AND(AE449="Build a Path",COUNTIF($V$3:$V$502,"Yes")&lt;S_PathCap),900000+(10-AC449)*1000+(4-AD449)*100+ROW()/100000,"")))))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8"/>
      <c r="T450" s="27"/>
      <c r="U450" s="27"/>
      <c r="V450" s="27"/>
      <c r="W450" s="27"/>
      <c r="X450" s="28"/>
      <c r="Y450" s="27"/>
      <c r="Z450" s="27"/>
      <c r="AA450" s="27"/>
      <c r="AB450" s="32" t="str">
        <f aca="false">IF($A450="","",IF(COUNTIF('Commercial Evidence'!$A$3:$A$502,$A450)=0,"",IF(COUNTIFS('Commercial Evidence'!$A$3:$A$502,$A450,'Commercial Evidence'!$B$3:$B$502,"Previous CBS Talks spend")+COUNTIFS('Commercial Evidence'!$A$3:$A$502,$A450,'Commercial Evidence'!$B$3:$B$502,"Sponsors student organisations")&gt;0,2,IF(COUNTIFS('Commercial Evidence'!$A$3:$A$502,$A450,'Commercial Evidence'!$B$3:$B$502,"Sponsors university activities")+COUNTIFS('Commercial Evidence'!$A$3:$A$502,$A450,'Commercial Evidence'!$B$3:$B$502,"Sponsors similar events")+COUNTIFS('Commercial Evidence'!$A$3:$A$502,$A450,'Commercial Evidence'!$B$3:$B$502,"Previous CBS Talks partner")&gt;0,1,0))))</f>
        <v/>
      </c>
      <c r="AC450" s="32" t="str">
        <f aca="false">IF($A450="","",IF(COUNT(G450,J450,M450,P450,AB450)&lt;5,"",G450+J450+M450+P450+AB450))</f>
        <v/>
      </c>
      <c r="AD450" s="32" t="str">
        <f aca="false">IF($A450="","",IF(COUNTIFS(Contacts!$A$3:$A$502,$A450,Contacts!$E$3:$E$502,"Champion",Contacts!$K$3:$K$502,"&lt;&gt;Yes",Contacts!$L$3:$L$502,"&lt;&gt;Yes")+COUNTIFS(Opportunities!$A$3:$A$502,$A450,Opportunities!$C$3:$C$502,"Won",Opportunities!$Q$3:$Q$502,"Satisfied")&gt;0,4,IF(COUNTIFS(Interactions!$B$3:$B$502,$A450,Interactions!$I$3:$I$502,"Yes",Interactions!$A$3:$A$502,"&gt;="&amp;(S_Today-S_WarmDays))&gt;0,3,IF(T450&lt;&gt;"",2,IF(COUNTIFS(Contacts!$A$3:$A$502,$A450,Contacts!$M$3:$M$502,"Yes",Contacts!$K$3:$K$502,"&lt;&gt;Yes",Contacts!$L$3:$L$502,"&lt;&gt;Yes")&gt;0,1,0)))))</f>
        <v/>
      </c>
      <c r="AE450" s="32" t="str">
        <f aca="false">IF($A450="","",IF(Z450="Yes","Do not contact",IF(AC450="","Research",IF(AND(AC450&gt;=S_FitHigh,AD450&gt;=S_AccessHigh),"Priority",IF(AC450&gt;=S_FitHigh,"Build a Path",IF(AD450&gt;=S_AccessHigh,"Quick Win","Low Priority"))))))</f>
        <v/>
      </c>
      <c r="AF450" s="33" t="str">
        <f aca="false">IF($A450="","",IF(_xlfn.MAXIFS(Interactions!$A$3:$A$502,Interactions!$B$3:$B$502,$A450)=0,"",_xlfn.MAXIFS(Interactions!$A$3:$A$502,Interactions!$B$3:$B$502,$A450)))</f>
        <v/>
      </c>
      <c r="AG450" s="32" t="str">
        <f aca="false">IF($A450="","",COUNTIFS(Opportunities!$A$3:$A$502,$A450,Opportunities!$X$3:$X$502,"Yes"))</f>
        <v/>
      </c>
      <c r="AH450" s="32" t="str">
        <f aca="false">IF($A450="","",_xlfn.TEXTJOIN(", ",TRUE(),IF(COUNTIF($A$3:$A$502,$A450)&gt;1,"Duplicate name",""),IF(OR(AND(G450=2,I450=""),AND(J450=2,L450=""),AND(M450=2,O450=""),AND(P450=2,R450="")),"Source missing for a 2",""),IF(F450="","No owner",IF(COUNTIFS(R_TeamName,F450,R_TeamActive,"No")&gt;0,"Needs new owner","")),IF(AND(V450="Yes",X450&lt;&gt;"",X450&lt;S_SemStart),"Path overdue",""),IF(AND(S450&lt;&gt;"",S450&lt;S_Today-365),"Stale research",""),IF(AND(AE450="Research",COUNTIF('Commercial Evidence'!$A$3:$A$502,$A450)=0),"Add commercial evidence","")))</f>
        <v/>
      </c>
      <c r="AI450" s="34" t="str">
        <f aca="false">IF(OR($A450="",Z450="Yes"),"",IF(AND(AE450="Priority",AG450=0,COUNTIFS(Opportunities!$A$3:$A$502,$A450,Opportunities!$Y$3:$Y$502,"Renewal due")=0),600000+(10-AC450)*1000+(4-AD450)*100+ROW()/100000,IF(V450="Yes",700000+IF(X450="",0,X450-40000)/10+ROW()/100000,IF(AND(AE450="Quick Win",U450&lt;&gt;"",AG450=0),800000+(10-AC450)*1000+ROW()/100000,IF(AND(AE450="Build a Path",COUNTIF($V$3:$V$502,"Yes")&lt;S_PathCap),900000+(10-AC450)*1000+(4-AD450)*100+ROW()/100000,"")))))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8"/>
      <c r="T451" s="27"/>
      <c r="U451" s="27"/>
      <c r="V451" s="27"/>
      <c r="W451" s="27"/>
      <c r="X451" s="28"/>
      <c r="Y451" s="27"/>
      <c r="Z451" s="27"/>
      <c r="AA451" s="27"/>
      <c r="AB451" s="32" t="str">
        <f aca="false">IF($A451="","",IF(COUNTIF('Commercial Evidence'!$A$3:$A$502,$A451)=0,"",IF(COUNTIFS('Commercial Evidence'!$A$3:$A$502,$A451,'Commercial Evidence'!$B$3:$B$502,"Previous CBS Talks spend")+COUNTIFS('Commercial Evidence'!$A$3:$A$502,$A451,'Commercial Evidence'!$B$3:$B$502,"Sponsors student organisations")&gt;0,2,IF(COUNTIFS('Commercial Evidence'!$A$3:$A$502,$A451,'Commercial Evidence'!$B$3:$B$502,"Sponsors university activities")+COUNTIFS('Commercial Evidence'!$A$3:$A$502,$A451,'Commercial Evidence'!$B$3:$B$502,"Sponsors similar events")+COUNTIFS('Commercial Evidence'!$A$3:$A$502,$A451,'Commercial Evidence'!$B$3:$B$502,"Previous CBS Talks partner")&gt;0,1,0))))</f>
        <v/>
      </c>
      <c r="AC451" s="32" t="str">
        <f aca="false">IF($A451="","",IF(COUNT(G451,J451,M451,P451,AB451)&lt;5,"",G451+J451+M451+P451+AB451))</f>
        <v/>
      </c>
      <c r="AD451" s="32" t="str">
        <f aca="false">IF($A451="","",IF(COUNTIFS(Contacts!$A$3:$A$502,$A451,Contacts!$E$3:$E$502,"Champion",Contacts!$K$3:$K$502,"&lt;&gt;Yes",Contacts!$L$3:$L$502,"&lt;&gt;Yes")+COUNTIFS(Opportunities!$A$3:$A$502,$A451,Opportunities!$C$3:$C$502,"Won",Opportunities!$Q$3:$Q$502,"Satisfied")&gt;0,4,IF(COUNTIFS(Interactions!$B$3:$B$502,$A451,Interactions!$I$3:$I$502,"Yes",Interactions!$A$3:$A$502,"&gt;="&amp;(S_Today-S_WarmDays))&gt;0,3,IF(T451&lt;&gt;"",2,IF(COUNTIFS(Contacts!$A$3:$A$502,$A451,Contacts!$M$3:$M$502,"Yes",Contacts!$K$3:$K$502,"&lt;&gt;Yes",Contacts!$L$3:$L$502,"&lt;&gt;Yes")&gt;0,1,0)))))</f>
        <v/>
      </c>
      <c r="AE451" s="32" t="str">
        <f aca="false">IF($A451="","",IF(Z451="Yes","Do not contact",IF(AC451="","Research",IF(AND(AC451&gt;=S_FitHigh,AD451&gt;=S_AccessHigh),"Priority",IF(AC451&gt;=S_FitHigh,"Build a Path",IF(AD451&gt;=S_AccessHigh,"Quick Win","Low Priority"))))))</f>
        <v/>
      </c>
      <c r="AF451" s="33" t="str">
        <f aca="false">IF($A451="","",IF(_xlfn.MAXIFS(Interactions!$A$3:$A$502,Interactions!$B$3:$B$502,$A451)=0,"",_xlfn.MAXIFS(Interactions!$A$3:$A$502,Interactions!$B$3:$B$502,$A451)))</f>
        <v/>
      </c>
      <c r="AG451" s="32" t="str">
        <f aca="false">IF($A451="","",COUNTIFS(Opportunities!$A$3:$A$502,$A451,Opportunities!$X$3:$X$502,"Yes"))</f>
        <v/>
      </c>
      <c r="AH451" s="32" t="str">
        <f aca="false">IF($A451="","",_xlfn.TEXTJOIN(", ",TRUE(),IF(COUNTIF($A$3:$A$502,$A451)&gt;1,"Duplicate name",""),IF(OR(AND(G451=2,I451=""),AND(J451=2,L451=""),AND(M451=2,O451=""),AND(P451=2,R451="")),"Source missing for a 2",""),IF(F451="","No owner",IF(COUNTIFS(R_TeamName,F451,R_TeamActive,"No")&gt;0,"Needs new owner","")),IF(AND(V451="Yes",X451&lt;&gt;"",X451&lt;S_SemStart),"Path overdue",""),IF(AND(S451&lt;&gt;"",S451&lt;S_Today-365),"Stale research",""),IF(AND(AE451="Research",COUNTIF('Commercial Evidence'!$A$3:$A$502,$A451)=0),"Add commercial evidence","")))</f>
        <v/>
      </c>
      <c r="AI451" s="34" t="str">
        <f aca="false">IF(OR($A451="",Z451="Yes"),"",IF(AND(AE451="Priority",AG451=0,COUNTIFS(Opportunities!$A$3:$A$502,$A451,Opportunities!$Y$3:$Y$502,"Renewal due")=0),600000+(10-AC451)*1000+(4-AD451)*100+ROW()/100000,IF(V451="Yes",700000+IF(X451="",0,X451-40000)/10+ROW()/100000,IF(AND(AE451="Quick Win",U451&lt;&gt;"",AG451=0),800000+(10-AC451)*1000+ROW()/100000,IF(AND(AE451="Build a Path",COUNTIF($V$3:$V$502,"Yes")&lt;S_PathCap),900000+(10-AC451)*1000+(4-AD451)*100+ROW()/100000,"")))))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8"/>
      <c r="T452" s="27"/>
      <c r="U452" s="27"/>
      <c r="V452" s="27"/>
      <c r="W452" s="27"/>
      <c r="X452" s="28"/>
      <c r="Y452" s="27"/>
      <c r="Z452" s="27"/>
      <c r="AA452" s="27"/>
      <c r="AB452" s="32" t="str">
        <f aca="false">IF($A452="","",IF(COUNTIF('Commercial Evidence'!$A$3:$A$502,$A452)=0,"",IF(COUNTIFS('Commercial Evidence'!$A$3:$A$502,$A452,'Commercial Evidence'!$B$3:$B$502,"Previous CBS Talks spend")+COUNTIFS('Commercial Evidence'!$A$3:$A$502,$A452,'Commercial Evidence'!$B$3:$B$502,"Sponsors student organisations")&gt;0,2,IF(COUNTIFS('Commercial Evidence'!$A$3:$A$502,$A452,'Commercial Evidence'!$B$3:$B$502,"Sponsors university activities")+COUNTIFS('Commercial Evidence'!$A$3:$A$502,$A452,'Commercial Evidence'!$B$3:$B$502,"Sponsors similar events")+COUNTIFS('Commercial Evidence'!$A$3:$A$502,$A452,'Commercial Evidence'!$B$3:$B$502,"Previous CBS Talks partner")&gt;0,1,0))))</f>
        <v/>
      </c>
      <c r="AC452" s="32" t="str">
        <f aca="false">IF($A452="","",IF(COUNT(G452,J452,M452,P452,AB452)&lt;5,"",G452+J452+M452+P452+AB452))</f>
        <v/>
      </c>
      <c r="AD452" s="32" t="str">
        <f aca="false">IF($A452="","",IF(COUNTIFS(Contacts!$A$3:$A$502,$A452,Contacts!$E$3:$E$502,"Champion",Contacts!$K$3:$K$502,"&lt;&gt;Yes",Contacts!$L$3:$L$502,"&lt;&gt;Yes")+COUNTIFS(Opportunities!$A$3:$A$502,$A452,Opportunities!$C$3:$C$502,"Won",Opportunities!$Q$3:$Q$502,"Satisfied")&gt;0,4,IF(COUNTIFS(Interactions!$B$3:$B$502,$A452,Interactions!$I$3:$I$502,"Yes",Interactions!$A$3:$A$502,"&gt;="&amp;(S_Today-S_WarmDays))&gt;0,3,IF(T452&lt;&gt;"",2,IF(COUNTIFS(Contacts!$A$3:$A$502,$A452,Contacts!$M$3:$M$502,"Yes",Contacts!$K$3:$K$502,"&lt;&gt;Yes",Contacts!$L$3:$L$502,"&lt;&gt;Yes")&gt;0,1,0)))))</f>
        <v/>
      </c>
      <c r="AE452" s="32" t="str">
        <f aca="false">IF($A452="","",IF(Z452="Yes","Do not contact",IF(AC452="","Research",IF(AND(AC452&gt;=S_FitHigh,AD452&gt;=S_AccessHigh),"Priority",IF(AC452&gt;=S_FitHigh,"Build a Path",IF(AD452&gt;=S_AccessHigh,"Quick Win","Low Priority"))))))</f>
        <v/>
      </c>
      <c r="AF452" s="33" t="str">
        <f aca="false">IF($A452="","",IF(_xlfn.MAXIFS(Interactions!$A$3:$A$502,Interactions!$B$3:$B$502,$A452)=0,"",_xlfn.MAXIFS(Interactions!$A$3:$A$502,Interactions!$B$3:$B$502,$A452)))</f>
        <v/>
      </c>
      <c r="AG452" s="32" t="str">
        <f aca="false">IF($A452="","",COUNTIFS(Opportunities!$A$3:$A$502,$A452,Opportunities!$X$3:$X$502,"Yes"))</f>
        <v/>
      </c>
      <c r="AH452" s="32" t="str">
        <f aca="false">IF($A452="","",_xlfn.TEXTJOIN(", ",TRUE(),IF(COUNTIF($A$3:$A$502,$A452)&gt;1,"Duplicate name",""),IF(OR(AND(G452=2,I452=""),AND(J452=2,L452=""),AND(M452=2,O452=""),AND(P452=2,R452="")),"Source missing for a 2",""),IF(F452="","No owner",IF(COUNTIFS(R_TeamName,F452,R_TeamActive,"No")&gt;0,"Needs new owner","")),IF(AND(V452="Yes",X452&lt;&gt;"",X452&lt;S_SemStart),"Path overdue",""),IF(AND(S452&lt;&gt;"",S452&lt;S_Today-365),"Stale research",""),IF(AND(AE452="Research",COUNTIF('Commercial Evidence'!$A$3:$A$502,$A452)=0),"Add commercial evidence","")))</f>
        <v/>
      </c>
      <c r="AI452" s="34" t="str">
        <f aca="false">IF(OR($A452="",Z452="Yes"),"",IF(AND(AE452="Priority",AG452=0,COUNTIFS(Opportunities!$A$3:$A$502,$A452,Opportunities!$Y$3:$Y$502,"Renewal due")=0),600000+(10-AC452)*1000+(4-AD452)*100+ROW()/100000,IF(V452="Yes",700000+IF(X452="",0,X452-40000)/10+ROW()/100000,IF(AND(AE452="Quick Win",U452&lt;&gt;"",AG452=0),800000+(10-AC452)*1000+ROW()/100000,IF(AND(AE452="Build a Path",COUNTIF($V$3:$V$502,"Yes")&lt;S_PathCap),900000+(10-AC452)*1000+(4-AD452)*100+ROW()/100000,"")))))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8"/>
      <c r="T453" s="27"/>
      <c r="U453" s="27"/>
      <c r="V453" s="27"/>
      <c r="W453" s="27"/>
      <c r="X453" s="28"/>
      <c r="Y453" s="27"/>
      <c r="Z453" s="27"/>
      <c r="AA453" s="27"/>
      <c r="AB453" s="32" t="str">
        <f aca="false">IF($A453="","",IF(COUNTIF('Commercial Evidence'!$A$3:$A$502,$A453)=0,"",IF(COUNTIFS('Commercial Evidence'!$A$3:$A$502,$A453,'Commercial Evidence'!$B$3:$B$502,"Previous CBS Talks spend")+COUNTIFS('Commercial Evidence'!$A$3:$A$502,$A453,'Commercial Evidence'!$B$3:$B$502,"Sponsors student organisations")&gt;0,2,IF(COUNTIFS('Commercial Evidence'!$A$3:$A$502,$A453,'Commercial Evidence'!$B$3:$B$502,"Sponsors university activities")+COUNTIFS('Commercial Evidence'!$A$3:$A$502,$A453,'Commercial Evidence'!$B$3:$B$502,"Sponsors similar events")+COUNTIFS('Commercial Evidence'!$A$3:$A$502,$A453,'Commercial Evidence'!$B$3:$B$502,"Previous CBS Talks partner")&gt;0,1,0))))</f>
        <v/>
      </c>
      <c r="AC453" s="32" t="str">
        <f aca="false">IF($A453="","",IF(COUNT(G453,J453,M453,P453,AB453)&lt;5,"",G453+J453+M453+P453+AB453))</f>
        <v/>
      </c>
      <c r="AD453" s="32" t="str">
        <f aca="false">IF($A453="","",IF(COUNTIFS(Contacts!$A$3:$A$502,$A453,Contacts!$E$3:$E$502,"Champion",Contacts!$K$3:$K$502,"&lt;&gt;Yes",Contacts!$L$3:$L$502,"&lt;&gt;Yes")+COUNTIFS(Opportunities!$A$3:$A$502,$A453,Opportunities!$C$3:$C$502,"Won",Opportunities!$Q$3:$Q$502,"Satisfied")&gt;0,4,IF(COUNTIFS(Interactions!$B$3:$B$502,$A453,Interactions!$I$3:$I$502,"Yes",Interactions!$A$3:$A$502,"&gt;="&amp;(S_Today-S_WarmDays))&gt;0,3,IF(T453&lt;&gt;"",2,IF(COUNTIFS(Contacts!$A$3:$A$502,$A453,Contacts!$M$3:$M$502,"Yes",Contacts!$K$3:$K$502,"&lt;&gt;Yes",Contacts!$L$3:$L$502,"&lt;&gt;Yes")&gt;0,1,0)))))</f>
        <v/>
      </c>
      <c r="AE453" s="32" t="str">
        <f aca="false">IF($A453="","",IF(Z453="Yes","Do not contact",IF(AC453="","Research",IF(AND(AC453&gt;=S_FitHigh,AD453&gt;=S_AccessHigh),"Priority",IF(AC453&gt;=S_FitHigh,"Build a Path",IF(AD453&gt;=S_AccessHigh,"Quick Win","Low Priority"))))))</f>
        <v/>
      </c>
      <c r="AF453" s="33" t="str">
        <f aca="false">IF($A453="","",IF(_xlfn.MAXIFS(Interactions!$A$3:$A$502,Interactions!$B$3:$B$502,$A453)=0,"",_xlfn.MAXIFS(Interactions!$A$3:$A$502,Interactions!$B$3:$B$502,$A453)))</f>
        <v/>
      </c>
      <c r="AG453" s="32" t="str">
        <f aca="false">IF($A453="","",COUNTIFS(Opportunities!$A$3:$A$502,$A453,Opportunities!$X$3:$X$502,"Yes"))</f>
        <v/>
      </c>
      <c r="AH453" s="32" t="str">
        <f aca="false">IF($A453="","",_xlfn.TEXTJOIN(", ",TRUE(),IF(COUNTIF($A$3:$A$502,$A453)&gt;1,"Duplicate name",""),IF(OR(AND(G453=2,I453=""),AND(J453=2,L453=""),AND(M453=2,O453=""),AND(P453=2,R453="")),"Source missing for a 2",""),IF(F453="","No owner",IF(COUNTIFS(R_TeamName,F453,R_TeamActive,"No")&gt;0,"Needs new owner","")),IF(AND(V453="Yes",X453&lt;&gt;"",X453&lt;S_SemStart),"Path overdue",""),IF(AND(S453&lt;&gt;"",S453&lt;S_Today-365),"Stale research",""),IF(AND(AE453="Research",COUNTIF('Commercial Evidence'!$A$3:$A$502,$A453)=0),"Add commercial evidence","")))</f>
        <v/>
      </c>
      <c r="AI453" s="34" t="str">
        <f aca="false">IF(OR($A453="",Z453="Yes"),"",IF(AND(AE453="Priority",AG453=0,COUNTIFS(Opportunities!$A$3:$A$502,$A453,Opportunities!$Y$3:$Y$502,"Renewal due")=0),600000+(10-AC453)*1000+(4-AD453)*100+ROW()/100000,IF(V453="Yes",700000+IF(X453="",0,X453-40000)/10+ROW()/100000,IF(AND(AE453="Quick Win",U453&lt;&gt;"",AG453=0),800000+(10-AC453)*1000+ROW()/100000,IF(AND(AE453="Build a Path",COUNTIF($V$3:$V$502,"Yes")&lt;S_PathCap),900000+(10-AC453)*1000+(4-AD453)*100+ROW()/100000,"")))))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8"/>
      <c r="T454" s="27"/>
      <c r="U454" s="27"/>
      <c r="V454" s="27"/>
      <c r="W454" s="27"/>
      <c r="X454" s="28"/>
      <c r="Y454" s="27"/>
      <c r="Z454" s="27"/>
      <c r="AA454" s="27"/>
      <c r="AB454" s="32" t="str">
        <f aca="false">IF($A454="","",IF(COUNTIF('Commercial Evidence'!$A$3:$A$502,$A454)=0,"",IF(COUNTIFS('Commercial Evidence'!$A$3:$A$502,$A454,'Commercial Evidence'!$B$3:$B$502,"Previous CBS Talks spend")+COUNTIFS('Commercial Evidence'!$A$3:$A$502,$A454,'Commercial Evidence'!$B$3:$B$502,"Sponsors student organisations")&gt;0,2,IF(COUNTIFS('Commercial Evidence'!$A$3:$A$502,$A454,'Commercial Evidence'!$B$3:$B$502,"Sponsors university activities")+COUNTIFS('Commercial Evidence'!$A$3:$A$502,$A454,'Commercial Evidence'!$B$3:$B$502,"Sponsors similar events")+COUNTIFS('Commercial Evidence'!$A$3:$A$502,$A454,'Commercial Evidence'!$B$3:$B$502,"Previous CBS Talks partner")&gt;0,1,0))))</f>
        <v/>
      </c>
      <c r="AC454" s="32" t="str">
        <f aca="false">IF($A454="","",IF(COUNT(G454,J454,M454,P454,AB454)&lt;5,"",G454+J454+M454+P454+AB454))</f>
        <v/>
      </c>
      <c r="AD454" s="32" t="str">
        <f aca="false">IF($A454="","",IF(COUNTIFS(Contacts!$A$3:$A$502,$A454,Contacts!$E$3:$E$502,"Champion",Contacts!$K$3:$K$502,"&lt;&gt;Yes",Contacts!$L$3:$L$502,"&lt;&gt;Yes")+COUNTIFS(Opportunities!$A$3:$A$502,$A454,Opportunities!$C$3:$C$502,"Won",Opportunities!$Q$3:$Q$502,"Satisfied")&gt;0,4,IF(COUNTIFS(Interactions!$B$3:$B$502,$A454,Interactions!$I$3:$I$502,"Yes",Interactions!$A$3:$A$502,"&gt;="&amp;(S_Today-S_WarmDays))&gt;0,3,IF(T454&lt;&gt;"",2,IF(COUNTIFS(Contacts!$A$3:$A$502,$A454,Contacts!$M$3:$M$502,"Yes",Contacts!$K$3:$K$502,"&lt;&gt;Yes",Contacts!$L$3:$L$502,"&lt;&gt;Yes")&gt;0,1,0)))))</f>
        <v/>
      </c>
      <c r="AE454" s="32" t="str">
        <f aca="false">IF($A454="","",IF(Z454="Yes","Do not contact",IF(AC454="","Research",IF(AND(AC454&gt;=S_FitHigh,AD454&gt;=S_AccessHigh),"Priority",IF(AC454&gt;=S_FitHigh,"Build a Path",IF(AD454&gt;=S_AccessHigh,"Quick Win","Low Priority"))))))</f>
        <v/>
      </c>
      <c r="AF454" s="33" t="str">
        <f aca="false">IF($A454="","",IF(_xlfn.MAXIFS(Interactions!$A$3:$A$502,Interactions!$B$3:$B$502,$A454)=0,"",_xlfn.MAXIFS(Interactions!$A$3:$A$502,Interactions!$B$3:$B$502,$A454)))</f>
        <v/>
      </c>
      <c r="AG454" s="32" t="str">
        <f aca="false">IF($A454="","",COUNTIFS(Opportunities!$A$3:$A$502,$A454,Opportunities!$X$3:$X$502,"Yes"))</f>
        <v/>
      </c>
      <c r="AH454" s="32" t="str">
        <f aca="false">IF($A454="","",_xlfn.TEXTJOIN(", ",TRUE(),IF(COUNTIF($A$3:$A$502,$A454)&gt;1,"Duplicate name",""),IF(OR(AND(G454=2,I454=""),AND(J454=2,L454=""),AND(M454=2,O454=""),AND(P454=2,R454="")),"Source missing for a 2",""),IF(F454="","No owner",IF(COUNTIFS(R_TeamName,F454,R_TeamActive,"No")&gt;0,"Needs new owner","")),IF(AND(V454="Yes",X454&lt;&gt;"",X454&lt;S_SemStart),"Path overdue",""),IF(AND(S454&lt;&gt;"",S454&lt;S_Today-365),"Stale research",""),IF(AND(AE454="Research",COUNTIF('Commercial Evidence'!$A$3:$A$502,$A454)=0),"Add commercial evidence","")))</f>
        <v/>
      </c>
      <c r="AI454" s="34" t="str">
        <f aca="false">IF(OR($A454="",Z454="Yes"),"",IF(AND(AE454="Priority",AG454=0,COUNTIFS(Opportunities!$A$3:$A$502,$A454,Opportunities!$Y$3:$Y$502,"Renewal due")=0),600000+(10-AC454)*1000+(4-AD454)*100+ROW()/100000,IF(V454="Yes",700000+IF(X454="",0,X454-40000)/10+ROW()/100000,IF(AND(AE454="Quick Win",U454&lt;&gt;"",AG454=0),800000+(10-AC454)*1000+ROW()/100000,IF(AND(AE454="Build a Path",COUNTIF($V$3:$V$502,"Yes")&lt;S_PathCap),900000+(10-AC454)*1000+(4-AD454)*100+ROW()/100000,"")))))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8"/>
      <c r="T455" s="27"/>
      <c r="U455" s="27"/>
      <c r="V455" s="27"/>
      <c r="W455" s="27"/>
      <c r="X455" s="28"/>
      <c r="Y455" s="27"/>
      <c r="Z455" s="27"/>
      <c r="AA455" s="27"/>
      <c r="AB455" s="32" t="str">
        <f aca="false">IF($A455="","",IF(COUNTIF('Commercial Evidence'!$A$3:$A$502,$A455)=0,"",IF(COUNTIFS('Commercial Evidence'!$A$3:$A$502,$A455,'Commercial Evidence'!$B$3:$B$502,"Previous CBS Talks spend")+COUNTIFS('Commercial Evidence'!$A$3:$A$502,$A455,'Commercial Evidence'!$B$3:$B$502,"Sponsors student organisations")&gt;0,2,IF(COUNTIFS('Commercial Evidence'!$A$3:$A$502,$A455,'Commercial Evidence'!$B$3:$B$502,"Sponsors university activities")+COUNTIFS('Commercial Evidence'!$A$3:$A$502,$A455,'Commercial Evidence'!$B$3:$B$502,"Sponsors similar events")+COUNTIFS('Commercial Evidence'!$A$3:$A$502,$A455,'Commercial Evidence'!$B$3:$B$502,"Previous CBS Talks partner")&gt;0,1,0))))</f>
        <v/>
      </c>
      <c r="AC455" s="32" t="str">
        <f aca="false">IF($A455="","",IF(COUNT(G455,J455,M455,P455,AB455)&lt;5,"",G455+J455+M455+P455+AB455))</f>
        <v/>
      </c>
      <c r="AD455" s="32" t="str">
        <f aca="false">IF($A455="","",IF(COUNTIFS(Contacts!$A$3:$A$502,$A455,Contacts!$E$3:$E$502,"Champion",Contacts!$K$3:$K$502,"&lt;&gt;Yes",Contacts!$L$3:$L$502,"&lt;&gt;Yes")+COUNTIFS(Opportunities!$A$3:$A$502,$A455,Opportunities!$C$3:$C$502,"Won",Opportunities!$Q$3:$Q$502,"Satisfied")&gt;0,4,IF(COUNTIFS(Interactions!$B$3:$B$502,$A455,Interactions!$I$3:$I$502,"Yes",Interactions!$A$3:$A$502,"&gt;="&amp;(S_Today-S_WarmDays))&gt;0,3,IF(T455&lt;&gt;"",2,IF(COUNTIFS(Contacts!$A$3:$A$502,$A455,Contacts!$M$3:$M$502,"Yes",Contacts!$K$3:$K$502,"&lt;&gt;Yes",Contacts!$L$3:$L$502,"&lt;&gt;Yes")&gt;0,1,0)))))</f>
        <v/>
      </c>
      <c r="AE455" s="32" t="str">
        <f aca="false">IF($A455="","",IF(Z455="Yes","Do not contact",IF(AC455="","Research",IF(AND(AC455&gt;=S_FitHigh,AD455&gt;=S_AccessHigh),"Priority",IF(AC455&gt;=S_FitHigh,"Build a Path",IF(AD455&gt;=S_AccessHigh,"Quick Win","Low Priority"))))))</f>
        <v/>
      </c>
      <c r="AF455" s="33" t="str">
        <f aca="false">IF($A455="","",IF(_xlfn.MAXIFS(Interactions!$A$3:$A$502,Interactions!$B$3:$B$502,$A455)=0,"",_xlfn.MAXIFS(Interactions!$A$3:$A$502,Interactions!$B$3:$B$502,$A455)))</f>
        <v/>
      </c>
      <c r="AG455" s="32" t="str">
        <f aca="false">IF($A455="","",COUNTIFS(Opportunities!$A$3:$A$502,$A455,Opportunities!$X$3:$X$502,"Yes"))</f>
        <v/>
      </c>
      <c r="AH455" s="32" t="str">
        <f aca="false">IF($A455="","",_xlfn.TEXTJOIN(", ",TRUE(),IF(COUNTIF($A$3:$A$502,$A455)&gt;1,"Duplicate name",""),IF(OR(AND(G455=2,I455=""),AND(J455=2,L455=""),AND(M455=2,O455=""),AND(P455=2,R455="")),"Source missing for a 2",""),IF(F455="","No owner",IF(COUNTIFS(R_TeamName,F455,R_TeamActive,"No")&gt;0,"Needs new owner","")),IF(AND(V455="Yes",X455&lt;&gt;"",X455&lt;S_SemStart),"Path overdue",""),IF(AND(S455&lt;&gt;"",S455&lt;S_Today-365),"Stale research",""),IF(AND(AE455="Research",COUNTIF('Commercial Evidence'!$A$3:$A$502,$A455)=0),"Add commercial evidence","")))</f>
        <v/>
      </c>
      <c r="AI455" s="34" t="str">
        <f aca="false">IF(OR($A455="",Z455="Yes"),"",IF(AND(AE455="Priority",AG455=0,COUNTIFS(Opportunities!$A$3:$A$502,$A455,Opportunities!$Y$3:$Y$502,"Renewal due")=0),600000+(10-AC455)*1000+(4-AD455)*100+ROW()/100000,IF(V455="Yes",700000+IF(X455="",0,X455-40000)/10+ROW()/100000,IF(AND(AE455="Quick Win",U455&lt;&gt;"",AG455=0),800000+(10-AC455)*1000+ROW()/100000,IF(AND(AE455="Build a Path",COUNTIF($V$3:$V$502,"Yes")&lt;S_PathCap),900000+(10-AC455)*1000+(4-AD455)*100+ROW()/100000,"")))))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8"/>
      <c r="T456" s="27"/>
      <c r="U456" s="27"/>
      <c r="V456" s="27"/>
      <c r="W456" s="27"/>
      <c r="X456" s="28"/>
      <c r="Y456" s="27"/>
      <c r="Z456" s="27"/>
      <c r="AA456" s="27"/>
      <c r="AB456" s="32" t="str">
        <f aca="false">IF($A456="","",IF(COUNTIF('Commercial Evidence'!$A$3:$A$502,$A456)=0,"",IF(COUNTIFS('Commercial Evidence'!$A$3:$A$502,$A456,'Commercial Evidence'!$B$3:$B$502,"Previous CBS Talks spend")+COUNTIFS('Commercial Evidence'!$A$3:$A$502,$A456,'Commercial Evidence'!$B$3:$B$502,"Sponsors student organisations")&gt;0,2,IF(COUNTIFS('Commercial Evidence'!$A$3:$A$502,$A456,'Commercial Evidence'!$B$3:$B$502,"Sponsors university activities")+COUNTIFS('Commercial Evidence'!$A$3:$A$502,$A456,'Commercial Evidence'!$B$3:$B$502,"Sponsors similar events")+COUNTIFS('Commercial Evidence'!$A$3:$A$502,$A456,'Commercial Evidence'!$B$3:$B$502,"Previous CBS Talks partner")&gt;0,1,0))))</f>
        <v/>
      </c>
      <c r="AC456" s="32" t="str">
        <f aca="false">IF($A456="","",IF(COUNT(G456,J456,M456,P456,AB456)&lt;5,"",G456+J456+M456+P456+AB456))</f>
        <v/>
      </c>
      <c r="AD456" s="32" t="str">
        <f aca="false">IF($A456="","",IF(COUNTIFS(Contacts!$A$3:$A$502,$A456,Contacts!$E$3:$E$502,"Champion",Contacts!$K$3:$K$502,"&lt;&gt;Yes",Contacts!$L$3:$L$502,"&lt;&gt;Yes")+COUNTIFS(Opportunities!$A$3:$A$502,$A456,Opportunities!$C$3:$C$502,"Won",Opportunities!$Q$3:$Q$502,"Satisfied")&gt;0,4,IF(COUNTIFS(Interactions!$B$3:$B$502,$A456,Interactions!$I$3:$I$502,"Yes",Interactions!$A$3:$A$502,"&gt;="&amp;(S_Today-S_WarmDays))&gt;0,3,IF(T456&lt;&gt;"",2,IF(COUNTIFS(Contacts!$A$3:$A$502,$A456,Contacts!$M$3:$M$502,"Yes",Contacts!$K$3:$K$502,"&lt;&gt;Yes",Contacts!$L$3:$L$502,"&lt;&gt;Yes")&gt;0,1,0)))))</f>
        <v/>
      </c>
      <c r="AE456" s="32" t="str">
        <f aca="false">IF($A456="","",IF(Z456="Yes","Do not contact",IF(AC456="","Research",IF(AND(AC456&gt;=S_FitHigh,AD456&gt;=S_AccessHigh),"Priority",IF(AC456&gt;=S_FitHigh,"Build a Path",IF(AD456&gt;=S_AccessHigh,"Quick Win","Low Priority"))))))</f>
        <v/>
      </c>
      <c r="AF456" s="33" t="str">
        <f aca="false">IF($A456="","",IF(_xlfn.MAXIFS(Interactions!$A$3:$A$502,Interactions!$B$3:$B$502,$A456)=0,"",_xlfn.MAXIFS(Interactions!$A$3:$A$502,Interactions!$B$3:$B$502,$A456)))</f>
        <v/>
      </c>
      <c r="AG456" s="32" t="str">
        <f aca="false">IF($A456="","",COUNTIFS(Opportunities!$A$3:$A$502,$A456,Opportunities!$X$3:$X$502,"Yes"))</f>
        <v/>
      </c>
      <c r="AH456" s="32" t="str">
        <f aca="false">IF($A456="","",_xlfn.TEXTJOIN(", ",TRUE(),IF(COUNTIF($A$3:$A$502,$A456)&gt;1,"Duplicate name",""),IF(OR(AND(G456=2,I456=""),AND(J456=2,L456=""),AND(M456=2,O456=""),AND(P456=2,R456="")),"Source missing for a 2",""),IF(F456="","No owner",IF(COUNTIFS(R_TeamName,F456,R_TeamActive,"No")&gt;0,"Needs new owner","")),IF(AND(V456="Yes",X456&lt;&gt;"",X456&lt;S_SemStart),"Path overdue",""),IF(AND(S456&lt;&gt;"",S456&lt;S_Today-365),"Stale research",""),IF(AND(AE456="Research",COUNTIF('Commercial Evidence'!$A$3:$A$502,$A456)=0),"Add commercial evidence","")))</f>
        <v/>
      </c>
      <c r="AI456" s="34" t="str">
        <f aca="false">IF(OR($A456="",Z456="Yes"),"",IF(AND(AE456="Priority",AG456=0,COUNTIFS(Opportunities!$A$3:$A$502,$A456,Opportunities!$Y$3:$Y$502,"Renewal due")=0),600000+(10-AC456)*1000+(4-AD456)*100+ROW()/100000,IF(V456="Yes",700000+IF(X456="",0,X456-40000)/10+ROW()/100000,IF(AND(AE456="Quick Win",U456&lt;&gt;"",AG456=0),800000+(10-AC456)*1000+ROW()/100000,IF(AND(AE456="Build a Path",COUNTIF($V$3:$V$502,"Yes")&lt;S_PathCap),900000+(10-AC456)*1000+(4-AD456)*100+ROW()/100000,"")))))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8"/>
      <c r="T457" s="27"/>
      <c r="U457" s="27"/>
      <c r="V457" s="27"/>
      <c r="W457" s="27"/>
      <c r="X457" s="28"/>
      <c r="Y457" s="27"/>
      <c r="Z457" s="27"/>
      <c r="AA457" s="27"/>
      <c r="AB457" s="32" t="str">
        <f aca="false">IF($A457="","",IF(COUNTIF('Commercial Evidence'!$A$3:$A$502,$A457)=0,"",IF(COUNTIFS('Commercial Evidence'!$A$3:$A$502,$A457,'Commercial Evidence'!$B$3:$B$502,"Previous CBS Talks spend")+COUNTIFS('Commercial Evidence'!$A$3:$A$502,$A457,'Commercial Evidence'!$B$3:$B$502,"Sponsors student organisations")&gt;0,2,IF(COUNTIFS('Commercial Evidence'!$A$3:$A$502,$A457,'Commercial Evidence'!$B$3:$B$502,"Sponsors university activities")+COUNTIFS('Commercial Evidence'!$A$3:$A$502,$A457,'Commercial Evidence'!$B$3:$B$502,"Sponsors similar events")+COUNTIFS('Commercial Evidence'!$A$3:$A$502,$A457,'Commercial Evidence'!$B$3:$B$502,"Previous CBS Talks partner")&gt;0,1,0))))</f>
        <v/>
      </c>
      <c r="AC457" s="32" t="str">
        <f aca="false">IF($A457="","",IF(COUNT(G457,J457,M457,P457,AB457)&lt;5,"",G457+J457+M457+P457+AB457))</f>
        <v/>
      </c>
      <c r="AD457" s="32" t="str">
        <f aca="false">IF($A457="","",IF(COUNTIFS(Contacts!$A$3:$A$502,$A457,Contacts!$E$3:$E$502,"Champion",Contacts!$K$3:$K$502,"&lt;&gt;Yes",Contacts!$L$3:$L$502,"&lt;&gt;Yes")+COUNTIFS(Opportunities!$A$3:$A$502,$A457,Opportunities!$C$3:$C$502,"Won",Opportunities!$Q$3:$Q$502,"Satisfied")&gt;0,4,IF(COUNTIFS(Interactions!$B$3:$B$502,$A457,Interactions!$I$3:$I$502,"Yes",Interactions!$A$3:$A$502,"&gt;="&amp;(S_Today-S_WarmDays))&gt;0,3,IF(T457&lt;&gt;"",2,IF(COUNTIFS(Contacts!$A$3:$A$502,$A457,Contacts!$M$3:$M$502,"Yes",Contacts!$K$3:$K$502,"&lt;&gt;Yes",Contacts!$L$3:$L$502,"&lt;&gt;Yes")&gt;0,1,0)))))</f>
        <v/>
      </c>
      <c r="AE457" s="32" t="str">
        <f aca="false">IF($A457="","",IF(Z457="Yes","Do not contact",IF(AC457="","Research",IF(AND(AC457&gt;=S_FitHigh,AD457&gt;=S_AccessHigh),"Priority",IF(AC457&gt;=S_FitHigh,"Build a Path",IF(AD457&gt;=S_AccessHigh,"Quick Win","Low Priority"))))))</f>
        <v/>
      </c>
      <c r="AF457" s="33" t="str">
        <f aca="false">IF($A457="","",IF(_xlfn.MAXIFS(Interactions!$A$3:$A$502,Interactions!$B$3:$B$502,$A457)=0,"",_xlfn.MAXIFS(Interactions!$A$3:$A$502,Interactions!$B$3:$B$502,$A457)))</f>
        <v/>
      </c>
      <c r="AG457" s="32" t="str">
        <f aca="false">IF($A457="","",COUNTIFS(Opportunities!$A$3:$A$502,$A457,Opportunities!$X$3:$X$502,"Yes"))</f>
        <v/>
      </c>
      <c r="AH457" s="32" t="str">
        <f aca="false">IF($A457="","",_xlfn.TEXTJOIN(", ",TRUE(),IF(COUNTIF($A$3:$A$502,$A457)&gt;1,"Duplicate name",""),IF(OR(AND(G457=2,I457=""),AND(J457=2,L457=""),AND(M457=2,O457=""),AND(P457=2,R457="")),"Source missing for a 2",""),IF(F457="","No owner",IF(COUNTIFS(R_TeamName,F457,R_TeamActive,"No")&gt;0,"Needs new owner","")),IF(AND(V457="Yes",X457&lt;&gt;"",X457&lt;S_SemStart),"Path overdue",""),IF(AND(S457&lt;&gt;"",S457&lt;S_Today-365),"Stale research",""),IF(AND(AE457="Research",COUNTIF('Commercial Evidence'!$A$3:$A$502,$A457)=0),"Add commercial evidence","")))</f>
        <v/>
      </c>
      <c r="AI457" s="34" t="str">
        <f aca="false">IF(OR($A457="",Z457="Yes"),"",IF(AND(AE457="Priority",AG457=0,COUNTIFS(Opportunities!$A$3:$A$502,$A457,Opportunities!$Y$3:$Y$502,"Renewal due")=0),600000+(10-AC457)*1000+(4-AD457)*100+ROW()/100000,IF(V457="Yes",700000+IF(X457="",0,X457-40000)/10+ROW()/100000,IF(AND(AE457="Quick Win",U457&lt;&gt;"",AG457=0),800000+(10-AC457)*1000+ROW()/100000,IF(AND(AE457="Build a Path",COUNTIF($V$3:$V$502,"Yes")&lt;S_PathCap),900000+(10-AC457)*1000+(4-AD457)*100+ROW()/100000,"")))))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8"/>
      <c r="T458" s="27"/>
      <c r="U458" s="27"/>
      <c r="V458" s="27"/>
      <c r="W458" s="27"/>
      <c r="X458" s="28"/>
      <c r="Y458" s="27"/>
      <c r="Z458" s="27"/>
      <c r="AA458" s="27"/>
      <c r="AB458" s="32" t="str">
        <f aca="false">IF($A458="","",IF(COUNTIF('Commercial Evidence'!$A$3:$A$502,$A458)=0,"",IF(COUNTIFS('Commercial Evidence'!$A$3:$A$502,$A458,'Commercial Evidence'!$B$3:$B$502,"Previous CBS Talks spend")+COUNTIFS('Commercial Evidence'!$A$3:$A$502,$A458,'Commercial Evidence'!$B$3:$B$502,"Sponsors student organisations")&gt;0,2,IF(COUNTIFS('Commercial Evidence'!$A$3:$A$502,$A458,'Commercial Evidence'!$B$3:$B$502,"Sponsors university activities")+COUNTIFS('Commercial Evidence'!$A$3:$A$502,$A458,'Commercial Evidence'!$B$3:$B$502,"Sponsors similar events")+COUNTIFS('Commercial Evidence'!$A$3:$A$502,$A458,'Commercial Evidence'!$B$3:$B$502,"Previous CBS Talks partner")&gt;0,1,0))))</f>
        <v/>
      </c>
      <c r="AC458" s="32" t="str">
        <f aca="false">IF($A458="","",IF(COUNT(G458,J458,M458,P458,AB458)&lt;5,"",G458+J458+M458+P458+AB458))</f>
        <v/>
      </c>
      <c r="AD458" s="32" t="str">
        <f aca="false">IF($A458="","",IF(COUNTIFS(Contacts!$A$3:$A$502,$A458,Contacts!$E$3:$E$502,"Champion",Contacts!$K$3:$K$502,"&lt;&gt;Yes",Contacts!$L$3:$L$502,"&lt;&gt;Yes")+COUNTIFS(Opportunities!$A$3:$A$502,$A458,Opportunities!$C$3:$C$502,"Won",Opportunities!$Q$3:$Q$502,"Satisfied")&gt;0,4,IF(COUNTIFS(Interactions!$B$3:$B$502,$A458,Interactions!$I$3:$I$502,"Yes",Interactions!$A$3:$A$502,"&gt;="&amp;(S_Today-S_WarmDays))&gt;0,3,IF(T458&lt;&gt;"",2,IF(COUNTIFS(Contacts!$A$3:$A$502,$A458,Contacts!$M$3:$M$502,"Yes",Contacts!$K$3:$K$502,"&lt;&gt;Yes",Contacts!$L$3:$L$502,"&lt;&gt;Yes")&gt;0,1,0)))))</f>
        <v/>
      </c>
      <c r="AE458" s="32" t="str">
        <f aca="false">IF($A458="","",IF(Z458="Yes","Do not contact",IF(AC458="","Research",IF(AND(AC458&gt;=S_FitHigh,AD458&gt;=S_AccessHigh),"Priority",IF(AC458&gt;=S_FitHigh,"Build a Path",IF(AD458&gt;=S_AccessHigh,"Quick Win","Low Priority"))))))</f>
        <v/>
      </c>
      <c r="AF458" s="33" t="str">
        <f aca="false">IF($A458="","",IF(_xlfn.MAXIFS(Interactions!$A$3:$A$502,Interactions!$B$3:$B$502,$A458)=0,"",_xlfn.MAXIFS(Interactions!$A$3:$A$502,Interactions!$B$3:$B$502,$A458)))</f>
        <v/>
      </c>
      <c r="AG458" s="32" t="str">
        <f aca="false">IF($A458="","",COUNTIFS(Opportunities!$A$3:$A$502,$A458,Opportunities!$X$3:$X$502,"Yes"))</f>
        <v/>
      </c>
      <c r="AH458" s="32" t="str">
        <f aca="false">IF($A458="","",_xlfn.TEXTJOIN(", ",TRUE(),IF(COUNTIF($A$3:$A$502,$A458)&gt;1,"Duplicate name",""),IF(OR(AND(G458=2,I458=""),AND(J458=2,L458=""),AND(M458=2,O458=""),AND(P458=2,R458="")),"Source missing for a 2",""),IF(F458="","No owner",IF(COUNTIFS(R_TeamName,F458,R_TeamActive,"No")&gt;0,"Needs new owner","")),IF(AND(V458="Yes",X458&lt;&gt;"",X458&lt;S_SemStart),"Path overdue",""),IF(AND(S458&lt;&gt;"",S458&lt;S_Today-365),"Stale research",""),IF(AND(AE458="Research",COUNTIF('Commercial Evidence'!$A$3:$A$502,$A458)=0),"Add commercial evidence","")))</f>
        <v/>
      </c>
      <c r="AI458" s="34" t="str">
        <f aca="false">IF(OR($A458="",Z458="Yes"),"",IF(AND(AE458="Priority",AG458=0,COUNTIFS(Opportunities!$A$3:$A$502,$A458,Opportunities!$Y$3:$Y$502,"Renewal due")=0),600000+(10-AC458)*1000+(4-AD458)*100+ROW()/100000,IF(V458="Yes",700000+IF(X458="",0,X458-40000)/10+ROW()/100000,IF(AND(AE458="Quick Win",U458&lt;&gt;"",AG458=0),800000+(10-AC458)*1000+ROW()/100000,IF(AND(AE458="Build a Path",COUNTIF($V$3:$V$502,"Yes")&lt;S_PathCap),900000+(10-AC458)*1000+(4-AD458)*100+ROW()/100000,"")))))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8"/>
      <c r="T459" s="27"/>
      <c r="U459" s="27"/>
      <c r="V459" s="27"/>
      <c r="W459" s="27"/>
      <c r="X459" s="28"/>
      <c r="Y459" s="27"/>
      <c r="Z459" s="27"/>
      <c r="AA459" s="27"/>
      <c r="AB459" s="32" t="str">
        <f aca="false">IF($A459="","",IF(COUNTIF('Commercial Evidence'!$A$3:$A$502,$A459)=0,"",IF(COUNTIFS('Commercial Evidence'!$A$3:$A$502,$A459,'Commercial Evidence'!$B$3:$B$502,"Previous CBS Talks spend")+COUNTIFS('Commercial Evidence'!$A$3:$A$502,$A459,'Commercial Evidence'!$B$3:$B$502,"Sponsors student organisations")&gt;0,2,IF(COUNTIFS('Commercial Evidence'!$A$3:$A$502,$A459,'Commercial Evidence'!$B$3:$B$502,"Sponsors university activities")+COUNTIFS('Commercial Evidence'!$A$3:$A$502,$A459,'Commercial Evidence'!$B$3:$B$502,"Sponsors similar events")+COUNTIFS('Commercial Evidence'!$A$3:$A$502,$A459,'Commercial Evidence'!$B$3:$B$502,"Previous CBS Talks partner")&gt;0,1,0))))</f>
        <v/>
      </c>
      <c r="AC459" s="32" t="str">
        <f aca="false">IF($A459="","",IF(COUNT(G459,J459,M459,P459,AB459)&lt;5,"",G459+J459+M459+P459+AB459))</f>
        <v/>
      </c>
      <c r="AD459" s="32" t="str">
        <f aca="false">IF($A459="","",IF(COUNTIFS(Contacts!$A$3:$A$502,$A459,Contacts!$E$3:$E$502,"Champion",Contacts!$K$3:$K$502,"&lt;&gt;Yes",Contacts!$L$3:$L$502,"&lt;&gt;Yes")+COUNTIFS(Opportunities!$A$3:$A$502,$A459,Opportunities!$C$3:$C$502,"Won",Opportunities!$Q$3:$Q$502,"Satisfied")&gt;0,4,IF(COUNTIFS(Interactions!$B$3:$B$502,$A459,Interactions!$I$3:$I$502,"Yes",Interactions!$A$3:$A$502,"&gt;="&amp;(S_Today-S_WarmDays))&gt;0,3,IF(T459&lt;&gt;"",2,IF(COUNTIFS(Contacts!$A$3:$A$502,$A459,Contacts!$M$3:$M$502,"Yes",Contacts!$K$3:$K$502,"&lt;&gt;Yes",Contacts!$L$3:$L$502,"&lt;&gt;Yes")&gt;0,1,0)))))</f>
        <v/>
      </c>
      <c r="AE459" s="32" t="str">
        <f aca="false">IF($A459="","",IF(Z459="Yes","Do not contact",IF(AC459="","Research",IF(AND(AC459&gt;=S_FitHigh,AD459&gt;=S_AccessHigh),"Priority",IF(AC459&gt;=S_FitHigh,"Build a Path",IF(AD459&gt;=S_AccessHigh,"Quick Win","Low Priority"))))))</f>
        <v/>
      </c>
      <c r="AF459" s="33" t="str">
        <f aca="false">IF($A459="","",IF(_xlfn.MAXIFS(Interactions!$A$3:$A$502,Interactions!$B$3:$B$502,$A459)=0,"",_xlfn.MAXIFS(Interactions!$A$3:$A$502,Interactions!$B$3:$B$502,$A459)))</f>
        <v/>
      </c>
      <c r="AG459" s="32" t="str">
        <f aca="false">IF($A459="","",COUNTIFS(Opportunities!$A$3:$A$502,$A459,Opportunities!$X$3:$X$502,"Yes"))</f>
        <v/>
      </c>
      <c r="AH459" s="32" t="str">
        <f aca="false">IF($A459="","",_xlfn.TEXTJOIN(", ",TRUE(),IF(COUNTIF($A$3:$A$502,$A459)&gt;1,"Duplicate name",""),IF(OR(AND(G459=2,I459=""),AND(J459=2,L459=""),AND(M459=2,O459=""),AND(P459=2,R459="")),"Source missing for a 2",""),IF(F459="","No owner",IF(COUNTIFS(R_TeamName,F459,R_TeamActive,"No")&gt;0,"Needs new owner","")),IF(AND(V459="Yes",X459&lt;&gt;"",X459&lt;S_SemStart),"Path overdue",""),IF(AND(S459&lt;&gt;"",S459&lt;S_Today-365),"Stale research",""),IF(AND(AE459="Research",COUNTIF('Commercial Evidence'!$A$3:$A$502,$A459)=0),"Add commercial evidence","")))</f>
        <v/>
      </c>
      <c r="AI459" s="34" t="str">
        <f aca="false">IF(OR($A459="",Z459="Yes"),"",IF(AND(AE459="Priority",AG459=0,COUNTIFS(Opportunities!$A$3:$A$502,$A459,Opportunities!$Y$3:$Y$502,"Renewal due")=0),600000+(10-AC459)*1000+(4-AD459)*100+ROW()/100000,IF(V459="Yes",700000+IF(X459="",0,X459-40000)/10+ROW()/100000,IF(AND(AE459="Quick Win",U459&lt;&gt;"",AG459=0),800000+(10-AC459)*1000+ROW()/100000,IF(AND(AE459="Build a Path",COUNTIF($V$3:$V$502,"Yes")&lt;S_PathCap),900000+(10-AC459)*1000+(4-AD459)*100+ROW()/100000,"")))))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8"/>
      <c r="T460" s="27"/>
      <c r="U460" s="27"/>
      <c r="V460" s="27"/>
      <c r="W460" s="27"/>
      <c r="X460" s="28"/>
      <c r="Y460" s="27"/>
      <c r="Z460" s="27"/>
      <c r="AA460" s="27"/>
      <c r="AB460" s="32" t="str">
        <f aca="false">IF($A460="","",IF(COUNTIF('Commercial Evidence'!$A$3:$A$502,$A460)=0,"",IF(COUNTIFS('Commercial Evidence'!$A$3:$A$502,$A460,'Commercial Evidence'!$B$3:$B$502,"Previous CBS Talks spend")+COUNTIFS('Commercial Evidence'!$A$3:$A$502,$A460,'Commercial Evidence'!$B$3:$B$502,"Sponsors student organisations")&gt;0,2,IF(COUNTIFS('Commercial Evidence'!$A$3:$A$502,$A460,'Commercial Evidence'!$B$3:$B$502,"Sponsors university activities")+COUNTIFS('Commercial Evidence'!$A$3:$A$502,$A460,'Commercial Evidence'!$B$3:$B$502,"Sponsors similar events")+COUNTIFS('Commercial Evidence'!$A$3:$A$502,$A460,'Commercial Evidence'!$B$3:$B$502,"Previous CBS Talks partner")&gt;0,1,0))))</f>
        <v/>
      </c>
      <c r="AC460" s="32" t="str">
        <f aca="false">IF($A460="","",IF(COUNT(G460,J460,M460,P460,AB460)&lt;5,"",G460+J460+M460+P460+AB460))</f>
        <v/>
      </c>
      <c r="AD460" s="32" t="str">
        <f aca="false">IF($A460="","",IF(COUNTIFS(Contacts!$A$3:$A$502,$A460,Contacts!$E$3:$E$502,"Champion",Contacts!$K$3:$K$502,"&lt;&gt;Yes",Contacts!$L$3:$L$502,"&lt;&gt;Yes")+COUNTIFS(Opportunities!$A$3:$A$502,$A460,Opportunities!$C$3:$C$502,"Won",Opportunities!$Q$3:$Q$502,"Satisfied")&gt;0,4,IF(COUNTIFS(Interactions!$B$3:$B$502,$A460,Interactions!$I$3:$I$502,"Yes",Interactions!$A$3:$A$502,"&gt;="&amp;(S_Today-S_WarmDays))&gt;0,3,IF(T460&lt;&gt;"",2,IF(COUNTIFS(Contacts!$A$3:$A$502,$A460,Contacts!$M$3:$M$502,"Yes",Contacts!$K$3:$K$502,"&lt;&gt;Yes",Contacts!$L$3:$L$502,"&lt;&gt;Yes")&gt;0,1,0)))))</f>
        <v/>
      </c>
      <c r="AE460" s="32" t="str">
        <f aca="false">IF($A460="","",IF(Z460="Yes","Do not contact",IF(AC460="","Research",IF(AND(AC460&gt;=S_FitHigh,AD460&gt;=S_AccessHigh),"Priority",IF(AC460&gt;=S_FitHigh,"Build a Path",IF(AD460&gt;=S_AccessHigh,"Quick Win","Low Priority"))))))</f>
        <v/>
      </c>
      <c r="AF460" s="33" t="str">
        <f aca="false">IF($A460="","",IF(_xlfn.MAXIFS(Interactions!$A$3:$A$502,Interactions!$B$3:$B$502,$A460)=0,"",_xlfn.MAXIFS(Interactions!$A$3:$A$502,Interactions!$B$3:$B$502,$A460)))</f>
        <v/>
      </c>
      <c r="AG460" s="32" t="str">
        <f aca="false">IF($A460="","",COUNTIFS(Opportunities!$A$3:$A$502,$A460,Opportunities!$X$3:$X$502,"Yes"))</f>
        <v/>
      </c>
      <c r="AH460" s="32" t="str">
        <f aca="false">IF($A460="","",_xlfn.TEXTJOIN(", ",TRUE(),IF(COUNTIF($A$3:$A$502,$A460)&gt;1,"Duplicate name",""),IF(OR(AND(G460=2,I460=""),AND(J460=2,L460=""),AND(M460=2,O460=""),AND(P460=2,R460="")),"Source missing for a 2",""),IF(F460="","No owner",IF(COUNTIFS(R_TeamName,F460,R_TeamActive,"No")&gt;0,"Needs new owner","")),IF(AND(V460="Yes",X460&lt;&gt;"",X460&lt;S_SemStart),"Path overdue",""),IF(AND(S460&lt;&gt;"",S460&lt;S_Today-365),"Stale research",""),IF(AND(AE460="Research",COUNTIF('Commercial Evidence'!$A$3:$A$502,$A460)=0),"Add commercial evidence","")))</f>
        <v/>
      </c>
      <c r="AI460" s="34" t="str">
        <f aca="false">IF(OR($A460="",Z460="Yes"),"",IF(AND(AE460="Priority",AG460=0,COUNTIFS(Opportunities!$A$3:$A$502,$A460,Opportunities!$Y$3:$Y$502,"Renewal due")=0),600000+(10-AC460)*1000+(4-AD460)*100+ROW()/100000,IF(V460="Yes",700000+IF(X460="",0,X460-40000)/10+ROW()/100000,IF(AND(AE460="Quick Win",U460&lt;&gt;"",AG460=0),800000+(10-AC460)*1000+ROW()/100000,IF(AND(AE460="Build a Path",COUNTIF($V$3:$V$502,"Yes")&lt;S_PathCap),900000+(10-AC460)*1000+(4-AD460)*100+ROW()/100000,"")))))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8"/>
      <c r="T461" s="27"/>
      <c r="U461" s="27"/>
      <c r="V461" s="27"/>
      <c r="W461" s="27"/>
      <c r="X461" s="28"/>
      <c r="Y461" s="27"/>
      <c r="Z461" s="27"/>
      <c r="AA461" s="27"/>
      <c r="AB461" s="32" t="str">
        <f aca="false">IF($A461="","",IF(COUNTIF('Commercial Evidence'!$A$3:$A$502,$A461)=0,"",IF(COUNTIFS('Commercial Evidence'!$A$3:$A$502,$A461,'Commercial Evidence'!$B$3:$B$502,"Previous CBS Talks spend")+COUNTIFS('Commercial Evidence'!$A$3:$A$502,$A461,'Commercial Evidence'!$B$3:$B$502,"Sponsors student organisations")&gt;0,2,IF(COUNTIFS('Commercial Evidence'!$A$3:$A$502,$A461,'Commercial Evidence'!$B$3:$B$502,"Sponsors university activities")+COUNTIFS('Commercial Evidence'!$A$3:$A$502,$A461,'Commercial Evidence'!$B$3:$B$502,"Sponsors similar events")+COUNTIFS('Commercial Evidence'!$A$3:$A$502,$A461,'Commercial Evidence'!$B$3:$B$502,"Previous CBS Talks partner")&gt;0,1,0))))</f>
        <v/>
      </c>
      <c r="AC461" s="32" t="str">
        <f aca="false">IF($A461="","",IF(COUNT(G461,J461,M461,P461,AB461)&lt;5,"",G461+J461+M461+P461+AB461))</f>
        <v/>
      </c>
      <c r="AD461" s="32" t="str">
        <f aca="false">IF($A461="","",IF(COUNTIFS(Contacts!$A$3:$A$502,$A461,Contacts!$E$3:$E$502,"Champion",Contacts!$K$3:$K$502,"&lt;&gt;Yes",Contacts!$L$3:$L$502,"&lt;&gt;Yes")+COUNTIFS(Opportunities!$A$3:$A$502,$A461,Opportunities!$C$3:$C$502,"Won",Opportunities!$Q$3:$Q$502,"Satisfied")&gt;0,4,IF(COUNTIFS(Interactions!$B$3:$B$502,$A461,Interactions!$I$3:$I$502,"Yes",Interactions!$A$3:$A$502,"&gt;="&amp;(S_Today-S_WarmDays))&gt;0,3,IF(T461&lt;&gt;"",2,IF(COUNTIFS(Contacts!$A$3:$A$502,$A461,Contacts!$M$3:$M$502,"Yes",Contacts!$K$3:$K$502,"&lt;&gt;Yes",Contacts!$L$3:$L$502,"&lt;&gt;Yes")&gt;0,1,0)))))</f>
        <v/>
      </c>
      <c r="AE461" s="32" t="str">
        <f aca="false">IF($A461="","",IF(Z461="Yes","Do not contact",IF(AC461="","Research",IF(AND(AC461&gt;=S_FitHigh,AD461&gt;=S_AccessHigh),"Priority",IF(AC461&gt;=S_FitHigh,"Build a Path",IF(AD461&gt;=S_AccessHigh,"Quick Win","Low Priority"))))))</f>
        <v/>
      </c>
      <c r="AF461" s="33" t="str">
        <f aca="false">IF($A461="","",IF(_xlfn.MAXIFS(Interactions!$A$3:$A$502,Interactions!$B$3:$B$502,$A461)=0,"",_xlfn.MAXIFS(Interactions!$A$3:$A$502,Interactions!$B$3:$B$502,$A461)))</f>
        <v/>
      </c>
      <c r="AG461" s="32" t="str">
        <f aca="false">IF($A461="","",COUNTIFS(Opportunities!$A$3:$A$502,$A461,Opportunities!$X$3:$X$502,"Yes"))</f>
        <v/>
      </c>
      <c r="AH461" s="32" t="str">
        <f aca="false">IF($A461="","",_xlfn.TEXTJOIN(", ",TRUE(),IF(COUNTIF($A$3:$A$502,$A461)&gt;1,"Duplicate name",""),IF(OR(AND(G461=2,I461=""),AND(J461=2,L461=""),AND(M461=2,O461=""),AND(P461=2,R461="")),"Source missing for a 2",""),IF(F461="","No owner",IF(COUNTIFS(R_TeamName,F461,R_TeamActive,"No")&gt;0,"Needs new owner","")),IF(AND(V461="Yes",X461&lt;&gt;"",X461&lt;S_SemStart),"Path overdue",""),IF(AND(S461&lt;&gt;"",S461&lt;S_Today-365),"Stale research",""),IF(AND(AE461="Research",COUNTIF('Commercial Evidence'!$A$3:$A$502,$A461)=0),"Add commercial evidence","")))</f>
        <v/>
      </c>
      <c r="AI461" s="34" t="str">
        <f aca="false">IF(OR($A461="",Z461="Yes"),"",IF(AND(AE461="Priority",AG461=0,COUNTIFS(Opportunities!$A$3:$A$502,$A461,Opportunities!$Y$3:$Y$502,"Renewal due")=0),600000+(10-AC461)*1000+(4-AD461)*100+ROW()/100000,IF(V461="Yes",700000+IF(X461="",0,X461-40000)/10+ROW()/100000,IF(AND(AE461="Quick Win",U461&lt;&gt;"",AG461=0),800000+(10-AC461)*1000+ROW()/100000,IF(AND(AE461="Build a Path",COUNTIF($V$3:$V$502,"Yes")&lt;S_PathCap),900000+(10-AC461)*1000+(4-AD461)*100+ROW()/100000,"")))))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8"/>
      <c r="T462" s="27"/>
      <c r="U462" s="27"/>
      <c r="V462" s="27"/>
      <c r="W462" s="27"/>
      <c r="X462" s="28"/>
      <c r="Y462" s="27"/>
      <c r="Z462" s="27"/>
      <c r="AA462" s="27"/>
      <c r="AB462" s="32" t="str">
        <f aca="false">IF($A462="","",IF(COUNTIF('Commercial Evidence'!$A$3:$A$502,$A462)=0,"",IF(COUNTIFS('Commercial Evidence'!$A$3:$A$502,$A462,'Commercial Evidence'!$B$3:$B$502,"Previous CBS Talks spend")+COUNTIFS('Commercial Evidence'!$A$3:$A$502,$A462,'Commercial Evidence'!$B$3:$B$502,"Sponsors student organisations")&gt;0,2,IF(COUNTIFS('Commercial Evidence'!$A$3:$A$502,$A462,'Commercial Evidence'!$B$3:$B$502,"Sponsors university activities")+COUNTIFS('Commercial Evidence'!$A$3:$A$502,$A462,'Commercial Evidence'!$B$3:$B$502,"Sponsors similar events")+COUNTIFS('Commercial Evidence'!$A$3:$A$502,$A462,'Commercial Evidence'!$B$3:$B$502,"Previous CBS Talks partner")&gt;0,1,0))))</f>
        <v/>
      </c>
      <c r="AC462" s="32" t="str">
        <f aca="false">IF($A462="","",IF(COUNT(G462,J462,M462,P462,AB462)&lt;5,"",G462+J462+M462+P462+AB462))</f>
        <v/>
      </c>
      <c r="AD462" s="32" t="str">
        <f aca="false">IF($A462="","",IF(COUNTIFS(Contacts!$A$3:$A$502,$A462,Contacts!$E$3:$E$502,"Champion",Contacts!$K$3:$K$502,"&lt;&gt;Yes",Contacts!$L$3:$L$502,"&lt;&gt;Yes")+COUNTIFS(Opportunities!$A$3:$A$502,$A462,Opportunities!$C$3:$C$502,"Won",Opportunities!$Q$3:$Q$502,"Satisfied")&gt;0,4,IF(COUNTIFS(Interactions!$B$3:$B$502,$A462,Interactions!$I$3:$I$502,"Yes",Interactions!$A$3:$A$502,"&gt;="&amp;(S_Today-S_WarmDays))&gt;0,3,IF(T462&lt;&gt;"",2,IF(COUNTIFS(Contacts!$A$3:$A$502,$A462,Contacts!$M$3:$M$502,"Yes",Contacts!$K$3:$K$502,"&lt;&gt;Yes",Contacts!$L$3:$L$502,"&lt;&gt;Yes")&gt;0,1,0)))))</f>
        <v/>
      </c>
      <c r="AE462" s="32" t="str">
        <f aca="false">IF($A462="","",IF(Z462="Yes","Do not contact",IF(AC462="","Research",IF(AND(AC462&gt;=S_FitHigh,AD462&gt;=S_AccessHigh),"Priority",IF(AC462&gt;=S_FitHigh,"Build a Path",IF(AD462&gt;=S_AccessHigh,"Quick Win","Low Priority"))))))</f>
        <v/>
      </c>
      <c r="AF462" s="33" t="str">
        <f aca="false">IF($A462="","",IF(_xlfn.MAXIFS(Interactions!$A$3:$A$502,Interactions!$B$3:$B$502,$A462)=0,"",_xlfn.MAXIFS(Interactions!$A$3:$A$502,Interactions!$B$3:$B$502,$A462)))</f>
        <v/>
      </c>
      <c r="AG462" s="32" t="str">
        <f aca="false">IF($A462="","",COUNTIFS(Opportunities!$A$3:$A$502,$A462,Opportunities!$X$3:$X$502,"Yes"))</f>
        <v/>
      </c>
      <c r="AH462" s="32" t="str">
        <f aca="false">IF($A462="","",_xlfn.TEXTJOIN(", ",TRUE(),IF(COUNTIF($A$3:$A$502,$A462)&gt;1,"Duplicate name",""),IF(OR(AND(G462=2,I462=""),AND(J462=2,L462=""),AND(M462=2,O462=""),AND(P462=2,R462="")),"Source missing for a 2",""),IF(F462="","No owner",IF(COUNTIFS(R_TeamName,F462,R_TeamActive,"No")&gt;0,"Needs new owner","")),IF(AND(V462="Yes",X462&lt;&gt;"",X462&lt;S_SemStart),"Path overdue",""),IF(AND(S462&lt;&gt;"",S462&lt;S_Today-365),"Stale research",""),IF(AND(AE462="Research",COUNTIF('Commercial Evidence'!$A$3:$A$502,$A462)=0),"Add commercial evidence","")))</f>
        <v/>
      </c>
      <c r="AI462" s="34" t="str">
        <f aca="false">IF(OR($A462="",Z462="Yes"),"",IF(AND(AE462="Priority",AG462=0,COUNTIFS(Opportunities!$A$3:$A$502,$A462,Opportunities!$Y$3:$Y$502,"Renewal due")=0),600000+(10-AC462)*1000+(4-AD462)*100+ROW()/100000,IF(V462="Yes",700000+IF(X462="",0,X462-40000)/10+ROW()/100000,IF(AND(AE462="Quick Win",U462&lt;&gt;"",AG462=0),800000+(10-AC462)*1000+ROW()/100000,IF(AND(AE462="Build a Path",COUNTIF($V$3:$V$502,"Yes")&lt;S_PathCap),900000+(10-AC462)*1000+(4-AD462)*100+ROW()/100000,"")))))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8"/>
      <c r="T463" s="27"/>
      <c r="U463" s="27"/>
      <c r="V463" s="27"/>
      <c r="W463" s="27"/>
      <c r="X463" s="28"/>
      <c r="Y463" s="27"/>
      <c r="Z463" s="27"/>
      <c r="AA463" s="27"/>
      <c r="AB463" s="32" t="str">
        <f aca="false">IF($A463="","",IF(COUNTIF('Commercial Evidence'!$A$3:$A$502,$A463)=0,"",IF(COUNTIFS('Commercial Evidence'!$A$3:$A$502,$A463,'Commercial Evidence'!$B$3:$B$502,"Previous CBS Talks spend")+COUNTIFS('Commercial Evidence'!$A$3:$A$502,$A463,'Commercial Evidence'!$B$3:$B$502,"Sponsors student organisations")&gt;0,2,IF(COUNTIFS('Commercial Evidence'!$A$3:$A$502,$A463,'Commercial Evidence'!$B$3:$B$502,"Sponsors university activities")+COUNTIFS('Commercial Evidence'!$A$3:$A$502,$A463,'Commercial Evidence'!$B$3:$B$502,"Sponsors similar events")+COUNTIFS('Commercial Evidence'!$A$3:$A$502,$A463,'Commercial Evidence'!$B$3:$B$502,"Previous CBS Talks partner")&gt;0,1,0))))</f>
        <v/>
      </c>
      <c r="AC463" s="32" t="str">
        <f aca="false">IF($A463="","",IF(COUNT(G463,J463,M463,P463,AB463)&lt;5,"",G463+J463+M463+P463+AB463))</f>
        <v/>
      </c>
      <c r="AD463" s="32" t="str">
        <f aca="false">IF($A463="","",IF(COUNTIFS(Contacts!$A$3:$A$502,$A463,Contacts!$E$3:$E$502,"Champion",Contacts!$K$3:$K$502,"&lt;&gt;Yes",Contacts!$L$3:$L$502,"&lt;&gt;Yes")+COUNTIFS(Opportunities!$A$3:$A$502,$A463,Opportunities!$C$3:$C$502,"Won",Opportunities!$Q$3:$Q$502,"Satisfied")&gt;0,4,IF(COUNTIFS(Interactions!$B$3:$B$502,$A463,Interactions!$I$3:$I$502,"Yes",Interactions!$A$3:$A$502,"&gt;="&amp;(S_Today-S_WarmDays))&gt;0,3,IF(T463&lt;&gt;"",2,IF(COUNTIFS(Contacts!$A$3:$A$502,$A463,Contacts!$M$3:$M$502,"Yes",Contacts!$K$3:$K$502,"&lt;&gt;Yes",Contacts!$L$3:$L$502,"&lt;&gt;Yes")&gt;0,1,0)))))</f>
        <v/>
      </c>
      <c r="AE463" s="32" t="str">
        <f aca="false">IF($A463="","",IF(Z463="Yes","Do not contact",IF(AC463="","Research",IF(AND(AC463&gt;=S_FitHigh,AD463&gt;=S_AccessHigh),"Priority",IF(AC463&gt;=S_FitHigh,"Build a Path",IF(AD463&gt;=S_AccessHigh,"Quick Win","Low Priority"))))))</f>
        <v/>
      </c>
      <c r="AF463" s="33" t="str">
        <f aca="false">IF($A463="","",IF(_xlfn.MAXIFS(Interactions!$A$3:$A$502,Interactions!$B$3:$B$502,$A463)=0,"",_xlfn.MAXIFS(Interactions!$A$3:$A$502,Interactions!$B$3:$B$502,$A463)))</f>
        <v/>
      </c>
      <c r="AG463" s="32" t="str">
        <f aca="false">IF($A463="","",COUNTIFS(Opportunities!$A$3:$A$502,$A463,Opportunities!$X$3:$X$502,"Yes"))</f>
        <v/>
      </c>
      <c r="AH463" s="32" t="str">
        <f aca="false">IF($A463="","",_xlfn.TEXTJOIN(", ",TRUE(),IF(COUNTIF($A$3:$A$502,$A463)&gt;1,"Duplicate name",""),IF(OR(AND(G463=2,I463=""),AND(J463=2,L463=""),AND(M463=2,O463=""),AND(P463=2,R463="")),"Source missing for a 2",""),IF(F463="","No owner",IF(COUNTIFS(R_TeamName,F463,R_TeamActive,"No")&gt;0,"Needs new owner","")),IF(AND(V463="Yes",X463&lt;&gt;"",X463&lt;S_SemStart),"Path overdue",""),IF(AND(S463&lt;&gt;"",S463&lt;S_Today-365),"Stale research",""),IF(AND(AE463="Research",COUNTIF('Commercial Evidence'!$A$3:$A$502,$A463)=0),"Add commercial evidence","")))</f>
        <v/>
      </c>
      <c r="AI463" s="34" t="str">
        <f aca="false">IF(OR($A463="",Z463="Yes"),"",IF(AND(AE463="Priority",AG463=0,COUNTIFS(Opportunities!$A$3:$A$502,$A463,Opportunities!$Y$3:$Y$502,"Renewal due")=0),600000+(10-AC463)*1000+(4-AD463)*100+ROW()/100000,IF(V463="Yes",700000+IF(X463="",0,X463-40000)/10+ROW()/100000,IF(AND(AE463="Quick Win",U463&lt;&gt;"",AG463=0),800000+(10-AC463)*1000+ROW()/100000,IF(AND(AE463="Build a Path",COUNTIF($V$3:$V$502,"Yes")&lt;S_PathCap),900000+(10-AC463)*1000+(4-AD463)*100+ROW()/100000,"")))))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8"/>
      <c r="T464" s="27"/>
      <c r="U464" s="27"/>
      <c r="V464" s="27"/>
      <c r="W464" s="27"/>
      <c r="X464" s="28"/>
      <c r="Y464" s="27"/>
      <c r="Z464" s="27"/>
      <c r="AA464" s="27"/>
      <c r="AB464" s="32" t="str">
        <f aca="false">IF($A464="","",IF(COUNTIF('Commercial Evidence'!$A$3:$A$502,$A464)=0,"",IF(COUNTIFS('Commercial Evidence'!$A$3:$A$502,$A464,'Commercial Evidence'!$B$3:$B$502,"Previous CBS Talks spend")+COUNTIFS('Commercial Evidence'!$A$3:$A$502,$A464,'Commercial Evidence'!$B$3:$B$502,"Sponsors student organisations")&gt;0,2,IF(COUNTIFS('Commercial Evidence'!$A$3:$A$502,$A464,'Commercial Evidence'!$B$3:$B$502,"Sponsors university activities")+COUNTIFS('Commercial Evidence'!$A$3:$A$502,$A464,'Commercial Evidence'!$B$3:$B$502,"Sponsors similar events")+COUNTIFS('Commercial Evidence'!$A$3:$A$502,$A464,'Commercial Evidence'!$B$3:$B$502,"Previous CBS Talks partner")&gt;0,1,0))))</f>
        <v/>
      </c>
      <c r="AC464" s="32" t="str">
        <f aca="false">IF($A464="","",IF(COUNT(G464,J464,M464,P464,AB464)&lt;5,"",G464+J464+M464+P464+AB464))</f>
        <v/>
      </c>
      <c r="AD464" s="32" t="str">
        <f aca="false">IF($A464="","",IF(COUNTIFS(Contacts!$A$3:$A$502,$A464,Contacts!$E$3:$E$502,"Champion",Contacts!$K$3:$K$502,"&lt;&gt;Yes",Contacts!$L$3:$L$502,"&lt;&gt;Yes")+COUNTIFS(Opportunities!$A$3:$A$502,$A464,Opportunities!$C$3:$C$502,"Won",Opportunities!$Q$3:$Q$502,"Satisfied")&gt;0,4,IF(COUNTIFS(Interactions!$B$3:$B$502,$A464,Interactions!$I$3:$I$502,"Yes",Interactions!$A$3:$A$502,"&gt;="&amp;(S_Today-S_WarmDays))&gt;0,3,IF(T464&lt;&gt;"",2,IF(COUNTIFS(Contacts!$A$3:$A$502,$A464,Contacts!$M$3:$M$502,"Yes",Contacts!$K$3:$K$502,"&lt;&gt;Yes",Contacts!$L$3:$L$502,"&lt;&gt;Yes")&gt;0,1,0)))))</f>
        <v/>
      </c>
      <c r="AE464" s="32" t="str">
        <f aca="false">IF($A464="","",IF(Z464="Yes","Do not contact",IF(AC464="","Research",IF(AND(AC464&gt;=S_FitHigh,AD464&gt;=S_AccessHigh),"Priority",IF(AC464&gt;=S_FitHigh,"Build a Path",IF(AD464&gt;=S_AccessHigh,"Quick Win","Low Priority"))))))</f>
        <v/>
      </c>
      <c r="AF464" s="33" t="str">
        <f aca="false">IF($A464="","",IF(_xlfn.MAXIFS(Interactions!$A$3:$A$502,Interactions!$B$3:$B$502,$A464)=0,"",_xlfn.MAXIFS(Interactions!$A$3:$A$502,Interactions!$B$3:$B$502,$A464)))</f>
        <v/>
      </c>
      <c r="AG464" s="32" t="str">
        <f aca="false">IF($A464="","",COUNTIFS(Opportunities!$A$3:$A$502,$A464,Opportunities!$X$3:$X$502,"Yes"))</f>
        <v/>
      </c>
      <c r="AH464" s="32" t="str">
        <f aca="false">IF($A464="","",_xlfn.TEXTJOIN(", ",TRUE(),IF(COUNTIF($A$3:$A$502,$A464)&gt;1,"Duplicate name",""),IF(OR(AND(G464=2,I464=""),AND(J464=2,L464=""),AND(M464=2,O464=""),AND(P464=2,R464="")),"Source missing for a 2",""),IF(F464="","No owner",IF(COUNTIFS(R_TeamName,F464,R_TeamActive,"No")&gt;0,"Needs new owner","")),IF(AND(V464="Yes",X464&lt;&gt;"",X464&lt;S_SemStart),"Path overdue",""),IF(AND(S464&lt;&gt;"",S464&lt;S_Today-365),"Stale research",""),IF(AND(AE464="Research",COUNTIF('Commercial Evidence'!$A$3:$A$502,$A464)=0),"Add commercial evidence","")))</f>
        <v/>
      </c>
      <c r="AI464" s="34" t="str">
        <f aca="false">IF(OR($A464="",Z464="Yes"),"",IF(AND(AE464="Priority",AG464=0,COUNTIFS(Opportunities!$A$3:$A$502,$A464,Opportunities!$Y$3:$Y$502,"Renewal due")=0),600000+(10-AC464)*1000+(4-AD464)*100+ROW()/100000,IF(V464="Yes",700000+IF(X464="",0,X464-40000)/10+ROW()/100000,IF(AND(AE464="Quick Win",U464&lt;&gt;"",AG464=0),800000+(10-AC464)*1000+ROW()/100000,IF(AND(AE464="Build a Path",COUNTIF($V$3:$V$502,"Yes")&lt;S_PathCap),900000+(10-AC464)*1000+(4-AD464)*100+ROW()/100000,"")))))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8"/>
      <c r="T465" s="27"/>
      <c r="U465" s="27"/>
      <c r="V465" s="27"/>
      <c r="W465" s="27"/>
      <c r="X465" s="28"/>
      <c r="Y465" s="27"/>
      <c r="Z465" s="27"/>
      <c r="AA465" s="27"/>
      <c r="AB465" s="32" t="str">
        <f aca="false">IF($A465="","",IF(COUNTIF('Commercial Evidence'!$A$3:$A$502,$A465)=0,"",IF(COUNTIFS('Commercial Evidence'!$A$3:$A$502,$A465,'Commercial Evidence'!$B$3:$B$502,"Previous CBS Talks spend")+COUNTIFS('Commercial Evidence'!$A$3:$A$502,$A465,'Commercial Evidence'!$B$3:$B$502,"Sponsors student organisations")&gt;0,2,IF(COUNTIFS('Commercial Evidence'!$A$3:$A$502,$A465,'Commercial Evidence'!$B$3:$B$502,"Sponsors university activities")+COUNTIFS('Commercial Evidence'!$A$3:$A$502,$A465,'Commercial Evidence'!$B$3:$B$502,"Sponsors similar events")+COUNTIFS('Commercial Evidence'!$A$3:$A$502,$A465,'Commercial Evidence'!$B$3:$B$502,"Previous CBS Talks partner")&gt;0,1,0))))</f>
        <v/>
      </c>
      <c r="AC465" s="32" t="str">
        <f aca="false">IF($A465="","",IF(COUNT(G465,J465,M465,P465,AB465)&lt;5,"",G465+J465+M465+P465+AB465))</f>
        <v/>
      </c>
      <c r="AD465" s="32" t="str">
        <f aca="false">IF($A465="","",IF(COUNTIFS(Contacts!$A$3:$A$502,$A465,Contacts!$E$3:$E$502,"Champion",Contacts!$K$3:$K$502,"&lt;&gt;Yes",Contacts!$L$3:$L$502,"&lt;&gt;Yes")+COUNTIFS(Opportunities!$A$3:$A$502,$A465,Opportunities!$C$3:$C$502,"Won",Opportunities!$Q$3:$Q$502,"Satisfied")&gt;0,4,IF(COUNTIFS(Interactions!$B$3:$B$502,$A465,Interactions!$I$3:$I$502,"Yes",Interactions!$A$3:$A$502,"&gt;="&amp;(S_Today-S_WarmDays))&gt;0,3,IF(T465&lt;&gt;"",2,IF(COUNTIFS(Contacts!$A$3:$A$502,$A465,Contacts!$M$3:$M$502,"Yes",Contacts!$K$3:$K$502,"&lt;&gt;Yes",Contacts!$L$3:$L$502,"&lt;&gt;Yes")&gt;0,1,0)))))</f>
        <v/>
      </c>
      <c r="AE465" s="32" t="str">
        <f aca="false">IF($A465="","",IF(Z465="Yes","Do not contact",IF(AC465="","Research",IF(AND(AC465&gt;=S_FitHigh,AD465&gt;=S_AccessHigh),"Priority",IF(AC465&gt;=S_FitHigh,"Build a Path",IF(AD465&gt;=S_AccessHigh,"Quick Win","Low Priority"))))))</f>
        <v/>
      </c>
      <c r="AF465" s="33" t="str">
        <f aca="false">IF($A465="","",IF(_xlfn.MAXIFS(Interactions!$A$3:$A$502,Interactions!$B$3:$B$502,$A465)=0,"",_xlfn.MAXIFS(Interactions!$A$3:$A$502,Interactions!$B$3:$B$502,$A465)))</f>
        <v/>
      </c>
      <c r="AG465" s="32" t="str">
        <f aca="false">IF($A465="","",COUNTIFS(Opportunities!$A$3:$A$502,$A465,Opportunities!$X$3:$X$502,"Yes"))</f>
        <v/>
      </c>
      <c r="AH465" s="32" t="str">
        <f aca="false">IF($A465="","",_xlfn.TEXTJOIN(", ",TRUE(),IF(COUNTIF($A$3:$A$502,$A465)&gt;1,"Duplicate name",""),IF(OR(AND(G465=2,I465=""),AND(J465=2,L465=""),AND(M465=2,O465=""),AND(P465=2,R465="")),"Source missing for a 2",""),IF(F465="","No owner",IF(COUNTIFS(R_TeamName,F465,R_TeamActive,"No")&gt;0,"Needs new owner","")),IF(AND(V465="Yes",X465&lt;&gt;"",X465&lt;S_SemStart),"Path overdue",""),IF(AND(S465&lt;&gt;"",S465&lt;S_Today-365),"Stale research",""),IF(AND(AE465="Research",COUNTIF('Commercial Evidence'!$A$3:$A$502,$A465)=0),"Add commercial evidence","")))</f>
        <v/>
      </c>
      <c r="AI465" s="34" t="str">
        <f aca="false">IF(OR($A465="",Z465="Yes"),"",IF(AND(AE465="Priority",AG465=0,COUNTIFS(Opportunities!$A$3:$A$502,$A465,Opportunities!$Y$3:$Y$502,"Renewal due")=0),600000+(10-AC465)*1000+(4-AD465)*100+ROW()/100000,IF(V465="Yes",700000+IF(X465="",0,X465-40000)/10+ROW()/100000,IF(AND(AE465="Quick Win",U465&lt;&gt;"",AG465=0),800000+(10-AC465)*1000+ROW()/100000,IF(AND(AE465="Build a Path",COUNTIF($V$3:$V$502,"Yes")&lt;S_PathCap),900000+(10-AC465)*1000+(4-AD465)*100+ROW()/100000,"")))))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8"/>
      <c r="T466" s="27"/>
      <c r="U466" s="27"/>
      <c r="V466" s="27"/>
      <c r="W466" s="27"/>
      <c r="X466" s="28"/>
      <c r="Y466" s="27"/>
      <c r="Z466" s="27"/>
      <c r="AA466" s="27"/>
      <c r="AB466" s="32" t="str">
        <f aca="false">IF($A466="","",IF(COUNTIF('Commercial Evidence'!$A$3:$A$502,$A466)=0,"",IF(COUNTIFS('Commercial Evidence'!$A$3:$A$502,$A466,'Commercial Evidence'!$B$3:$B$502,"Previous CBS Talks spend")+COUNTIFS('Commercial Evidence'!$A$3:$A$502,$A466,'Commercial Evidence'!$B$3:$B$502,"Sponsors student organisations")&gt;0,2,IF(COUNTIFS('Commercial Evidence'!$A$3:$A$502,$A466,'Commercial Evidence'!$B$3:$B$502,"Sponsors university activities")+COUNTIFS('Commercial Evidence'!$A$3:$A$502,$A466,'Commercial Evidence'!$B$3:$B$502,"Sponsors similar events")+COUNTIFS('Commercial Evidence'!$A$3:$A$502,$A466,'Commercial Evidence'!$B$3:$B$502,"Previous CBS Talks partner")&gt;0,1,0))))</f>
        <v/>
      </c>
      <c r="AC466" s="32" t="str">
        <f aca="false">IF($A466="","",IF(COUNT(G466,J466,M466,P466,AB466)&lt;5,"",G466+J466+M466+P466+AB466))</f>
        <v/>
      </c>
      <c r="AD466" s="32" t="str">
        <f aca="false">IF($A466="","",IF(COUNTIFS(Contacts!$A$3:$A$502,$A466,Contacts!$E$3:$E$502,"Champion",Contacts!$K$3:$K$502,"&lt;&gt;Yes",Contacts!$L$3:$L$502,"&lt;&gt;Yes")+COUNTIFS(Opportunities!$A$3:$A$502,$A466,Opportunities!$C$3:$C$502,"Won",Opportunities!$Q$3:$Q$502,"Satisfied")&gt;0,4,IF(COUNTIFS(Interactions!$B$3:$B$502,$A466,Interactions!$I$3:$I$502,"Yes",Interactions!$A$3:$A$502,"&gt;="&amp;(S_Today-S_WarmDays))&gt;0,3,IF(T466&lt;&gt;"",2,IF(COUNTIFS(Contacts!$A$3:$A$502,$A466,Contacts!$M$3:$M$502,"Yes",Contacts!$K$3:$K$502,"&lt;&gt;Yes",Contacts!$L$3:$L$502,"&lt;&gt;Yes")&gt;0,1,0)))))</f>
        <v/>
      </c>
      <c r="AE466" s="32" t="str">
        <f aca="false">IF($A466="","",IF(Z466="Yes","Do not contact",IF(AC466="","Research",IF(AND(AC466&gt;=S_FitHigh,AD466&gt;=S_AccessHigh),"Priority",IF(AC466&gt;=S_FitHigh,"Build a Path",IF(AD466&gt;=S_AccessHigh,"Quick Win","Low Priority"))))))</f>
        <v/>
      </c>
      <c r="AF466" s="33" t="str">
        <f aca="false">IF($A466="","",IF(_xlfn.MAXIFS(Interactions!$A$3:$A$502,Interactions!$B$3:$B$502,$A466)=0,"",_xlfn.MAXIFS(Interactions!$A$3:$A$502,Interactions!$B$3:$B$502,$A466)))</f>
        <v/>
      </c>
      <c r="AG466" s="32" t="str">
        <f aca="false">IF($A466="","",COUNTIFS(Opportunities!$A$3:$A$502,$A466,Opportunities!$X$3:$X$502,"Yes"))</f>
        <v/>
      </c>
      <c r="AH466" s="32" t="str">
        <f aca="false">IF($A466="","",_xlfn.TEXTJOIN(", ",TRUE(),IF(COUNTIF($A$3:$A$502,$A466)&gt;1,"Duplicate name",""),IF(OR(AND(G466=2,I466=""),AND(J466=2,L466=""),AND(M466=2,O466=""),AND(P466=2,R466="")),"Source missing for a 2",""),IF(F466="","No owner",IF(COUNTIFS(R_TeamName,F466,R_TeamActive,"No")&gt;0,"Needs new owner","")),IF(AND(V466="Yes",X466&lt;&gt;"",X466&lt;S_SemStart),"Path overdue",""),IF(AND(S466&lt;&gt;"",S466&lt;S_Today-365),"Stale research",""),IF(AND(AE466="Research",COUNTIF('Commercial Evidence'!$A$3:$A$502,$A466)=0),"Add commercial evidence","")))</f>
        <v/>
      </c>
      <c r="AI466" s="34" t="str">
        <f aca="false">IF(OR($A466="",Z466="Yes"),"",IF(AND(AE466="Priority",AG466=0,COUNTIFS(Opportunities!$A$3:$A$502,$A466,Opportunities!$Y$3:$Y$502,"Renewal due")=0),600000+(10-AC466)*1000+(4-AD466)*100+ROW()/100000,IF(V466="Yes",700000+IF(X466="",0,X466-40000)/10+ROW()/100000,IF(AND(AE466="Quick Win",U466&lt;&gt;"",AG466=0),800000+(10-AC466)*1000+ROW()/100000,IF(AND(AE466="Build a Path",COUNTIF($V$3:$V$502,"Yes")&lt;S_PathCap),900000+(10-AC466)*1000+(4-AD466)*100+ROW()/100000,"")))))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8"/>
      <c r="T467" s="27"/>
      <c r="U467" s="27"/>
      <c r="V467" s="27"/>
      <c r="W467" s="27"/>
      <c r="X467" s="28"/>
      <c r="Y467" s="27"/>
      <c r="Z467" s="27"/>
      <c r="AA467" s="27"/>
      <c r="AB467" s="32" t="str">
        <f aca="false">IF($A467="","",IF(COUNTIF('Commercial Evidence'!$A$3:$A$502,$A467)=0,"",IF(COUNTIFS('Commercial Evidence'!$A$3:$A$502,$A467,'Commercial Evidence'!$B$3:$B$502,"Previous CBS Talks spend")+COUNTIFS('Commercial Evidence'!$A$3:$A$502,$A467,'Commercial Evidence'!$B$3:$B$502,"Sponsors student organisations")&gt;0,2,IF(COUNTIFS('Commercial Evidence'!$A$3:$A$502,$A467,'Commercial Evidence'!$B$3:$B$502,"Sponsors university activities")+COUNTIFS('Commercial Evidence'!$A$3:$A$502,$A467,'Commercial Evidence'!$B$3:$B$502,"Sponsors similar events")+COUNTIFS('Commercial Evidence'!$A$3:$A$502,$A467,'Commercial Evidence'!$B$3:$B$502,"Previous CBS Talks partner")&gt;0,1,0))))</f>
        <v/>
      </c>
      <c r="AC467" s="32" t="str">
        <f aca="false">IF($A467="","",IF(COUNT(G467,J467,M467,P467,AB467)&lt;5,"",G467+J467+M467+P467+AB467))</f>
        <v/>
      </c>
      <c r="AD467" s="32" t="str">
        <f aca="false">IF($A467="","",IF(COUNTIFS(Contacts!$A$3:$A$502,$A467,Contacts!$E$3:$E$502,"Champion",Contacts!$K$3:$K$502,"&lt;&gt;Yes",Contacts!$L$3:$L$502,"&lt;&gt;Yes")+COUNTIFS(Opportunities!$A$3:$A$502,$A467,Opportunities!$C$3:$C$502,"Won",Opportunities!$Q$3:$Q$502,"Satisfied")&gt;0,4,IF(COUNTIFS(Interactions!$B$3:$B$502,$A467,Interactions!$I$3:$I$502,"Yes",Interactions!$A$3:$A$502,"&gt;="&amp;(S_Today-S_WarmDays))&gt;0,3,IF(T467&lt;&gt;"",2,IF(COUNTIFS(Contacts!$A$3:$A$502,$A467,Contacts!$M$3:$M$502,"Yes",Contacts!$K$3:$K$502,"&lt;&gt;Yes",Contacts!$L$3:$L$502,"&lt;&gt;Yes")&gt;0,1,0)))))</f>
        <v/>
      </c>
      <c r="AE467" s="32" t="str">
        <f aca="false">IF($A467="","",IF(Z467="Yes","Do not contact",IF(AC467="","Research",IF(AND(AC467&gt;=S_FitHigh,AD467&gt;=S_AccessHigh),"Priority",IF(AC467&gt;=S_FitHigh,"Build a Path",IF(AD467&gt;=S_AccessHigh,"Quick Win","Low Priority"))))))</f>
        <v/>
      </c>
      <c r="AF467" s="33" t="str">
        <f aca="false">IF($A467="","",IF(_xlfn.MAXIFS(Interactions!$A$3:$A$502,Interactions!$B$3:$B$502,$A467)=0,"",_xlfn.MAXIFS(Interactions!$A$3:$A$502,Interactions!$B$3:$B$502,$A467)))</f>
        <v/>
      </c>
      <c r="AG467" s="32" t="str">
        <f aca="false">IF($A467="","",COUNTIFS(Opportunities!$A$3:$A$502,$A467,Opportunities!$X$3:$X$502,"Yes"))</f>
        <v/>
      </c>
      <c r="AH467" s="32" t="str">
        <f aca="false">IF($A467="","",_xlfn.TEXTJOIN(", ",TRUE(),IF(COUNTIF($A$3:$A$502,$A467)&gt;1,"Duplicate name",""),IF(OR(AND(G467=2,I467=""),AND(J467=2,L467=""),AND(M467=2,O467=""),AND(P467=2,R467="")),"Source missing for a 2",""),IF(F467="","No owner",IF(COUNTIFS(R_TeamName,F467,R_TeamActive,"No")&gt;0,"Needs new owner","")),IF(AND(V467="Yes",X467&lt;&gt;"",X467&lt;S_SemStart),"Path overdue",""),IF(AND(S467&lt;&gt;"",S467&lt;S_Today-365),"Stale research",""),IF(AND(AE467="Research",COUNTIF('Commercial Evidence'!$A$3:$A$502,$A467)=0),"Add commercial evidence","")))</f>
        <v/>
      </c>
      <c r="AI467" s="34" t="str">
        <f aca="false">IF(OR($A467="",Z467="Yes"),"",IF(AND(AE467="Priority",AG467=0,COUNTIFS(Opportunities!$A$3:$A$502,$A467,Opportunities!$Y$3:$Y$502,"Renewal due")=0),600000+(10-AC467)*1000+(4-AD467)*100+ROW()/100000,IF(V467="Yes",700000+IF(X467="",0,X467-40000)/10+ROW()/100000,IF(AND(AE467="Quick Win",U467&lt;&gt;"",AG467=0),800000+(10-AC467)*1000+ROW()/100000,IF(AND(AE467="Build a Path",COUNTIF($V$3:$V$502,"Yes")&lt;S_PathCap),900000+(10-AC467)*1000+(4-AD467)*100+ROW()/100000,"")))))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8"/>
      <c r="T468" s="27"/>
      <c r="U468" s="27"/>
      <c r="V468" s="27"/>
      <c r="W468" s="27"/>
      <c r="X468" s="28"/>
      <c r="Y468" s="27"/>
      <c r="Z468" s="27"/>
      <c r="AA468" s="27"/>
      <c r="AB468" s="32" t="str">
        <f aca="false">IF($A468="","",IF(COUNTIF('Commercial Evidence'!$A$3:$A$502,$A468)=0,"",IF(COUNTIFS('Commercial Evidence'!$A$3:$A$502,$A468,'Commercial Evidence'!$B$3:$B$502,"Previous CBS Talks spend")+COUNTIFS('Commercial Evidence'!$A$3:$A$502,$A468,'Commercial Evidence'!$B$3:$B$502,"Sponsors student organisations")&gt;0,2,IF(COUNTIFS('Commercial Evidence'!$A$3:$A$502,$A468,'Commercial Evidence'!$B$3:$B$502,"Sponsors university activities")+COUNTIFS('Commercial Evidence'!$A$3:$A$502,$A468,'Commercial Evidence'!$B$3:$B$502,"Sponsors similar events")+COUNTIFS('Commercial Evidence'!$A$3:$A$502,$A468,'Commercial Evidence'!$B$3:$B$502,"Previous CBS Talks partner")&gt;0,1,0))))</f>
        <v/>
      </c>
      <c r="AC468" s="32" t="str">
        <f aca="false">IF($A468="","",IF(COUNT(G468,J468,M468,P468,AB468)&lt;5,"",G468+J468+M468+P468+AB468))</f>
        <v/>
      </c>
      <c r="AD468" s="32" t="str">
        <f aca="false">IF($A468="","",IF(COUNTIFS(Contacts!$A$3:$A$502,$A468,Contacts!$E$3:$E$502,"Champion",Contacts!$K$3:$K$502,"&lt;&gt;Yes",Contacts!$L$3:$L$502,"&lt;&gt;Yes")+COUNTIFS(Opportunities!$A$3:$A$502,$A468,Opportunities!$C$3:$C$502,"Won",Opportunities!$Q$3:$Q$502,"Satisfied")&gt;0,4,IF(COUNTIFS(Interactions!$B$3:$B$502,$A468,Interactions!$I$3:$I$502,"Yes",Interactions!$A$3:$A$502,"&gt;="&amp;(S_Today-S_WarmDays))&gt;0,3,IF(T468&lt;&gt;"",2,IF(COUNTIFS(Contacts!$A$3:$A$502,$A468,Contacts!$M$3:$M$502,"Yes",Contacts!$K$3:$K$502,"&lt;&gt;Yes",Contacts!$L$3:$L$502,"&lt;&gt;Yes")&gt;0,1,0)))))</f>
        <v/>
      </c>
      <c r="AE468" s="32" t="str">
        <f aca="false">IF($A468="","",IF(Z468="Yes","Do not contact",IF(AC468="","Research",IF(AND(AC468&gt;=S_FitHigh,AD468&gt;=S_AccessHigh),"Priority",IF(AC468&gt;=S_FitHigh,"Build a Path",IF(AD468&gt;=S_AccessHigh,"Quick Win","Low Priority"))))))</f>
        <v/>
      </c>
      <c r="AF468" s="33" t="str">
        <f aca="false">IF($A468="","",IF(_xlfn.MAXIFS(Interactions!$A$3:$A$502,Interactions!$B$3:$B$502,$A468)=0,"",_xlfn.MAXIFS(Interactions!$A$3:$A$502,Interactions!$B$3:$B$502,$A468)))</f>
        <v/>
      </c>
      <c r="AG468" s="32" t="str">
        <f aca="false">IF($A468="","",COUNTIFS(Opportunities!$A$3:$A$502,$A468,Opportunities!$X$3:$X$502,"Yes"))</f>
        <v/>
      </c>
      <c r="AH468" s="32" t="str">
        <f aca="false">IF($A468="","",_xlfn.TEXTJOIN(", ",TRUE(),IF(COUNTIF($A$3:$A$502,$A468)&gt;1,"Duplicate name",""),IF(OR(AND(G468=2,I468=""),AND(J468=2,L468=""),AND(M468=2,O468=""),AND(P468=2,R468="")),"Source missing for a 2",""),IF(F468="","No owner",IF(COUNTIFS(R_TeamName,F468,R_TeamActive,"No")&gt;0,"Needs new owner","")),IF(AND(V468="Yes",X468&lt;&gt;"",X468&lt;S_SemStart),"Path overdue",""),IF(AND(S468&lt;&gt;"",S468&lt;S_Today-365),"Stale research",""),IF(AND(AE468="Research",COUNTIF('Commercial Evidence'!$A$3:$A$502,$A468)=0),"Add commercial evidence","")))</f>
        <v/>
      </c>
      <c r="AI468" s="34" t="str">
        <f aca="false">IF(OR($A468="",Z468="Yes"),"",IF(AND(AE468="Priority",AG468=0,COUNTIFS(Opportunities!$A$3:$A$502,$A468,Opportunities!$Y$3:$Y$502,"Renewal due")=0),600000+(10-AC468)*1000+(4-AD468)*100+ROW()/100000,IF(V468="Yes",700000+IF(X468="",0,X468-40000)/10+ROW()/100000,IF(AND(AE468="Quick Win",U468&lt;&gt;"",AG468=0),800000+(10-AC468)*1000+ROW()/100000,IF(AND(AE468="Build a Path",COUNTIF($V$3:$V$502,"Yes")&lt;S_PathCap),900000+(10-AC468)*1000+(4-AD468)*100+ROW()/100000,"")))))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8"/>
      <c r="T469" s="27"/>
      <c r="U469" s="27"/>
      <c r="V469" s="27"/>
      <c r="W469" s="27"/>
      <c r="X469" s="28"/>
      <c r="Y469" s="27"/>
      <c r="Z469" s="27"/>
      <c r="AA469" s="27"/>
      <c r="AB469" s="32" t="str">
        <f aca="false">IF($A469="","",IF(COUNTIF('Commercial Evidence'!$A$3:$A$502,$A469)=0,"",IF(COUNTIFS('Commercial Evidence'!$A$3:$A$502,$A469,'Commercial Evidence'!$B$3:$B$502,"Previous CBS Talks spend")+COUNTIFS('Commercial Evidence'!$A$3:$A$502,$A469,'Commercial Evidence'!$B$3:$B$502,"Sponsors student organisations")&gt;0,2,IF(COUNTIFS('Commercial Evidence'!$A$3:$A$502,$A469,'Commercial Evidence'!$B$3:$B$502,"Sponsors university activities")+COUNTIFS('Commercial Evidence'!$A$3:$A$502,$A469,'Commercial Evidence'!$B$3:$B$502,"Sponsors similar events")+COUNTIFS('Commercial Evidence'!$A$3:$A$502,$A469,'Commercial Evidence'!$B$3:$B$502,"Previous CBS Talks partner")&gt;0,1,0))))</f>
        <v/>
      </c>
      <c r="AC469" s="32" t="str">
        <f aca="false">IF($A469="","",IF(COUNT(G469,J469,M469,P469,AB469)&lt;5,"",G469+J469+M469+P469+AB469))</f>
        <v/>
      </c>
      <c r="AD469" s="32" t="str">
        <f aca="false">IF($A469="","",IF(COUNTIFS(Contacts!$A$3:$A$502,$A469,Contacts!$E$3:$E$502,"Champion",Contacts!$K$3:$K$502,"&lt;&gt;Yes",Contacts!$L$3:$L$502,"&lt;&gt;Yes")+COUNTIFS(Opportunities!$A$3:$A$502,$A469,Opportunities!$C$3:$C$502,"Won",Opportunities!$Q$3:$Q$502,"Satisfied")&gt;0,4,IF(COUNTIFS(Interactions!$B$3:$B$502,$A469,Interactions!$I$3:$I$502,"Yes",Interactions!$A$3:$A$502,"&gt;="&amp;(S_Today-S_WarmDays))&gt;0,3,IF(T469&lt;&gt;"",2,IF(COUNTIFS(Contacts!$A$3:$A$502,$A469,Contacts!$M$3:$M$502,"Yes",Contacts!$K$3:$K$502,"&lt;&gt;Yes",Contacts!$L$3:$L$502,"&lt;&gt;Yes")&gt;0,1,0)))))</f>
        <v/>
      </c>
      <c r="AE469" s="32" t="str">
        <f aca="false">IF($A469="","",IF(Z469="Yes","Do not contact",IF(AC469="","Research",IF(AND(AC469&gt;=S_FitHigh,AD469&gt;=S_AccessHigh),"Priority",IF(AC469&gt;=S_FitHigh,"Build a Path",IF(AD469&gt;=S_AccessHigh,"Quick Win","Low Priority"))))))</f>
        <v/>
      </c>
      <c r="AF469" s="33" t="str">
        <f aca="false">IF($A469="","",IF(_xlfn.MAXIFS(Interactions!$A$3:$A$502,Interactions!$B$3:$B$502,$A469)=0,"",_xlfn.MAXIFS(Interactions!$A$3:$A$502,Interactions!$B$3:$B$502,$A469)))</f>
        <v/>
      </c>
      <c r="AG469" s="32" t="str">
        <f aca="false">IF($A469="","",COUNTIFS(Opportunities!$A$3:$A$502,$A469,Opportunities!$X$3:$X$502,"Yes"))</f>
        <v/>
      </c>
      <c r="AH469" s="32" t="str">
        <f aca="false">IF($A469="","",_xlfn.TEXTJOIN(", ",TRUE(),IF(COUNTIF($A$3:$A$502,$A469)&gt;1,"Duplicate name",""),IF(OR(AND(G469=2,I469=""),AND(J469=2,L469=""),AND(M469=2,O469=""),AND(P469=2,R469="")),"Source missing for a 2",""),IF(F469="","No owner",IF(COUNTIFS(R_TeamName,F469,R_TeamActive,"No")&gt;0,"Needs new owner","")),IF(AND(V469="Yes",X469&lt;&gt;"",X469&lt;S_SemStart),"Path overdue",""),IF(AND(S469&lt;&gt;"",S469&lt;S_Today-365),"Stale research",""),IF(AND(AE469="Research",COUNTIF('Commercial Evidence'!$A$3:$A$502,$A469)=0),"Add commercial evidence","")))</f>
        <v/>
      </c>
      <c r="AI469" s="34" t="str">
        <f aca="false">IF(OR($A469="",Z469="Yes"),"",IF(AND(AE469="Priority",AG469=0,COUNTIFS(Opportunities!$A$3:$A$502,$A469,Opportunities!$Y$3:$Y$502,"Renewal due")=0),600000+(10-AC469)*1000+(4-AD469)*100+ROW()/100000,IF(V469="Yes",700000+IF(X469="",0,X469-40000)/10+ROW()/100000,IF(AND(AE469="Quick Win",U469&lt;&gt;"",AG469=0),800000+(10-AC469)*1000+ROW()/100000,IF(AND(AE469="Build a Path",COUNTIF($V$3:$V$502,"Yes")&lt;S_PathCap),900000+(10-AC469)*1000+(4-AD469)*100+ROW()/100000,"")))))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8"/>
      <c r="T470" s="27"/>
      <c r="U470" s="27"/>
      <c r="V470" s="27"/>
      <c r="W470" s="27"/>
      <c r="X470" s="28"/>
      <c r="Y470" s="27"/>
      <c r="Z470" s="27"/>
      <c r="AA470" s="27"/>
      <c r="AB470" s="32" t="str">
        <f aca="false">IF($A470="","",IF(COUNTIF('Commercial Evidence'!$A$3:$A$502,$A470)=0,"",IF(COUNTIFS('Commercial Evidence'!$A$3:$A$502,$A470,'Commercial Evidence'!$B$3:$B$502,"Previous CBS Talks spend")+COUNTIFS('Commercial Evidence'!$A$3:$A$502,$A470,'Commercial Evidence'!$B$3:$B$502,"Sponsors student organisations")&gt;0,2,IF(COUNTIFS('Commercial Evidence'!$A$3:$A$502,$A470,'Commercial Evidence'!$B$3:$B$502,"Sponsors university activities")+COUNTIFS('Commercial Evidence'!$A$3:$A$502,$A470,'Commercial Evidence'!$B$3:$B$502,"Sponsors similar events")+COUNTIFS('Commercial Evidence'!$A$3:$A$502,$A470,'Commercial Evidence'!$B$3:$B$502,"Previous CBS Talks partner")&gt;0,1,0))))</f>
        <v/>
      </c>
      <c r="AC470" s="32" t="str">
        <f aca="false">IF($A470="","",IF(COUNT(G470,J470,M470,P470,AB470)&lt;5,"",G470+J470+M470+P470+AB470))</f>
        <v/>
      </c>
      <c r="AD470" s="32" t="str">
        <f aca="false">IF($A470="","",IF(COUNTIFS(Contacts!$A$3:$A$502,$A470,Contacts!$E$3:$E$502,"Champion",Contacts!$K$3:$K$502,"&lt;&gt;Yes",Contacts!$L$3:$L$502,"&lt;&gt;Yes")+COUNTIFS(Opportunities!$A$3:$A$502,$A470,Opportunities!$C$3:$C$502,"Won",Opportunities!$Q$3:$Q$502,"Satisfied")&gt;0,4,IF(COUNTIFS(Interactions!$B$3:$B$502,$A470,Interactions!$I$3:$I$502,"Yes",Interactions!$A$3:$A$502,"&gt;="&amp;(S_Today-S_WarmDays))&gt;0,3,IF(T470&lt;&gt;"",2,IF(COUNTIFS(Contacts!$A$3:$A$502,$A470,Contacts!$M$3:$M$502,"Yes",Contacts!$K$3:$K$502,"&lt;&gt;Yes",Contacts!$L$3:$L$502,"&lt;&gt;Yes")&gt;0,1,0)))))</f>
        <v/>
      </c>
      <c r="AE470" s="32" t="str">
        <f aca="false">IF($A470="","",IF(Z470="Yes","Do not contact",IF(AC470="","Research",IF(AND(AC470&gt;=S_FitHigh,AD470&gt;=S_AccessHigh),"Priority",IF(AC470&gt;=S_FitHigh,"Build a Path",IF(AD470&gt;=S_AccessHigh,"Quick Win","Low Priority"))))))</f>
        <v/>
      </c>
      <c r="AF470" s="33" t="str">
        <f aca="false">IF($A470="","",IF(_xlfn.MAXIFS(Interactions!$A$3:$A$502,Interactions!$B$3:$B$502,$A470)=0,"",_xlfn.MAXIFS(Interactions!$A$3:$A$502,Interactions!$B$3:$B$502,$A470)))</f>
        <v/>
      </c>
      <c r="AG470" s="32" t="str">
        <f aca="false">IF($A470="","",COUNTIFS(Opportunities!$A$3:$A$502,$A470,Opportunities!$X$3:$X$502,"Yes"))</f>
        <v/>
      </c>
      <c r="AH470" s="32" t="str">
        <f aca="false">IF($A470="","",_xlfn.TEXTJOIN(", ",TRUE(),IF(COUNTIF($A$3:$A$502,$A470)&gt;1,"Duplicate name",""),IF(OR(AND(G470=2,I470=""),AND(J470=2,L470=""),AND(M470=2,O470=""),AND(P470=2,R470="")),"Source missing for a 2",""),IF(F470="","No owner",IF(COUNTIFS(R_TeamName,F470,R_TeamActive,"No")&gt;0,"Needs new owner","")),IF(AND(V470="Yes",X470&lt;&gt;"",X470&lt;S_SemStart),"Path overdue",""),IF(AND(S470&lt;&gt;"",S470&lt;S_Today-365),"Stale research",""),IF(AND(AE470="Research",COUNTIF('Commercial Evidence'!$A$3:$A$502,$A470)=0),"Add commercial evidence","")))</f>
        <v/>
      </c>
      <c r="AI470" s="34" t="str">
        <f aca="false">IF(OR($A470="",Z470="Yes"),"",IF(AND(AE470="Priority",AG470=0,COUNTIFS(Opportunities!$A$3:$A$502,$A470,Opportunities!$Y$3:$Y$502,"Renewal due")=0),600000+(10-AC470)*1000+(4-AD470)*100+ROW()/100000,IF(V470="Yes",700000+IF(X470="",0,X470-40000)/10+ROW()/100000,IF(AND(AE470="Quick Win",U470&lt;&gt;"",AG470=0),800000+(10-AC470)*1000+ROW()/100000,IF(AND(AE470="Build a Path",COUNTIF($V$3:$V$502,"Yes")&lt;S_PathCap),900000+(10-AC470)*1000+(4-AD470)*100+ROW()/100000,"")))))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8"/>
      <c r="T471" s="27"/>
      <c r="U471" s="27"/>
      <c r="V471" s="27"/>
      <c r="W471" s="27"/>
      <c r="X471" s="28"/>
      <c r="Y471" s="27"/>
      <c r="Z471" s="27"/>
      <c r="AA471" s="27"/>
      <c r="AB471" s="32" t="str">
        <f aca="false">IF($A471="","",IF(COUNTIF('Commercial Evidence'!$A$3:$A$502,$A471)=0,"",IF(COUNTIFS('Commercial Evidence'!$A$3:$A$502,$A471,'Commercial Evidence'!$B$3:$B$502,"Previous CBS Talks spend")+COUNTIFS('Commercial Evidence'!$A$3:$A$502,$A471,'Commercial Evidence'!$B$3:$B$502,"Sponsors student organisations")&gt;0,2,IF(COUNTIFS('Commercial Evidence'!$A$3:$A$502,$A471,'Commercial Evidence'!$B$3:$B$502,"Sponsors university activities")+COUNTIFS('Commercial Evidence'!$A$3:$A$502,$A471,'Commercial Evidence'!$B$3:$B$502,"Sponsors similar events")+COUNTIFS('Commercial Evidence'!$A$3:$A$502,$A471,'Commercial Evidence'!$B$3:$B$502,"Previous CBS Talks partner")&gt;0,1,0))))</f>
        <v/>
      </c>
      <c r="AC471" s="32" t="str">
        <f aca="false">IF($A471="","",IF(COUNT(G471,J471,M471,P471,AB471)&lt;5,"",G471+J471+M471+P471+AB471))</f>
        <v/>
      </c>
      <c r="AD471" s="32" t="str">
        <f aca="false">IF($A471="","",IF(COUNTIFS(Contacts!$A$3:$A$502,$A471,Contacts!$E$3:$E$502,"Champion",Contacts!$K$3:$K$502,"&lt;&gt;Yes",Contacts!$L$3:$L$502,"&lt;&gt;Yes")+COUNTIFS(Opportunities!$A$3:$A$502,$A471,Opportunities!$C$3:$C$502,"Won",Opportunities!$Q$3:$Q$502,"Satisfied")&gt;0,4,IF(COUNTIFS(Interactions!$B$3:$B$502,$A471,Interactions!$I$3:$I$502,"Yes",Interactions!$A$3:$A$502,"&gt;="&amp;(S_Today-S_WarmDays))&gt;0,3,IF(T471&lt;&gt;"",2,IF(COUNTIFS(Contacts!$A$3:$A$502,$A471,Contacts!$M$3:$M$502,"Yes",Contacts!$K$3:$K$502,"&lt;&gt;Yes",Contacts!$L$3:$L$502,"&lt;&gt;Yes")&gt;0,1,0)))))</f>
        <v/>
      </c>
      <c r="AE471" s="32" t="str">
        <f aca="false">IF($A471="","",IF(Z471="Yes","Do not contact",IF(AC471="","Research",IF(AND(AC471&gt;=S_FitHigh,AD471&gt;=S_AccessHigh),"Priority",IF(AC471&gt;=S_FitHigh,"Build a Path",IF(AD471&gt;=S_AccessHigh,"Quick Win","Low Priority"))))))</f>
        <v/>
      </c>
      <c r="AF471" s="33" t="str">
        <f aca="false">IF($A471="","",IF(_xlfn.MAXIFS(Interactions!$A$3:$A$502,Interactions!$B$3:$B$502,$A471)=0,"",_xlfn.MAXIFS(Interactions!$A$3:$A$502,Interactions!$B$3:$B$502,$A471)))</f>
        <v/>
      </c>
      <c r="AG471" s="32" t="str">
        <f aca="false">IF($A471="","",COUNTIFS(Opportunities!$A$3:$A$502,$A471,Opportunities!$X$3:$X$502,"Yes"))</f>
        <v/>
      </c>
      <c r="AH471" s="32" t="str">
        <f aca="false">IF($A471="","",_xlfn.TEXTJOIN(", ",TRUE(),IF(COUNTIF($A$3:$A$502,$A471)&gt;1,"Duplicate name",""),IF(OR(AND(G471=2,I471=""),AND(J471=2,L471=""),AND(M471=2,O471=""),AND(P471=2,R471="")),"Source missing for a 2",""),IF(F471="","No owner",IF(COUNTIFS(R_TeamName,F471,R_TeamActive,"No")&gt;0,"Needs new owner","")),IF(AND(V471="Yes",X471&lt;&gt;"",X471&lt;S_SemStart),"Path overdue",""),IF(AND(S471&lt;&gt;"",S471&lt;S_Today-365),"Stale research",""),IF(AND(AE471="Research",COUNTIF('Commercial Evidence'!$A$3:$A$502,$A471)=0),"Add commercial evidence","")))</f>
        <v/>
      </c>
      <c r="AI471" s="34" t="str">
        <f aca="false">IF(OR($A471="",Z471="Yes"),"",IF(AND(AE471="Priority",AG471=0,COUNTIFS(Opportunities!$A$3:$A$502,$A471,Opportunities!$Y$3:$Y$502,"Renewal due")=0),600000+(10-AC471)*1000+(4-AD471)*100+ROW()/100000,IF(V471="Yes",700000+IF(X471="",0,X471-40000)/10+ROW()/100000,IF(AND(AE471="Quick Win",U471&lt;&gt;"",AG471=0),800000+(10-AC471)*1000+ROW()/100000,IF(AND(AE471="Build a Path",COUNTIF($V$3:$V$502,"Yes")&lt;S_PathCap),900000+(10-AC471)*1000+(4-AD471)*100+ROW()/100000,"")))))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8"/>
      <c r="T472" s="27"/>
      <c r="U472" s="27"/>
      <c r="V472" s="27"/>
      <c r="W472" s="27"/>
      <c r="X472" s="28"/>
      <c r="Y472" s="27"/>
      <c r="Z472" s="27"/>
      <c r="AA472" s="27"/>
      <c r="AB472" s="32" t="str">
        <f aca="false">IF($A472="","",IF(COUNTIF('Commercial Evidence'!$A$3:$A$502,$A472)=0,"",IF(COUNTIFS('Commercial Evidence'!$A$3:$A$502,$A472,'Commercial Evidence'!$B$3:$B$502,"Previous CBS Talks spend")+COUNTIFS('Commercial Evidence'!$A$3:$A$502,$A472,'Commercial Evidence'!$B$3:$B$502,"Sponsors student organisations")&gt;0,2,IF(COUNTIFS('Commercial Evidence'!$A$3:$A$502,$A472,'Commercial Evidence'!$B$3:$B$502,"Sponsors university activities")+COUNTIFS('Commercial Evidence'!$A$3:$A$502,$A472,'Commercial Evidence'!$B$3:$B$502,"Sponsors similar events")+COUNTIFS('Commercial Evidence'!$A$3:$A$502,$A472,'Commercial Evidence'!$B$3:$B$502,"Previous CBS Talks partner")&gt;0,1,0))))</f>
        <v/>
      </c>
      <c r="AC472" s="32" t="str">
        <f aca="false">IF($A472="","",IF(COUNT(G472,J472,M472,P472,AB472)&lt;5,"",G472+J472+M472+P472+AB472))</f>
        <v/>
      </c>
      <c r="AD472" s="32" t="str">
        <f aca="false">IF($A472="","",IF(COUNTIFS(Contacts!$A$3:$A$502,$A472,Contacts!$E$3:$E$502,"Champion",Contacts!$K$3:$K$502,"&lt;&gt;Yes",Contacts!$L$3:$L$502,"&lt;&gt;Yes")+COUNTIFS(Opportunities!$A$3:$A$502,$A472,Opportunities!$C$3:$C$502,"Won",Opportunities!$Q$3:$Q$502,"Satisfied")&gt;0,4,IF(COUNTIFS(Interactions!$B$3:$B$502,$A472,Interactions!$I$3:$I$502,"Yes",Interactions!$A$3:$A$502,"&gt;="&amp;(S_Today-S_WarmDays))&gt;0,3,IF(T472&lt;&gt;"",2,IF(COUNTIFS(Contacts!$A$3:$A$502,$A472,Contacts!$M$3:$M$502,"Yes",Contacts!$K$3:$K$502,"&lt;&gt;Yes",Contacts!$L$3:$L$502,"&lt;&gt;Yes")&gt;0,1,0)))))</f>
        <v/>
      </c>
      <c r="AE472" s="32" t="str">
        <f aca="false">IF($A472="","",IF(Z472="Yes","Do not contact",IF(AC472="","Research",IF(AND(AC472&gt;=S_FitHigh,AD472&gt;=S_AccessHigh),"Priority",IF(AC472&gt;=S_FitHigh,"Build a Path",IF(AD472&gt;=S_AccessHigh,"Quick Win","Low Priority"))))))</f>
        <v/>
      </c>
      <c r="AF472" s="33" t="str">
        <f aca="false">IF($A472="","",IF(_xlfn.MAXIFS(Interactions!$A$3:$A$502,Interactions!$B$3:$B$502,$A472)=0,"",_xlfn.MAXIFS(Interactions!$A$3:$A$502,Interactions!$B$3:$B$502,$A472)))</f>
        <v/>
      </c>
      <c r="AG472" s="32" t="str">
        <f aca="false">IF($A472="","",COUNTIFS(Opportunities!$A$3:$A$502,$A472,Opportunities!$X$3:$X$502,"Yes"))</f>
        <v/>
      </c>
      <c r="AH472" s="32" t="str">
        <f aca="false">IF($A472="","",_xlfn.TEXTJOIN(", ",TRUE(),IF(COUNTIF($A$3:$A$502,$A472)&gt;1,"Duplicate name",""),IF(OR(AND(G472=2,I472=""),AND(J472=2,L472=""),AND(M472=2,O472=""),AND(P472=2,R472="")),"Source missing for a 2",""),IF(F472="","No owner",IF(COUNTIFS(R_TeamName,F472,R_TeamActive,"No")&gt;0,"Needs new owner","")),IF(AND(V472="Yes",X472&lt;&gt;"",X472&lt;S_SemStart),"Path overdue",""),IF(AND(S472&lt;&gt;"",S472&lt;S_Today-365),"Stale research",""),IF(AND(AE472="Research",COUNTIF('Commercial Evidence'!$A$3:$A$502,$A472)=0),"Add commercial evidence","")))</f>
        <v/>
      </c>
      <c r="AI472" s="34" t="str">
        <f aca="false">IF(OR($A472="",Z472="Yes"),"",IF(AND(AE472="Priority",AG472=0,COUNTIFS(Opportunities!$A$3:$A$502,$A472,Opportunities!$Y$3:$Y$502,"Renewal due")=0),600000+(10-AC472)*1000+(4-AD472)*100+ROW()/100000,IF(V472="Yes",700000+IF(X472="",0,X472-40000)/10+ROW()/100000,IF(AND(AE472="Quick Win",U472&lt;&gt;"",AG472=0),800000+(10-AC472)*1000+ROW()/100000,IF(AND(AE472="Build a Path",COUNTIF($V$3:$V$502,"Yes")&lt;S_PathCap),900000+(10-AC472)*1000+(4-AD472)*100+ROW()/100000,"")))))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8"/>
      <c r="T473" s="27"/>
      <c r="U473" s="27"/>
      <c r="V473" s="27"/>
      <c r="W473" s="27"/>
      <c r="X473" s="28"/>
      <c r="Y473" s="27"/>
      <c r="Z473" s="27"/>
      <c r="AA473" s="27"/>
      <c r="AB473" s="32" t="str">
        <f aca="false">IF($A473="","",IF(COUNTIF('Commercial Evidence'!$A$3:$A$502,$A473)=0,"",IF(COUNTIFS('Commercial Evidence'!$A$3:$A$502,$A473,'Commercial Evidence'!$B$3:$B$502,"Previous CBS Talks spend")+COUNTIFS('Commercial Evidence'!$A$3:$A$502,$A473,'Commercial Evidence'!$B$3:$B$502,"Sponsors student organisations")&gt;0,2,IF(COUNTIFS('Commercial Evidence'!$A$3:$A$502,$A473,'Commercial Evidence'!$B$3:$B$502,"Sponsors university activities")+COUNTIFS('Commercial Evidence'!$A$3:$A$502,$A473,'Commercial Evidence'!$B$3:$B$502,"Sponsors similar events")+COUNTIFS('Commercial Evidence'!$A$3:$A$502,$A473,'Commercial Evidence'!$B$3:$B$502,"Previous CBS Talks partner")&gt;0,1,0))))</f>
        <v/>
      </c>
      <c r="AC473" s="32" t="str">
        <f aca="false">IF($A473="","",IF(COUNT(G473,J473,M473,P473,AB473)&lt;5,"",G473+J473+M473+P473+AB473))</f>
        <v/>
      </c>
      <c r="AD473" s="32" t="str">
        <f aca="false">IF($A473="","",IF(COUNTIFS(Contacts!$A$3:$A$502,$A473,Contacts!$E$3:$E$502,"Champion",Contacts!$K$3:$K$502,"&lt;&gt;Yes",Contacts!$L$3:$L$502,"&lt;&gt;Yes")+COUNTIFS(Opportunities!$A$3:$A$502,$A473,Opportunities!$C$3:$C$502,"Won",Opportunities!$Q$3:$Q$502,"Satisfied")&gt;0,4,IF(COUNTIFS(Interactions!$B$3:$B$502,$A473,Interactions!$I$3:$I$502,"Yes",Interactions!$A$3:$A$502,"&gt;="&amp;(S_Today-S_WarmDays))&gt;0,3,IF(T473&lt;&gt;"",2,IF(COUNTIFS(Contacts!$A$3:$A$502,$A473,Contacts!$M$3:$M$502,"Yes",Contacts!$K$3:$K$502,"&lt;&gt;Yes",Contacts!$L$3:$L$502,"&lt;&gt;Yes")&gt;0,1,0)))))</f>
        <v/>
      </c>
      <c r="AE473" s="32" t="str">
        <f aca="false">IF($A473="","",IF(Z473="Yes","Do not contact",IF(AC473="","Research",IF(AND(AC473&gt;=S_FitHigh,AD473&gt;=S_AccessHigh),"Priority",IF(AC473&gt;=S_FitHigh,"Build a Path",IF(AD473&gt;=S_AccessHigh,"Quick Win","Low Priority"))))))</f>
        <v/>
      </c>
      <c r="AF473" s="33" t="str">
        <f aca="false">IF($A473="","",IF(_xlfn.MAXIFS(Interactions!$A$3:$A$502,Interactions!$B$3:$B$502,$A473)=0,"",_xlfn.MAXIFS(Interactions!$A$3:$A$502,Interactions!$B$3:$B$502,$A473)))</f>
        <v/>
      </c>
      <c r="AG473" s="32" t="str">
        <f aca="false">IF($A473="","",COUNTIFS(Opportunities!$A$3:$A$502,$A473,Opportunities!$X$3:$X$502,"Yes"))</f>
        <v/>
      </c>
      <c r="AH473" s="32" t="str">
        <f aca="false">IF($A473="","",_xlfn.TEXTJOIN(", ",TRUE(),IF(COUNTIF($A$3:$A$502,$A473)&gt;1,"Duplicate name",""),IF(OR(AND(G473=2,I473=""),AND(J473=2,L473=""),AND(M473=2,O473=""),AND(P473=2,R473="")),"Source missing for a 2",""),IF(F473="","No owner",IF(COUNTIFS(R_TeamName,F473,R_TeamActive,"No")&gt;0,"Needs new owner","")),IF(AND(V473="Yes",X473&lt;&gt;"",X473&lt;S_SemStart),"Path overdue",""),IF(AND(S473&lt;&gt;"",S473&lt;S_Today-365),"Stale research",""),IF(AND(AE473="Research",COUNTIF('Commercial Evidence'!$A$3:$A$502,$A473)=0),"Add commercial evidence","")))</f>
        <v/>
      </c>
      <c r="AI473" s="34" t="str">
        <f aca="false">IF(OR($A473="",Z473="Yes"),"",IF(AND(AE473="Priority",AG473=0,COUNTIFS(Opportunities!$A$3:$A$502,$A473,Opportunities!$Y$3:$Y$502,"Renewal due")=0),600000+(10-AC473)*1000+(4-AD473)*100+ROW()/100000,IF(V473="Yes",700000+IF(X473="",0,X473-40000)/10+ROW()/100000,IF(AND(AE473="Quick Win",U473&lt;&gt;"",AG473=0),800000+(10-AC473)*1000+ROW()/100000,IF(AND(AE473="Build a Path",COUNTIF($V$3:$V$502,"Yes")&lt;S_PathCap),900000+(10-AC473)*1000+(4-AD473)*100+ROW()/100000,"")))))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8"/>
      <c r="T474" s="27"/>
      <c r="U474" s="27"/>
      <c r="V474" s="27"/>
      <c r="W474" s="27"/>
      <c r="X474" s="28"/>
      <c r="Y474" s="27"/>
      <c r="Z474" s="27"/>
      <c r="AA474" s="27"/>
      <c r="AB474" s="32" t="str">
        <f aca="false">IF($A474="","",IF(COUNTIF('Commercial Evidence'!$A$3:$A$502,$A474)=0,"",IF(COUNTIFS('Commercial Evidence'!$A$3:$A$502,$A474,'Commercial Evidence'!$B$3:$B$502,"Previous CBS Talks spend")+COUNTIFS('Commercial Evidence'!$A$3:$A$502,$A474,'Commercial Evidence'!$B$3:$B$502,"Sponsors student organisations")&gt;0,2,IF(COUNTIFS('Commercial Evidence'!$A$3:$A$502,$A474,'Commercial Evidence'!$B$3:$B$502,"Sponsors university activities")+COUNTIFS('Commercial Evidence'!$A$3:$A$502,$A474,'Commercial Evidence'!$B$3:$B$502,"Sponsors similar events")+COUNTIFS('Commercial Evidence'!$A$3:$A$502,$A474,'Commercial Evidence'!$B$3:$B$502,"Previous CBS Talks partner")&gt;0,1,0))))</f>
        <v/>
      </c>
      <c r="AC474" s="32" t="str">
        <f aca="false">IF($A474="","",IF(COUNT(G474,J474,M474,P474,AB474)&lt;5,"",G474+J474+M474+P474+AB474))</f>
        <v/>
      </c>
      <c r="AD474" s="32" t="str">
        <f aca="false">IF($A474="","",IF(COUNTIFS(Contacts!$A$3:$A$502,$A474,Contacts!$E$3:$E$502,"Champion",Contacts!$K$3:$K$502,"&lt;&gt;Yes",Contacts!$L$3:$L$502,"&lt;&gt;Yes")+COUNTIFS(Opportunities!$A$3:$A$502,$A474,Opportunities!$C$3:$C$502,"Won",Opportunities!$Q$3:$Q$502,"Satisfied")&gt;0,4,IF(COUNTIFS(Interactions!$B$3:$B$502,$A474,Interactions!$I$3:$I$502,"Yes",Interactions!$A$3:$A$502,"&gt;="&amp;(S_Today-S_WarmDays))&gt;0,3,IF(T474&lt;&gt;"",2,IF(COUNTIFS(Contacts!$A$3:$A$502,$A474,Contacts!$M$3:$M$502,"Yes",Contacts!$K$3:$K$502,"&lt;&gt;Yes",Contacts!$L$3:$L$502,"&lt;&gt;Yes")&gt;0,1,0)))))</f>
        <v/>
      </c>
      <c r="AE474" s="32" t="str">
        <f aca="false">IF($A474="","",IF(Z474="Yes","Do not contact",IF(AC474="","Research",IF(AND(AC474&gt;=S_FitHigh,AD474&gt;=S_AccessHigh),"Priority",IF(AC474&gt;=S_FitHigh,"Build a Path",IF(AD474&gt;=S_AccessHigh,"Quick Win","Low Priority"))))))</f>
        <v/>
      </c>
      <c r="AF474" s="33" t="str">
        <f aca="false">IF($A474="","",IF(_xlfn.MAXIFS(Interactions!$A$3:$A$502,Interactions!$B$3:$B$502,$A474)=0,"",_xlfn.MAXIFS(Interactions!$A$3:$A$502,Interactions!$B$3:$B$502,$A474)))</f>
        <v/>
      </c>
      <c r="AG474" s="32" t="str">
        <f aca="false">IF($A474="","",COUNTIFS(Opportunities!$A$3:$A$502,$A474,Opportunities!$X$3:$X$502,"Yes"))</f>
        <v/>
      </c>
      <c r="AH474" s="32" t="str">
        <f aca="false">IF($A474="","",_xlfn.TEXTJOIN(", ",TRUE(),IF(COUNTIF($A$3:$A$502,$A474)&gt;1,"Duplicate name",""),IF(OR(AND(G474=2,I474=""),AND(J474=2,L474=""),AND(M474=2,O474=""),AND(P474=2,R474="")),"Source missing for a 2",""),IF(F474="","No owner",IF(COUNTIFS(R_TeamName,F474,R_TeamActive,"No")&gt;0,"Needs new owner","")),IF(AND(V474="Yes",X474&lt;&gt;"",X474&lt;S_SemStart),"Path overdue",""),IF(AND(S474&lt;&gt;"",S474&lt;S_Today-365),"Stale research",""),IF(AND(AE474="Research",COUNTIF('Commercial Evidence'!$A$3:$A$502,$A474)=0),"Add commercial evidence","")))</f>
        <v/>
      </c>
      <c r="AI474" s="34" t="str">
        <f aca="false">IF(OR($A474="",Z474="Yes"),"",IF(AND(AE474="Priority",AG474=0,COUNTIFS(Opportunities!$A$3:$A$502,$A474,Opportunities!$Y$3:$Y$502,"Renewal due")=0),600000+(10-AC474)*1000+(4-AD474)*100+ROW()/100000,IF(V474="Yes",700000+IF(X474="",0,X474-40000)/10+ROW()/100000,IF(AND(AE474="Quick Win",U474&lt;&gt;"",AG474=0),800000+(10-AC474)*1000+ROW()/100000,IF(AND(AE474="Build a Path",COUNTIF($V$3:$V$502,"Yes")&lt;S_PathCap),900000+(10-AC474)*1000+(4-AD474)*100+ROW()/100000,"")))))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8"/>
      <c r="T475" s="27"/>
      <c r="U475" s="27"/>
      <c r="V475" s="27"/>
      <c r="W475" s="27"/>
      <c r="X475" s="28"/>
      <c r="Y475" s="27"/>
      <c r="Z475" s="27"/>
      <c r="AA475" s="27"/>
      <c r="AB475" s="32" t="str">
        <f aca="false">IF($A475="","",IF(COUNTIF('Commercial Evidence'!$A$3:$A$502,$A475)=0,"",IF(COUNTIFS('Commercial Evidence'!$A$3:$A$502,$A475,'Commercial Evidence'!$B$3:$B$502,"Previous CBS Talks spend")+COUNTIFS('Commercial Evidence'!$A$3:$A$502,$A475,'Commercial Evidence'!$B$3:$B$502,"Sponsors student organisations")&gt;0,2,IF(COUNTIFS('Commercial Evidence'!$A$3:$A$502,$A475,'Commercial Evidence'!$B$3:$B$502,"Sponsors university activities")+COUNTIFS('Commercial Evidence'!$A$3:$A$502,$A475,'Commercial Evidence'!$B$3:$B$502,"Sponsors similar events")+COUNTIFS('Commercial Evidence'!$A$3:$A$502,$A475,'Commercial Evidence'!$B$3:$B$502,"Previous CBS Talks partner")&gt;0,1,0))))</f>
        <v/>
      </c>
      <c r="AC475" s="32" t="str">
        <f aca="false">IF($A475="","",IF(COUNT(G475,J475,M475,P475,AB475)&lt;5,"",G475+J475+M475+P475+AB475))</f>
        <v/>
      </c>
      <c r="AD475" s="32" t="str">
        <f aca="false">IF($A475="","",IF(COUNTIFS(Contacts!$A$3:$A$502,$A475,Contacts!$E$3:$E$502,"Champion",Contacts!$K$3:$K$502,"&lt;&gt;Yes",Contacts!$L$3:$L$502,"&lt;&gt;Yes")+COUNTIFS(Opportunities!$A$3:$A$502,$A475,Opportunities!$C$3:$C$502,"Won",Opportunities!$Q$3:$Q$502,"Satisfied")&gt;0,4,IF(COUNTIFS(Interactions!$B$3:$B$502,$A475,Interactions!$I$3:$I$502,"Yes",Interactions!$A$3:$A$502,"&gt;="&amp;(S_Today-S_WarmDays))&gt;0,3,IF(T475&lt;&gt;"",2,IF(COUNTIFS(Contacts!$A$3:$A$502,$A475,Contacts!$M$3:$M$502,"Yes",Contacts!$K$3:$K$502,"&lt;&gt;Yes",Contacts!$L$3:$L$502,"&lt;&gt;Yes")&gt;0,1,0)))))</f>
        <v/>
      </c>
      <c r="AE475" s="32" t="str">
        <f aca="false">IF($A475="","",IF(Z475="Yes","Do not contact",IF(AC475="","Research",IF(AND(AC475&gt;=S_FitHigh,AD475&gt;=S_AccessHigh),"Priority",IF(AC475&gt;=S_FitHigh,"Build a Path",IF(AD475&gt;=S_AccessHigh,"Quick Win","Low Priority"))))))</f>
        <v/>
      </c>
      <c r="AF475" s="33" t="str">
        <f aca="false">IF($A475="","",IF(_xlfn.MAXIFS(Interactions!$A$3:$A$502,Interactions!$B$3:$B$502,$A475)=0,"",_xlfn.MAXIFS(Interactions!$A$3:$A$502,Interactions!$B$3:$B$502,$A475)))</f>
        <v/>
      </c>
      <c r="AG475" s="32" t="str">
        <f aca="false">IF($A475="","",COUNTIFS(Opportunities!$A$3:$A$502,$A475,Opportunities!$X$3:$X$502,"Yes"))</f>
        <v/>
      </c>
      <c r="AH475" s="32" t="str">
        <f aca="false">IF($A475="","",_xlfn.TEXTJOIN(", ",TRUE(),IF(COUNTIF($A$3:$A$502,$A475)&gt;1,"Duplicate name",""),IF(OR(AND(G475=2,I475=""),AND(J475=2,L475=""),AND(M475=2,O475=""),AND(P475=2,R475="")),"Source missing for a 2",""),IF(F475="","No owner",IF(COUNTIFS(R_TeamName,F475,R_TeamActive,"No")&gt;0,"Needs new owner","")),IF(AND(V475="Yes",X475&lt;&gt;"",X475&lt;S_SemStart),"Path overdue",""),IF(AND(S475&lt;&gt;"",S475&lt;S_Today-365),"Stale research",""),IF(AND(AE475="Research",COUNTIF('Commercial Evidence'!$A$3:$A$502,$A475)=0),"Add commercial evidence","")))</f>
        <v/>
      </c>
      <c r="AI475" s="34" t="str">
        <f aca="false">IF(OR($A475="",Z475="Yes"),"",IF(AND(AE475="Priority",AG475=0,COUNTIFS(Opportunities!$A$3:$A$502,$A475,Opportunities!$Y$3:$Y$502,"Renewal due")=0),600000+(10-AC475)*1000+(4-AD475)*100+ROW()/100000,IF(V475="Yes",700000+IF(X475="",0,X475-40000)/10+ROW()/100000,IF(AND(AE475="Quick Win",U475&lt;&gt;"",AG475=0),800000+(10-AC475)*1000+ROW()/100000,IF(AND(AE475="Build a Path",COUNTIF($V$3:$V$502,"Yes")&lt;S_PathCap),900000+(10-AC475)*1000+(4-AD475)*100+ROW()/100000,"")))))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8"/>
      <c r="T476" s="27"/>
      <c r="U476" s="27"/>
      <c r="V476" s="27"/>
      <c r="W476" s="27"/>
      <c r="X476" s="28"/>
      <c r="Y476" s="27"/>
      <c r="Z476" s="27"/>
      <c r="AA476" s="27"/>
      <c r="AB476" s="32" t="str">
        <f aca="false">IF($A476="","",IF(COUNTIF('Commercial Evidence'!$A$3:$A$502,$A476)=0,"",IF(COUNTIFS('Commercial Evidence'!$A$3:$A$502,$A476,'Commercial Evidence'!$B$3:$B$502,"Previous CBS Talks spend")+COUNTIFS('Commercial Evidence'!$A$3:$A$502,$A476,'Commercial Evidence'!$B$3:$B$502,"Sponsors student organisations")&gt;0,2,IF(COUNTIFS('Commercial Evidence'!$A$3:$A$502,$A476,'Commercial Evidence'!$B$3:$B$502,"Sponsors university activities")+COUNTIFS('Commercial Evidence'!$A$3:$A$502,$A476,'Commercial Evidence'!$B$3:$B$502,"Sponsors similar events")+COUNTIFS('Commercial Evidence'!$A$3:$A$502,$A476,'Commercial Evidence'!$B$3:$B$502,"Previous CBS Talks partner")&gt;0,1,0))))</f>
        <v/>
      </c>
      <c r="AC476" s="32" t="str">
        <f aca="false">IF($A476="","",IF(COUNT(G476,J476,M476,P476,AB476)&lt;5,"",G476+J476+M476+P476+AB476))</f>
        <v/>
      </c>
      <c r="AD476" s="32" t="str">
        <f aca="false">IF($A476="","",IF(COUNTIFS(Contacts!$A$3:$A$502,$A476,Contacts!$E$3:$E$502,"Champion",Contacts!$K$3:$K$502,"&lt;&gt;Yes",Contacts!$L$3:$L$502,"&lt;&gt;Yes")+COUNTIFS(Opportunities!$A$3:$A$502,$A476,Opportunities!$C$3:$C$502,"Won",Opportunities!$Q$3:$Q$502,"Satisfied")&gt;0,4,IF(COUNTIFS(Interactions!$B$3:$B$502,$A476,Interactions!$I$3:$I$502,"Yes",Interactions!$A$3:$A$502,"&gt;="&amp;(S_Today-S_WarmDays))&gt;0,3,IF(T476&lt;&gt;"",2,IF(COUNTIFS(Contacts!$A$3:$A$502,$A476,Contacts!$M$3:$M$502,"Yes",Contacts!$K$3:$K$502,"&lt;&gt;Yes",Contacts!$L$3:$L$502,"&lt;&gt;Yes")&gt;0,1,0)))))</f>
        <v/>
      </c>
      <c r="AE476" s="32" t="str">
        <f aca="false">IF($A476="","",IF(Z476="Yes","Do not contact",IF(AC476="","Research",IF(AND(AC476&gt;=S_FitHigh,AD476&gt;=S_AccessHigh),"Priority",IF(AC476&gt;=S_FitHigh,"Build a Path",IF(AD476&gt;=S_AccessHigh,"Quick Win","Low Priority"))))))</f>
        <v/>
      </c>
      <c r="AF476" s="33" t="str">
        <f aca="false">IF($A476="","",IF(_xlfn.MAXIFS(Interactions!$A$3:$A$502,Interactions!$B$3:$B$502,$A476)=0,"",_xlfn.MAXIFS(Interactions!$A$3:$A$502,Interactions!$B$3:$B$502,$A476)))</f>
        <v/>
      </c>
      <c r="AG476" s="32" t="str">
        <f aca="false">IF($A476="","",COUNTIFS(Opportunities!$A$3:$A$502,$A476,Opportunities!$X$3:$X$502,"Yes"))</f>
        <v/>
      </c>
      <c r="AH476" s="32" t="str">
        <f aca="false">IF($A476="","",_xlfn.TEXTJOIN(", ",TRUE(),IF(COUNTIF($A$3:$A$502,$A476)&gt;1,"Duplicate name",""),IF(OR(AND(G476=2,I476=""),AND(J476=2,L476=""),AND(M476=2,O476=""),AND(P476=2,R476="")),"Source missing for a 2",""),IF(F476="","No owner",IF(COUNTIFS(R_TeamName,F476,R_TeamActive,"No")&gt;0,"Needs new owner","")),IF(AND(V476="Yes",X476&lt;&gt;"",X476&lt;S_SemStart),"Path overdue",""),IF(AND(S476&lt;&gt;"",S476&lt;S_Today-365),"Stale research",""),IF(AND(AE476="Research",COUNTIF('Commercial Evidence'!$A$3:$A$502,$A476)=0),"Add commercial evidence","")))</f>
        <v/>
      </c>
      <c r="AI476" s="34" t="str">
        <f aca="false">IF(OR($A476="",Z476="Yes"),"",IF(AND(AE476="Priority",AG476=0,COUNTIFS(Opportunities!$A$3:$A$502,$A476,Opportunities!$Y$3:$Y$502,"Renewal due")=0),600000+(10-AC476)*1000+(4-AD476)*100+ROW()/100000,IF(V476="Yes",700000+IF(X476="",0,X476-40000)/10+ROW()/100000,IF(AND(AE476="Quick Win",U476&lt;&gt;"",AG476=0),800000+(10-AC476)*1000+ROW()/100000,IF(AND(AE476="Build a Path",COUNTIF($V$3:$V$502,"Yes")&lt;S_PathCap),900000+(10-AC476)*1000+(4-AD476)*100+ROW()/100000,"")))))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8"/>
      <c r="T477" s="27"/>
      <c r="U477" s="27"/>
      <c r="V477" s="27"/>
      <c r="W477" s="27"/>
      <c r="X477" s="28"/>
      <c r="Y477" s="27"/>
      <c r="Z477" s="27"/>
      <c r="AA477" s="27"/>
      <c r="AB477" s="32" t="str">
        <f aca="false">IF($A477="","",IF(COUNTIF('Commercial Evidence'!$A$3:$A$502,$A477)=0,"",IF(COUNTIFS('Commercial Evidence'!$A$3:$A$502,$A477,'Commercial Evidence'!$B$3:$B$502,"Previous CBS Talks spend")+COUNTIFS('Commercial Evidence'!$A$3:$A$502,$A477,'Commercial Evidence'!$B$3:$B$502,"Sponsors student organisations")&gt;0,2,IF(COUNTIFS('Commercial Evidence'!$A$3:$A$502,$A477,'Commercial Evidence'!$B$3:$B$502,"Sponsors university activities")+COUNTIFS('Commercial Evidence'!$A$3:$A$502,$A477,'Commercial Evidence'!$B$3:$B$502,"Sponsors similar events")+COUNTIFS('Commercial Evidence'!$A$3:$A$502,$A477,'Commercial Evidence'!$B$3:$B$502,"Previous CBS Talks partner")&gt;0,1,0))))</f>
        <v/>
      </c>
      <c r="AC477" s="32" t="str">
        <f aca="false">IF($A477="","",IF(COUNT(G477,J477,M477,P477,AB477)&lt;5,"",G477+J477+M477+P477+AB477))</f>
        <v/>
      </c>
      <c r="AD477" s="32" t="str">
        <f aca="false">IF($A477="","",IF(COUNTIFS(Contacts!$A$3:$A$502,$A477,Contacts!$E$3:$E$502,"Champion",Contacts!$K$3:$K$502,"&lt;&gt;Yes",Contacts!$L$3:$L$502,"&lt;&gt;Yes")+COUNTIFS(Opportunities!$A$3:$A$502,$A477,Opportunities!$C$3:$C$502,"Won",Opportunities!$Q$3:$Q$502,"Satisfied")&gt;0,4,IF(COUNTIFS(Interactions!$B$3:$B$502,$A477,Interactions!$I$3:$I$502,"Yes",Interactions!$A$3:$A$502,"&gt;="&amp;(S_Today-S_WarmDays))&gt;0,3,IF(T477&lt;&gt;"",2,IF(COUNTIFS(Contacts!$A$3:$A$502,$A477,Contacts!$M$3:$M$502,"Yes",Contacts!$K$3:$K$502,"&lt;&gt;Yes",Contacts!$L$3:$L$502,"&lt;&gt;Yes")&gt;0,1,0)))))</f>
        <v/>
      </c>
      <c r="AE477" s="32" t="str">
        <f aca="false">IF($A477="","",IF(Z477="Yes","Do not contact",IF(AC477="","Research",IF(AND(AC477&gt;=S_FitHigh,AD477&gt;=S_AccessHigh),"Priority",IF(AC477&gt;=S_FitHigh,"Build a Path",IF(AD477&gt;=S_AccessHigh,"Quick Win","Low Priority"))))))</f>
        <v/>
      </c>
      <c r="AF477" s="33" t="str">
        <f aca="false">IF($A477="","",IF(_xlfn.MAXIFS(Interactions!$A$3:$A$502,Interactions!$B$3:$B$502,$A477)=0,"",_xlfn.MAXIFS(Interactions!$A$3:$A$502,Interactions!$B$3:$B$502,$A477)))</f>
        <v/>
      </c>
      <c r="AG477" s="32" t="str">
        <f aca="false">IF($A477="","",COUNTIFS(Opportunities!$A$3:$A$502,$A477,Opportunities!$X$3:$X$502,"Yes"))</f>
        <v/>
      </c>
      <c r="AH477" s="32" t="str">
        <f aca="false">IF($A477="","",_xlfn.TEXTJOIN(", ",TRUE(),IF(COUNTIF($A$3:$A$502,$A477)&gt;1,"Duplicate name",""),IF(OR(AND(G477=2,I477=""),AND(J477=2,L477=""),AND(M477=2,O477=""),AND(P477=2,R477="")),"Source missing for a 2",""),IF(F477="","No owner",IF(COUNTIFS(R_TeamName,F477,R_TeamActive,"No")&gt;0,"Needs new owner","")),IF(AND(V477="Yes",X477&lt;&gt;"",X477&lt;S_SemStart),"Path overdue",""),IF(AND(S477&lt;&gt;"",S477&lt;S_Today-365),"Stale research",""),IF(AND(AE477="Research",COUNTIF('Commercial Evidence'!$A$3:$A$502,$A477)=0),"Add commercial evidence","")))</f>
        <v/>
      </c>
      <c r="AI477" s="34" t="str">
        <f aca="false">IF(OR($A477="",Z477="Yes"),"",IF(AND(AE477="Priority",AG477=0,COUNTIFS(Opportunities!$A$3:$A$502,$A477,Opportunities!$Y$3:$Y$502,"Renewal due")=0),600000+(10-AC477)*1000+(4-AD477)*100+ROW()/100000,IF(V477="Yes",700000+IF(X477="",0,X477-40000)/10+ROW()/100000,IF(AND(AE477="Quick Win",U477&lt;&gt;"",AG477=0),800000+(10-AC477)*1000+ROW()/100000,IF(AND(AE477="Build a Path",COUNTIF($V$3:$V$502,"Yes")&lt;S_PathCap),900000+(10-AC477)*1000+(4-AD477)*100+ROW()/100000,"")))))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8"/>
      <c r="T478" s="27"/>
      <c r="U478" s="27"/>
      <c r="V478" s="27"/>
      <c r="W478" s="27"/>
      <c r="X478" s="28"/>
      <c r="Y478" s="27"/>
      <c r="Z478" s="27"/>
      <c r="AA478" s="27"/>
      <c r="AB478" s="32" t="str">
        <f aca="false">IF($A478="","",IF(COUNTIF('Commercial Evidence'!$A$3:$A$502,$A478)=0,"",IF(COUNTIFS('Commercial Evidence'!$A$3:$A$502,$A478,'Commercial Evidence'!$B$3:$B$502,"Previous CBS Talks spend")+COUNTIFS('Commercial Evidence'!$A$3:$A$502,$A478,'Commercial Evidence'!$B$3:$B$502,"Sponsors student organisations")&gt;0,2,IF(COUNTIFS('Commercial Evidence'!$A$3:$A$502,$A478,'Commercial Evidence'!$B$3:$B$502,"Sponsors university activities")+COUNTIFS('Commercial Evidence'!$A$3:$A$502,$A478,'Commercial Evidence'!$B$3:$B$502,"Sponsors similar events")+COUNTIFS('Commercial Evidence'!$A$3:$A$502,$A478,'Commercial Evidence'!$B$3:$B$502,"Previous CBS Talks partner")&gt;0,1,0))))</f>
        <v/>
      </c>
      <c r="AC478" s="32" t="str">
        <f aca="false">IF($A478="","",IF(COUNT(G478,J478,M478,P478,AB478)&lt;5,"",G478+J478+M478+P478+AB478))</f>
        <v/>
      </c>
      <c r="AD478" s="32" t="str">
        <f aca="false">IF($A478="","",IF(COUNTIFS(Contacts!$A$3:$A$502,$A478,Contacts!$E$3:$E$502,"Champion",Contacts!$K$3:$K$502,"&lt;&gt;Yes",Contacts!$L$3:$L$502,"&lt;&gt;Yes")+COUNTIFS(Opportunities!$A$3:$A$502,$A478,Opportunities!$C$3:$C$502,"Won",Opportunities!$Q$3:$Q$502,"Satisfied")&gt;0,4,IF(COUNTIFS(Interactions!$B$3:$B$502,$A478,Interactions!$I$3:$I$502,"Yes",Interactions!$A$3:$A$502,"&gt;="&amp;(S_Today-S_WarmDays))&gt;0,3,IF(T478&lt;&gt;"",2,IF(COUNTIFS(Contacts!$A$3:$A$502,$A478,Contacts!$M$3:$M$502,"Yes",Contacts!$K$3:$K$502,"&lt;&gt;Yes",Contacts!$L$3:$L$502,"&lt;&gt;Yes")&gt;0,1,0)))))</f>
        <v/>
      </c>
      <c r="AE478" s="32" t="str">
        <f aca="false">IF($A478="","",IF(Z478="Yes","Do not contact",IF(AC478="","Research",IF(AND(AC478&gt;=S_FitHigh,AD478&gt;=S_AccessHigh),"Priority",IF(AC478&gt;=S_FitHigh,"Build a Path",IF(AD478&gt;=S_AccessHigh,"Quick Win","Low Priority"))))))</f>
        <v/>
      </c>
      <c r="AF478" s="33" t="str">
        <f aca="false">IF($A478="","",IF(_xlfn.MAXIFS(Interactions!$A$3:$A$502,Interactions!$B$3:$B$502,$A478)=0,"",_xlfn.MAXIFS(Interactions!$A$3:$A$502,Interactions!$B$3:$B$502,$A478)))</f>
        <v/>
      </c>
      <c r="AG478" s="32" t="str">
        <f aca="false">IF($A478="","",COUNTIFS(Opportunities!$A$3:$A$502,$A478,Opportunities!$X$3:$X$502,"Yes"))</f>
        <v/>
      </c>
      <c r="AH478" s="32" t="str">
        <f aca="false">IF($A478="","",_xlfn.TEXTJOIN(", ",TRUE(),IF(COUNTIF($A$3:$A$502,$A478)&gt;1,"Duplicate name",""),IF(OR(AND(G478=2,I478=""),AND(J478=2,L478=""),AND(M478=2,O478=""),AND(P478=2,R478="")),"Source missing for a 2",""),IF(F478="","No owner",IF(COUNTIFS(R_TeamName,F478,R_TeamActive,"No")&gt;0,"Needs new owner","")),IF(AND(V478="Yes",X478&lt;&gt;"",X478&lt;S_SemStart),"Path overdue",""),IF(AND(S478&lt;&gt;"",S478&lt;S_Today-365),"Stale research",""),IF(AND(AE478="Research",COUNTIF('Commercial Evidence'!$A$3:$A$502,$A478)=0),"Add commercial evidence","")))</f>
        <v/>
      </c>
      <c r="AI478" s="34" t="str">
        <f aca="false">IF(OR($A478="",Z478="Yes"),"",IF(AND(AE478="Priority",AG478=0,COUNTIFS(Opportunities!$A$3:$A$502,$A478,Opportunities!$Y$3:$Y$502,"Renewal due")=0),600000+(10-AC478)*1000+(4-AD478)*100+ROW()/100000,IF(V478="Yes",700000+IF(X478="",0,X478-40000)/10+ROW()/100000,IF(AND(AE478="Quick Win",U478&lt;&gt;"",AG478=0),800000+(10-AC478)*1000+ROW()/100000,IF(AND(AE478="Build a Path",COUNTIF($V$3:$V$502,"Yes")&lt;S_PathCap),900000+(10-AC478)*1000+(4-AD478)*100+ROW()/100000,"")))))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8"/>
      <c r="T479" s="27"/>
      <c r="U479" s="27"/>
      <c r="V479" s="27"/>
      <c r="W479" s="27"/>
      <c r="X479" s="28"/>
      <c r="Y479" s="27"/>
      <c r="Z479" s="27"/>
      <c r="AA479" s="27"/>
      <c r="AB479" s="32" t="str">
        <f aca="false">IF($A479="","",IF(COUNTIF('Commercial Evidence'!$A$3:$A$502,$A479)=0,"",IF(COUNTIFS('Commercial Evidence'!$A$3:$A$502,$A479,'Commercial Evidence'!$B$3:$B$502,"Previous CBS Talks spend")+COUNTIFS('Commercial Evidence'!$A$3:$A$502,$A479,'Commercial Evidence'!$B$3:$B$502,"Sponsors student organisations")&gt;0,2,IF(COUNTIFS('Commercial Evidence'!$A$3:$A$502,$A479,'Commercial Evidence'!$B$3:$B$502,"Sponsors university activities")+COUNTIFS('Commercial Evidence'!$A$3:$A$502,$A479,'Commercial Evidence'!$B$3:$B$502,"Sponsors similar events")+COUNTIFS('Commercial Evidence'!$A$3:$A$502,$A479,'Commercial Evidence'!$B$3:$B$502,"Previous CBS Talks partner")&gt;0,1,0))))</f>
        <v/>
      </c>
      <c r="AC479" s="32" t="str">
        <f aca="false">IF($A479="","",IF(COUNT(G479,J479,M479,P479,AB479)&lt;5,"",G479+J479+M479+P479+AB479))</f>
        <v/>
      </c>
      <c r="AD479" s="32" t="str">
        <f aca="false">IF($A479="","",IF(COUNTIFS(Contacts!$A$3:$A$502,$A479,Contacts!$E$3:$E$502,"Champion",Contacts!$K$3:$K$502,"&lt;&gt;Yes",Contacts!$L$3:$L$502,"&lt;&gt;Yes")+COUNTIFS(Opportunities!$A$3:$A$502,$A479,Opportunities!$C$3:$C$502,"Won",Opportunities!$Q$3:$Q$502,"Satisfied")&gt;0,4,IF(COUNTIFS(Interactions!$B$3:$B$502,$A479,Interactions!$I$3:$I$502,"Yes",Interactions!$A$3:$A$502,"&gt;="&amp;(S_Today-S_WarmDays))&gt;0,3,IF(T479&lt;&gt;"",2,IF(COUNTIFS(Contacts!$A$3:$A$502,$A479,Contacts!$M$3:$M$502,"Yes",Contacts!$K$3:$K$502,"&lt;&gt;Yes",Contacts!$L$3:$L$502,"&lt;&gt;Yes")&gt;0,1,0)))))</f>
        <v/>
      </c>
      <c r="AE479" s="32" t="str">
        <f aca="false">IF($A479="","",IF(Z479="Yes","Do not contact",IF(AC479="","Research",IF(AND(AC479&gt;=S_FitHigh,AD479&gt;=S_AccessHigh),"Priority",IF(AC479&gt;=S_FitHigh,"Build a Path",IF(AD479&gt;=S_AccessHigh,"Quick Win","Low Priority"))))))</f>
        <v/>
      </c>
      <c r="AF479" s="33" t="str">
        <f aca="false">IF($A479="","",IF(_xlfn.MAXIFS(Interactions!$A$3:$A$502,Interactions!$B$3:$B$502,$A479)=0,"",_xlfn.MAXIFS(Interactions!$A$3:$A$502,Interactions!$B$3:$B$502,$A479)))</f>
        <v/>
      </c>
      <c r="AG479" s="32" t="str">
        <f aca="false">IF($A479="","",COUNTIFS(Opportunities!$A$3:$A$502,$A479,Opportunities!$X$3:$X$502,"Yes"))</f>
        <v/>
      </c>
      <c r="AH479" s="32" t="str">
        <f aca="false">IF($A479="","",_xlfn.TEXTJOIN(", ",TRUE(),IF(COUNTIF($A$3:$A$502,$A479)&gt;1,"Duplicate name",""),IF(OR(AND(G479=2,I479=""),AND(J479=2,L479=""),AND(M479=2,O479=""),AND(P479=2,R479="")),"Source missing for a 2",""),IF(F479="","No owner",IF(COUNTIFS(R_TeamName,F479,R_TeamActive,"No")&gt;0,"Needs new owner","")),IF(AND(V479="Yes",X479&lt;&gt;"",X479&lt;S_SemStart),"Path overdue",""),IF(AND(S479&lt;&gt;"",S479&lt;S_Today-365),"Stale research",""),IF(AND(AE479="Research",COUNTIF('Commercial Evidence'!$A$3:$A$502,$A479)=0),"Add commercial evidence","")))</f>
        <v/>
      </c>
      <c r="AI479" s="34" t="str">
        <f aca="false">IF(OR($A479="",Z479="Yes"),"",IF(AND(AE479="Priority",AG479=0,COUNTIFS(Opportunities!$A$3:$A$502,$A479,Opportunities!$Y$3:$Y$502,"Renewal due")=0),600000+(10-AC479)*1000+(4-AD479)*100+ROW()/100000,IF(V479="Yes",700000+IF(X479="",0,X479-40000)/10+ROW()/100000,IF(AND(AE479="Quick Win",U479&lt;&gt;"",AG479=0),800000+(10-AC479)*1000+ROW()/100000,IF(AND(AE479="Build a Path",COUNTIF($V$3:$V$502,"Yes")&lt;S_PathCap),900000+(10-AC479)*1000+(4-AD479)*100+ROW()/100000,"")))))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8"/>
      <c r="T480" s="27"/>
      <c r="U480" s="27"/>
      <c r="V480" s="27"/>
      <c r="W480" s="27"/>
      <c r="X480" s="28"/>
      <c r="Y480" s="27"/>
      <c r="Z480" s="27"/>
      <c r="AA480" s="27"/>
      <c r="AB480" s="32" t="str">
        <f aca="false">IF($A480="","",IF(COUNTIF('Commercial Evidence'!$A$3:$A$502,$A480)=0,"",IF(COUNTIFS('Commercial Evidence'!$A$3:$A$502,$A480,'Commercial Evidence'!$B$3:$B$502,"Previous CBS Talks spend")+COUNTIFS('Commercial Evidence'!$A$3:$A$502,$A480,'Commercial Evidence'!$B$3:$B$502,"Sponsors student organisations")&gt;0,2,IF(COUNTIFS('Commercial Evidence'!$A$3:$A$502,$A480,'Commercial Evidence'!$B$3:$B$502,"Sponsors university activities")+COUNTIFS('Commercial Evidence'!$A$3:$A$502,$A480,'Commercial Evidence'!$B$3:$B$502,"Sponsors similar events")+COUNTIFS('Commercial Evidence'!$A$3:$A$502,$A480,'Commercial Evidence'!$B$3:$B$502,"Previous CBS Talks partner")&gt;0,1,0))))</f>
        <v/>
      </c>
      <c r="AC480" s="32" t="str">
        <f aca="false">IF($A480="","",IF(COUNT(G480,J480,M480,P480,AB480)&lt;5,"",G480+J480+M480+P480+AB480))</f>
        <v/>
      </c>
      <c r="AD480" s="32" t="str">
        <f aca="false">IF($A480="","",IF(COUNTIFS(Contacts!$A$3:$A$502,$A480,Contacts!$E$3:$E$502,"Champion",Contacts!$K$3:$K$502,"&lt;&gt;Yes",Contacts!$L$3:$L$502,"&lt;&gt;Yes")+COUNTIFS(Opportunities!$A$3:$A$502,$A480,Opportunities!$C$3:$C$502,"Won",Opportunities!$Q$3:$Q$502,"Satisfied")&gt;0,4,IF(COUNTIFS(Interactions!$B$3:$B$502,$A480,Interactions!$I$3:$I$502,"Yes",Interactions!$A$3:$A$502,"&gt;="&amp;(S_Today-S_WarmDays))&gt;0,3,IF(T480&lt;&gt;"",2,IF(COUNTIFS(Contacts!$A$3:$A$502,$A480,Contacts!$M$3:$M$502,"Yes",Contacts!$K$3:$K$502,"&lt;&gt;Yes",Contacts!$L$3:$L$502,"&lt;&gt;Yes")&gt;0,1,0)))))</f>
        <v/>
      </c>
      <c r="AE480" s="32" t="str">
        <f aca="false">IF($A480="","",IF(Z480="Yes","Do not contact",IF(AC480="","Research",IF(AND(AC480&gt;=S_FitHigh,AD480&gt;=S_AccessHigh),"Priority",IF(AC480&gt;=S_FitHigh,"Build a Path",IF(AD480&gt;=S_AccessHigh,"Quick Win","Low Priority"))))))</f>
        <v/>
      </c>
      <c r="AF480" s="33" t="str">
        <f aca="false">IF($A480="","",IF(_xlfn.MAXIFS(Interactions!$A$3:$A$502,Interactions!$B$3:$B$502,$A480)=0,"",_xlfn.MAXIFS(Interactions!$A$3:$A$502,Interactions!$B$3:$B$502,$A480)))</f>
        <v/>
      </c>
      <c r="AG480" s="32" t="str">
        <f aca="false">IF($A480="","",COUNTIFS(Opportunities!$A$3:$A$502,$A480,Opportunities!$X$3:$X$502,"Yes"))</f>
        <v/>
      </c>
      <c r="AH480" s="32" t="str">
        <f aca="false">IF($A480="","",_xlfn.TEXTJOIN(", ",TRUE(),IF(COUNTIF($A$3:$A$502,$A480)&gt;1,"Duplicate name",""),IF(OR(AND(G480=2,I480=""),AND(J480=2,L480=""),AND(M480=2,O480=""),AND(P480=2,R480="")),"Source missing for a 2",""),IF(F480="","No owner",IF(COUNTIFS(R_TeamName,F480,R_TeamActive,"No")&gt;0,"Needs new owner","")),IF(AND(V480="Yes",X480&lt;&gt;"",X480&lt;S_SemStart),"Path overdue",""),IF(AND(S480&lt;&gt;"",S480&lt;S_Today-365),"Stale research",""),IF(AND(AE480="Research",COUNTIF('Commercial Evidence'!$A$3:$A$502,$A480)=0),"Add commercial evidence","")))</f>
        <v/>
      </c>
      <c r="AI480" s="34" t="str">
        <f aca="false">IF(OR($A480="",Z480="Yes"),"",IF(AND(AE480="Priority",AG480=0,COUNTIFS(Opportunities!$A$3:$A$502,$A480,Opportunities!$Y$3:$Y$502,"Renewal due")=0),600000+(10-AC480)*1000+(4-AD480)*100+ROW()/100000,IF(V480="Yes",700000+IF(X480="",0,X480-40000)/10+ROW()/100000,IF(AND(AE480="Quick Win",U480&lt;&gt;"",AG480=0),800000+(10-AC480)*1000+ROW()/100000,IF(AND(AE480="Build a Path",COUNTIF($V$3:$V$502,"Yes")&lt;S_PathCap),900000+(10-AC480)*1000+(4-AD480)*100+ROW()/100000,"")))))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8"/>
      <c r="T481" s="27"/>
      <c r="U481" s="27"/>
      <c r="V481" s="27"/>
      <c r="W481" s="27"/>
      <c r="X481" s="28"/>
      <c r="Y481" s="27"/>
      <c r="Z481" s="27"/>
      <c r="AA481" s="27"/>
      <c r="AB481" s="32" t="str">
        <f aca="false">IF($A481="","",IF(COUNTIF('Commercial Evidence'!$A$3:$A$502,$A481)=0,"",IF(COUNTIFS('Commercial Evidence'!$A$3:$A$502,$A481,'Commercial Evidence'!$B$3:$B$502,"Previous CBS Talks spend")+COUNTIFS('Commercial Evidence'!$A$3:$A$502,$A481,'Commercial Evidence'!$B$3:$B$502,"Sponsors student organisations")&gt;0,2,IF(COUNTIFS('Commercial Evidence'!$A$3:$A$502,$A481,'Commercial Evidence'!$B$3:$B$502,"Sponsors university activities")+COUNTIFS('Commercial Evidence'!$A$3:$A$502,$A481,'Commercial Evidence'!$B$3:$B$502,"Sponsors similar events")+COUNTIFS('Commercial Evidence'!$A$3:$A$502,$A481,'Commercial Evidence'!$B$3:$B$502,"Previous CBS Talks partner")&gt;0,1,0))))</f>
        <v/>
      </c>
      <c r="AC481" s="32" t="str">
        <f aca="false">IF($A481="","",IF(COUNT(G481,J481,M481,P481,AB481)&lt;5,"",G481+J481+M481+P481+AB481))</f>
        <v/>
      </c>
      <c r="AD481" s="32" t="str">
        <f aca="false">IF($A481="","",IF(COUNTIFS(Contacts!$A$3:$A$502,$A481,Contacts!$E$3:$E$502,"Champion",Contacts!$K$3:$K$502,"&lt;&gt;Yes",Contacts!$L$3:$L$502,"&lt;&gt;Yes")+COUNTIFS(Opportunities!$A$3:$A$502,$A481,Opportunities!$C$3:$C$502,"Won",Opportunities!$Q$3:$Q$502,"Satisfied")&gt;0,4,IF(COUNTIFS(Interactions!$B$3:$B$502,$A481,Interactions!$I$3:$I$502,"Yes",Interactions!$A$3:$A$502,"&gt;="&amp;(S_Today-S_WarmDays))&gt;0,3,IF(T481&lt;&gt;"",2,IF(COUNTIFS(Contacts!$A$3:$A$502,$A481,Contacts!$M$3:$M$502,"Yes",Contacts!$K$3:$K$502,"&lt;&gt;Yes",Contacts!$L$3:$L$502,"&lt;&gt;Yes")&gt;0,1,0)))))</f>
        <v/>
      </c>
      <c r="AE481" s="32" t="str">
        <f aca="false">IF($A481="","",IF(Z481="Yes","Do not contact",IF(AC481="","Research",IF(AND(AC481&gt;=S_FitHigh,AD481&gt;=S_AccessHigh),"Priority",IF(AC481&gt;=S_FitHigh,"Build a Path",IF(AD481&gt;=S_AccessHigh,"Quick Win","Low Priority"))))))</f>
        <v/>
      </c>
      <c r="AF481" s="33" t="str">
        <f aca="false">IF($A481="","",IF(_xlfn.MAXIFS(Interactions!$A$3:$A$502,Interactions!$B$3:$B$502,$A481)=0,"",_xlfn.MAXIFS(Interactions!$A$3:$A$502,Interactions!$B$3:$B$502,$A481)))</f>
        <v/>
      </c>
      <c r="AG481" s="32" t="str">
        <f aca="false">IF($A481="","",COUNTIFS(Opportunities!$A$3:$A$502,$A481,Opportunities!$X$3:$X$502,"Yes"))</f>
        <v/>
      </c>
      <c r="AH481" s="32" t="str">
        <f aca="false">IF($A481="","",_xlfn.TEXTJOIN(", ",TRUE(),IF(COUNTIF($A$3:$A$502,$A481)&gt;1,"Duplicate name",""),IF(OR(AND(G481=2,I481=""),AND(J481=2,L481=""),AND(M481=2,O481=""),AND(P481=2,R481="")),"Source missing for a 2",""),IF(F481="","No owner",IF(COUNTIFS(R_TeamName,F481,R_TeamActive,"No")&gt;0,"Needs new owner","")),IF(AND(V481="Yes",X481&lt;&gt;"",X481&lt;S_SemStart),"Path overdue",""),IF(AND(S481&lt;&gt;"",S481&lt;S_Today-365),"Stale research",""),IF(AND(AE481="Research",COUNTIF('Commercial Evidence'!$A$3:$A$502,$A481)=0),"Add commercial evidence","")))</f>
        <v/>
      </c>
      <c r="AI481" s="34" t="str">
        <f aca="false">IF(OR($A481="",Z481="Yes"),"",IF(AND(AE481="Priority",AG481=0,COUNTIFS(Opportunities!$A$3:$A$502,$A481,Opportunities!$Y$3:$Y$502,"Renewal due")=0),600000+(10-AC481)*1000+(4-AD481)*100+ROW()/100000,IF(V481="Yes",700000+IF(X481="",0,X481-40000)/10+ROW()/100000,IF(AND(AE481="Quick Win",U481&lt;&gt;"",AG481=0),800000+(10-AC481)*1000+ROW()/100000,IF(AND(AE481="Build a Path",COUNTIF($V$3:$V$502,"Yes")&lt;S_PathCap),900000+(10-AC481)*1000+(4-AD481)*100+ROW()/100000,"")))))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8"/>
      <c r="T482" s="27"/>
      <c r="U482" s="27"/>
      <c r="V482" s="27"/>
      <c r="W482" s="27"/>
      <c r="X482" s="28"/>
      <c r="Y482" s="27"/>
      <c r="Z482" s="27"/>
      <c r="AA482" s="27"/>
      <c r="AB482" s="32" t="str">
        <f aca="false">IF($A482="","",IF(COUNTIF('Commercial Evidence'!$A$3:$A$502,$A482)=0,"",IF(COUNTIFS('Commercial Evidence'!$A$3:$A$502,$A482,'Commercial Evidence'!$B$3:$B$502,"Previous CBS Talks spend")+COUNTIFS('Commercial Evidence'!$A$3:$A$502,$A482,'Commercial Evidence'!$B$3:$B$502,"Sponsors student organisations")&gt;0,2,IF(COUNTIFS('Commercial Evidence'!$A$3:$A$502,$A482,'Commercial Evidence'!$B$3:$B$502,"Sponsors university activities")+COUNTIFS('Commercial Evidence'!$A$3:$A$502,$A482,'Commercial Evidence'!$B$3:$B$502,"Sponsors similar events")+COUNTIFS('Commercial Evidence'!$A$3:$A$502,$A482,'Commercial Evidence'!$B$3:$B$502,"Previous CBS Talks partner")&gt;0,1,0))))</f>
        <v/>
      </c>
      <c r="AC482" s="32" t="str">
        <f aca="false">IF($A482="","",IF(COUNT(G482,J482,M482,P482,AB482)&lt;5,"",G482+J482+M482+P482+AB482))</f>
        <v/>
      </c>
      <c r="AD482" s="32" t="str">
        <f aca="false">IF($A482="","",IF(COUNTIFS(Contacts!$A$3:$A$502,$A482,Contacts!$E$3:$E$502,"Champion",Contacts!$K$3:$K$502,"&lt;&gt;Yes",Contacts!$L$3:$L$502,"&lt;&gt;Yes")+COUNTIFS(Opportunities!$A$3:$A$502,$A482,Opportunities!$C$3:$C$502,"Won",Opportunities!$Q$3:$Q$502,"Satisfied")&gt;0,4,IF(COUNTIFS(Interactions!$B$3:$B$502,$A482,Interactions!$I$3:$I$502,"Yes",Interactions!$A$3:$A$502,"&gt;="&amp;(S_Today-S_WarmDays))&gt;0,3,IF(T482&lt;&gt;"",2,IF(COUNTIFS(Contacts!$A$3:$A$502,$A482,Contacts!$M$3:$M$502,"Yes",Contacts!$K$3:$K$502,"&lt;&gt;Yes",Contacts!$L$3:$L$502,"&lt;&gt;Yes")&gt;0,1,0)))))</f>
        <v/>
      </c>
      <c r="AE482" s="32" t="str">
        <f aca="false">IF($A482="","",IF(Z482="Yes","Do not contact",IF(AC482="","Research",IF(AND(AC482&gt;=S_FitHigh,AD482&gt;=S_AccessHigh),"Priority",IF(AC482&gt;=S_FitHigh,"Build a Path",IF(AD482&gt;=S_AccessHigh,"Quick Win","Low Priority"))))))</f>
        <v/>
      </c>
      <c r="AF482" s="33" t="str">
        <f aca="false">IF($A482="","",IF(_xlfn.MAXIFS(Interactions!$A$3:$A$502,Interactions!$B$3:$B$502,$A482)=0,"",_xlfn.MAXIFS(Interactions!$A$3:$A$502,Interactions!$B$3:$B$502,$A482)))</f>
        <v/>
      </c>
      <c r="AG482" s="32" t="str">
        <f aca="false">IF($A482="","",COUNTIFS(Opportunities!$A$3:$A$502,$A482,Opportunities!$X$3:$X$502,"Yes"))</f>
        <v/>
      </c>
      <c r="AH482" s="32" t="str">
        <f aca="false">IF($A482="","",_xlfn.TEXTJOIN(", ",TRUE(),IF(COUNTIF($A$3:$A$502,$A482)&gt;1,"Duplicate name",""),IF(OR(AND(G482=2,I482=""),AND(J482=2,L482=""),AND(M482=2,O482=""),AND(P482=2,R482="")),"Source missing for a 2",""),IF(F482="","No owner",IF(COUNTIFS(R_TeamName,F482,R_TeamActive,"No")&gt;0,"Needs new owner","")),IF(AND(V482="Yes",X482&lt;&gt;"",X482&lt;S_SemStart),"Path overdue",""),IF(AND(S482&lt;&gt;"",S482&lt;S_Today-365),"Stale research",""),IF(AND(AE482="Research",COUNTIF('Commercial Evidence'!$A$3:$A$502,$A482)=0),"Add commercial evidence","")))</f>
        <v/>
      </c>
      <c r="AI482" s="34" t="str">
        <f aca="false">IF(OR($A482="",Z482="Yes"),"",IF(AND(AE482="Priority",AG482=0,COUNTIFS(Opportunities!$A$3:$A$502,$A482,Opportunities!$Y$3:$Y$502,"Renewal due")=0),600000+(10-AC482)*1000+(4-AD482)*100+ROW()/100000,IF(V482="Yes",700000+IF(X482="",0,X482-40000)/10+ROW()/100000,IF(AND(AE482="Quick Win",U482&lt;&gt;"",AG482=0),800000+(10-AC482)*1000+ROW()/100000,IF(AND(AE482="Build a Path",COUNTIF($V$3:$V$502,"Yes")&lt;S_PathCap),900000+(10-AC482)*1000+(4-AD482)*100+ROW()/100000,"")))))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8"/>
      <c r="T483" s="27"/>
      <c r="U483" s="27"/>
      <c r="V483" s="27"/>
      <c r="W483" s="27"/>
      <c r="X483" s="28"/>
      <c r="Y483" s="27"/>
      <c r="Z483" s="27"/>
      <c r="AA483" s="27"/>
      <c r="AB483" s="32" t="str">
        <f aca="false">IF($A483="","",IF(COUNTIF('Commercial Evidence'!$A$3:$A$502,$A483)=0,"",IF(COUNTIFS('Commercial Evidence'!$A$3:$A$502,$A483,'Commercial Evidence'!$B$3:$B$502,"Previous CBS Talks spend")+COUNTIFS('Commercial Evidence'!$A$3:$A$502,$A483,'Commercial Evidence'!$B$3:$B$502,"Sponsors student organisations")&gt;0,2,IF(COUNTIFS('Commercial Evidence'!$A$3:$A$502,$A483,'Commercial Evidence'!$B$3:$B$502,"Sponsors university activities")+COUNTIFS('Commercial Evidence'!$A$3:$A$502,$A483,'Commercial Evidence'!$B$3:$B$502,"Sponsors similar events")+COUNTIFS('Commercial Evidence'!$A$3:$A$502,$A483,'Commercial Evidence'!$B$3:$B$502,"Previous CBS Talks partner")&gt;0,1,0))))</f>
        <v/>
      </c>
      <c r="AC483" s="32" t="str">
        <f aca="false">IF($A483="","",IF(COUNT(G483,J483,M483,P483,AB483)&lt;5,"",G483+J483+M483+P483+AB483))</f>
        <v/>
      </c>
      <c r="AD483" s="32" t="str">
        <f aca="false">IF($A483="","",IF(COUNTIFS(Contacts!$A$3:$A$502,$A483,Contacts!$E$3:$E$502,"Champion",Contacts!$K$3:$K$502,"&lt;&gt;Yes",Contacts!$L$3:$L$502,"&lt;&gt;Yes")+COUNTIFS(Opportunities!$A$3:$A$502,$A483,Opportunities!$C$3:$C$502,"Won",Opportunities!$Q$3:$Q$502,"Satisfied")&gt;0,4,IF(COUNTIFS(Interactions!$B$3:$B$502,$A483,Interactions!$I$3:$I$502,"Yes",Interactions!$A$3:$A$502,"&gt;="&amp;(S_Today-S_WarmDays))&gt;0,3,IF(T483&lt;&gt;"",2,IF(COUNTIFS(Contacts!$A$3:$A$502,$A483,Contacts!$M$3:$M$502,"Yes",Contacts!$K$3:$K$502,"&lt;&gt;Yes",Contacts!$L$3:$L$502,"&lt;&gt;Yes")&gt;0,1,0)))))</f>
        <v/>
      </c>
      <c r="AE483" s="32" t="str">
        <f aca="false">IF($A483="","",IF(Z483="Yes","Do not contact",IF(AC483="","Research",IF(AND(AC483&gt;=S_FitHigh,AD483&gt;=S_AccessHigh),"Priority",IF(AC483&gt;=S_FitHigh,"Build a Path",IF(AD483&gt;=S_AccessHigh,"Quick Win","Low Priority"))))))</f>
        <v/>
      </c>
      <c r="AF483" s="33" t="str">
        <f aca="false">IF($A483="","",IF(_xlfn.MAXIFS(Interactions!$A$3:$A$502,Interactions!$B$3:$B$502,$A483)=0,"",_xlfn.MAXIFS(Interactions!$A$3:$A$502,Interactions!$B$3:$B$502,$A483)))</f>
        <v/>
      </c>
      <c r="AG483" s="32" t="str">
        <f aca="false">IF($A483="","",COUNTIFS(Opportunities!$A$3:$A$502,$A483,Opportunities!$X$3:$X$502,"Yes"))</f>
        <v/>
      </c>
      <c r="AH483" s="32" t="str">
        <f aca="false">IF($A483="","",_xlfn.TEXTJOIN(", ",TRUE(),IF(COUNTIF($A$3:$A$502,$A483)&gt;1,"Duplicate name",""),IF(OR(AND(G483=2,I483=""),AND(J483=2,L483=""),AND(M483=2,O483=""),AND(P483=2,R483="")),"Source missing for a 2",""),IF(F483="","No owner",IF(COUNTIFS(R_TeamName,F483,R_TeamActive,"No")&gt;0,"Needs new owner","")),IF(AND(V483="Yes",X483&lt;&gt;"",X483&lt;S_SemStart),"Path overdue",""),IF(AND(S483&lt;&gt;"",S483&lt;S_Today-365),"Stale research",""),IF(AND(AE483="Research",COUNTIF('Commercial Evidence'!$A$3:$A$502,$A483)=0),"Add commercial evidence","")))</f>
        <v/>
      </c>
      <c r="AI483" s="34" t="str">
        <f aca="false">IF(OR($A483="",Z483="Yes"),"",IF(AND(AE483="Priority",AG483=0,COUNTIFS(Opportunities!$A$3:$A$502,$A483,Opportunities!$Y$3:$Y$502,"Renewal due")=0),600000+(10-AC483)*1000+(4-AD483)*100+ROW()/100000,IF(V483="Yes",700000+IF(X483="",0,X483-40000)/10+ROW()/100000,IF(AND(AE483="Quick Win",U483&lt;&gt;"",AG483=0),800000+(10-AC483)*1000+ROW()/100000,IF(AND(AE483="Build a Path",COUNTIF($V$3:$V$502,"Yes")&lt;S_PathCap),900000+(10-AC483)*1000+(4-AD483)*100+ROW()/100000,"")))))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8"/>
      <c r="T484" s="27"/>
      <c r="U484" s="27"/>
      <c r="V484" s="27"/>
      <c r="W484" s="27"/>
      <c r="X484" s="28"/>
      <c r="Y484" s="27"/>
      <c r="Z484" s="27"/>
      <c r="AA484" s="27"/>
      <c r="AB484" s="32" t="str">
        <f aca="false">IF($A484="","",IF(COUNTIF('Commercial Evidence'!$A$3:$A$502,$A484)=0,"",IF(COUNTIFS('Commercial Evidence'!$A$3:$A$502,$A484,'Commercial Evidence'!$B$3:$B$502,"Previous CBS Talks spend")+COUNTIFS('Commercial Evidence'!$A$3:$A$502,$A484,'Commercial Evidence'!$B$3:$B$502,"Sponsors student organisations")&gt;0,2,IF(COUNTIFS('Commercial Evidence'!$A$3:$A$502,$A484,'Commercial Evidence'!$B$3:$B$502,"Sponsors university activities")+COUNTIFS('Commercial Evidence'!$A$3:$A$502,$A484,'Commercial Evidence'!$B$3:$B$502,"Sponsors similar events")+COUNTIFS('Commercial Evidence'!$A$3:$A$502,$A484,'Commercial Evidence'!$B$3:$B$502,"Previous CBS Talks partner")&gt;0,1,0))))</f>
        <v/>
      </c>
      <c r="AC484" s="32" t="str">
        <f aca="false">IF($A484="","",IF(COUNT(G484,J484,M484,P484,AB484)&lt;5,"",G484+J484+M484+P484+AB484))</f>
        <v/>
      </c>
      <c r="AD484" s="32" t="str">
        <f aca="false">IF($A484="","",IF(COUNTIFS(Contacts!$A$3:$A$502,$A484,Contacts!$E$3:$E$502,"Champion",Contacts!$K$3:$K$502,"&lt;&gt;Yes",Contacts!$L$3:$L$502,"&lt;&gt;Yes")+COUNTIFS(Opportunities!$A$3:$A$502,$A484,Opportunities!$C$3:$C$502,"Won",Opportunities!$Q$3:$Q$502,"Satisfied")&gt;0,4,IF(COUNTIFS(Interactions!$B$3:$B$502,$A484,Interactions!$I$3:$I$502,"Yes",Interactions!$A$3:$A$502,"&gt;="&amp;(S_Today-S_WarmDays))&gt;0,3,IF(T484&lt;&gt;"",2,IF(COUNTIFS(Contacts!$A$3:$A$502,$A484,Contacts!$M$3:$M$502,"Yes",Contacts!$K$3:$K$502,"&lt;&gt;Yes",Contacts!$L$3:$L$502,"&lt;&gt;Yes")&gt;0,1,0)))))</f>
        <v/>
      </c>
      <c r="AE484" s="32" t="str">
        <f aca="false">IF($A484="","",IF(Z484="Yes","Do not contact",IF(AC484="","Research",IF(AND(AC484&gt;=S_FitHigh,AD484&gt;=S_AccessHigh),"Priority",IF(AC484&gt;=S_FitHigh,"Build a Path",IF(AD484&gt;=S_AccessHigh,"Quick Win","Low Priority"))))))</f>
        <v/>
      </c>
      <c r="AF484" s="33" t="str">
        <f aca="false">IF($A484="","",IF(_xlfn.MAXIFS(Interactions!$A$3:$A$502,Interactions!$B$3:$B$502,$A484)=0,"",_xlfn.MAXIFS(Interactions!$A$3:$A$502,Interactions!$B$3:$B$502,$A484)))</f>
        <v/>
      </c>
      <c r="AG484" s="32" t="str">
        <f aca="false">IF($A484="","",COUNTIFS(Opportunities!$A$3:$A$502,$A484,Opportunities!$X$3:$X$502,"Yes"))</f>
        <v/>
      </c>
      <c r="AH484" s="32" t="str">
        <f aca="false">IF($A484="","",_xlfn.TEXTJOIN(", ",TRUE(),IF(COUNTIF($A$3:$A$502,$A484)&gt;1,"Duplicate name",""),IF(OR(AND(G484=2,I484=""),AND(J484=2,L484=""),AND(M484=2,O484=""),AND(P484=2,R484="")),"Source missing for a 2",""),IF(F484="","No owner",IF(COUNTIFS(R_TeamName,F484,R_TeamActive,"No")&gt;0,"Needs new owner","")),IF(AND(V484="Yes",X484&lt;&gt;"",X484&lt;S_SemStart),"Path overdue",""),IF(AND(S484&lt;&gt;"",S484&lt;S_Today-365),"Stale research",""),IF(AND(AE484="Research",COUNTIF('Commercial Evidence'!$A$3:$A$502,$A484)=0),"Add commercial evidence","")))</f>
        <v/>
      </c>
      <c r="AI484" s="34" t="str">
        <f aca="false">IF(OR($A484="",Z484="Yes"),"",IF(AND(AE484="Priority",AG484=0,COUNTIFS(Opportunities!$A$3:$A$502,$A484,Opportunities!$Y$3:$Y$502,"Renewal due")=0),600000+(10-AC484)*1000+(4-AD484)*100+ROW()/100000,IF(V484="Yes",700000+IF(X484="",0,X484-40000)/10+ROW()/100000,IF(AND(AE484="Quick Win",U484&lt;&gt;"",AG484=0),800000+(10-AC484)*1000+ROW()/100000,IF(AND(AE484="Build a Path",COUNTIF($V$3:$V$502,"Yes")&lt;S_PathCap),900000+(10-AC484)*1000+(4-AD484)*100+ROW()/100000,"")))))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8"/>
      <c r="T485" s="27"/>
      <c r="U485" s="27"/>
      <c r="V485" s="27"/>
      <c r="W485" s="27"/>
      <c r="X485" s="28"/>
      <c r="Y485" s="27"/>
      <c r="Z485" s="27"/>
      <c r="AA485" s="27"/>
      <c r="AB485" s="32" t="str">
        <f aca="false">IF($A485="","",IF(COUNTIF('Commercial Evidence'!$A$3:$A$502,$A485)=0,"",IF(COUNTIFS('Commercial Evidence'!$A$3:$A$502,$A485,'Commercial Evidence'!$B$3:$B$502,"Previous CBS Talks spend")+COUNTIFS('Commercial Evidence'!$A$3:$A$502,$A485,'Commercial Evidence'!$B$3:$B$502,"Sponsors student organisations")&gt;0,2,IF(COUNTIFS('Commercial Evidence'!$A$3:$A$502,$A485,'Commercial Evidence'!$B$3:$B$502,"Sponsors university activities")+COUNTIFS('Commercial Evidence'!$A$3:$A$502,$A485,'Commercial Evidence'!$B$3:$B$502,"Sponsors similar events")+COUNTIFS('Commercial Evidence'!$A$3:$A$502,$A485,'Commercial Evidence'!$B$3:$B$502,"Previous CBS Talks partner")&gt;0,1,0))))</f>
        <v/>
      </c>
      <c r="AC485" s="32" t="str">
        <f aca="false">IF($A485="","",IF(COUNT(G485,J485,M485,P485,AB485)&lt;5,"",G485+J485+M485+P485+AB485))</f>
        <v/>
      </c>
      <c r="AD485" s="32" t="str">
        <f aca="false">IF($A485="","",IF(COUNTIFS(Contacts!$A$3:$A$502,$A485,Contacts!$E$3:$E$502,"Champion",Contacts!$K$3:$K$502,"&lt;&gt;Yes",Contacts!$L$3:$L$502,"&lt;&gt;Yes")+COUNTIFS(Opportunities!$A$3:$A$502,$A485,Opportunities!$C$3:$C$502,"Won",Opportunities!$Q$3:$Q$502,"Satisfied")&gt;0,4,IF(COUNTIFS(Interactions!$B$3:$B$502,$A485,Interactions!$I$3:$I$502,"Yes",Interactions!$A$3:$A$502,"&gt;="&amp;(S_Today-S_WarmDays))&gt;0,3,IF(T485&lt;&gt;"",2,IF(COUNTIFS(Contacts!$A$3:$A$502,$A485,Contacts!$M$3:$M$502,"Yes",Contacts!$K$3:$K$502,"&lt;&gt;Yes",Contacts!$L$3:$L$502,"&lt;&gt;Yes")&gt;0,1,0)))))</f>
        <v/>
      </c>
      <c r="AE485" s="32" t="str">
        <f aca="false">IF($A485="","",IF(Z485="Yes","Do not contact",IF(AC485="","Research",IF(AND(AC485&gt;=S_FitHigh,AD485&gt;=S_AccessHigh),"Priority",IF(AC485&gt;=S_FitHigh,"Build a Path",IF(AD485&gt;=S_AccessHigh,"Quick Win","Low Priority"))))))</f>
        <v/>
      </c>
      <c r="AF485" s="33" t="str">
        <f aca="false">IF($A485="","",IF(_xlfn.MAXIFS(Interactions!$A$3:$A$502,Interactions!$B$3:$B$502,$A485)=0,"",_xlfn.MAXIFS(Interactions!$A$3:$A$502,Interactions!$B$3:$B$502,$A485)))</f>
        <v/>
      </c>
      <c r="AG485" s="32" t="str">
        <f aca="false">IF($A485="","",COUNTIFS(Opportunities!$A$3:$A$502,$A485,Opportunities!$X$3:$X$502,"Yes"))</f>
        <v/>
      </c>
      <c r="AH485" s="32" t="str">
        <f aca="false">IF($A485="","",_xlfn.TEXTJOIN(", ",TRUE(),IF(COUNTIF($A$3:$A$502,$A485)&gt;1,"Duplicate name",""),IF(OR(AND(G485=2,I485=""),AND(J485=2,L485=""),AND(M485=2,O485=""),AND(P485=2,R485="")),"Source missing for a 2",""),IF(F485="","No owner",IF(COUNTIFS(R_TeamName,F485,R_TeamActive,"No")&gt;0,"Needs new owner","")),IF(AND(V485="Yes",X485&lt;&gt;"",X485&lt;S_SemStart),"Path overdue",""),IF(AND(S485&lt;&gt;"",S485&lt;S_Today-365),"Stale research",""),IF(AND(AE485="Research",COUNTIF('Commercial Evidence'!$A$3:$A$502,$A485)=0),"Add commercial evidence","")))</f>
        <v/>
      </c>
      <c r="AI485" s="34" t="str">
        <f aca="false">IF(OR($A485="",Z485="Yes"),"",IF(AND(AE485="Priority",AG485=0,COUNTIFS(Opportunities!$A$3:$A$502,$A485,Opportunities!$Y$3:$Y$502,"Renewal due")=0),600000+(10-AC485)*1000+(4-AD485)*100+ROW()/100000,IF(V485="Yes",700000+IF(X485="",0,X485-40000)/10+ROW()/100000,IF(AND(AE485="Quick Win",U485&lt;&gt;"",AG485=0),800000+(10-AC485)*1000+ROW()/100000,IF(AND(AE485="Build a Path",COUNTIF($V$3:$V$502,"Yes")&lt;S_PathCap),900000+(10-AC485)*1000+(4-AD485)*100+ROW()/100000,"")))))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8"/>
      <c r="T486" s="27"/>
      <c r="U486" s="27"/>
      <c r="V486" s="27"/>
      <c r="W486" s="27"/>
      <c r="X486" s="28"/>
      <c r="Y486" s="27"/>
      <c r="Z486" s="27"/>
      <c r="AA486" s="27"/>
      <c r="AB486" s="32" t="str">
        <f aca="false">IF($A486="","",IF(COUNTIF('Commercial Evidence'!$A$3:$A$502,$A486)=0,"",IF(COUNTIFS('Commercial Evidence'!$A$3:$A$502,$A486,'Commercial Evidence'!$B$3:$B$502,"Previous CBS Talks spend")+COUNTIFS('Commercial Evidence'!$A$3:$A$502,$A486,'Commercial Evidence'!$B$3:$B$502,"Sponsors student organisations")&gt;0,2,IF(COUNTIFS('Commercial Evidence'!$A$3:$A$502,$A486,'Commercial Evidence'!$B$3:$B$502,"Sponsors university activities")+COUNTIFS('Commercial Evidence'!$A$3:$A$502,$A486,'Commercial Evidence'!$B$3:$B$502,"Sponsors similar events")+COUNTIFS('Commercial Evidence'!$A$3:$A$502,$A486,'Commercial Evidence'!$B$3:$B$502,"Previous CBS Talks partner")&gt;0,1,0))))</f>
        <v/>
      </c>
      <c r="AC486" s="32" t="str">
        <f aca="false">IF($A486="","",IF(COUNT(G486,J486,M486,P486,AB486)&lt;5,"",G486+J486+M486+P486+AB486))</f>
        <v/>
      </c>
      <c r="AD486" s="32" t="str">
        <f aca="false">IF($A486="","",IF(COUNTIFS(Contacts!$A$3:$A$502,$A486,Contacts!$E$3:$E$502,"Champion",Contacts!$K$3:$K$502,"&lt;&gt;Yes",Contacts!$L$3:$L$502,"&lt;&gt;Yes")+COUNTIFS(Opportunities!$A$3:$A$502,$A486,Opportunities!$C$3:$C$502,"Won",Opportunities!$Q$3:$Q$502,"Satisfied")&gt;0,4,IF(COUNTIFS(Interactions!$B$3:$B$502,$A486,Interactions!$I$3:$I$502,"Yes",Interactions!$A$3:$A$502,"&gt;="&amp;(S_Today-S_WarmDays))&gt;0,3,IF(T486&lt;&gt;"",2,IF(COUNTIFS(Contacts!$A$3:$A$502,$A486,Contacts!$M$3:$M$502,"Yes",Contacts!$K$3:$K$502,"&lt;&gt;Yes",Contacts!$L$3:$L$502,"&lt;&gt;Yes")&gt;0,1,0)))))</f>
        <v/>
      </c>
      <c r="AE486" s="32" t="str">
        <f aca="false">IF($A486="","",IF(Z486="Yes","Do not contact",IF(AC486="","Research",IF(AND(AC486&gt;=S_FitHigh,AD486&gt;=S_AccessHigh),"Priority",IF(AC486&gt;=S_FitHigh,"Build a Path",IF(AD486&gt;=S_AccessHigh,"Quick Win","Low Priority"))))))</f>
        <v/>
      </c>
      <c r="AF486" s="33" t="str">
        <f aca="false">IF($A486="","",IF(_xlfn.MAXIFS(Interactions!$A$3:$A$502,Interactions!$B$3:$B$502,$A486)=0,"",_xlfn.MAXIFS(Interactions!$A$3:$A$502,Interactions!$B$3:$B$502,$A486)))</f>
        <v/>
      </c>
      <c r="AG486" s="32" t="str">
        <f aca="false">IF($A486="","",COUNTIFS(Opportunities!$A$3:$A$502,$A486,Opportunities!$X$3:$X$502,"Yes"))</f>
        <v/>
      </c>
      <c r="AH486" s="32" t="str">
        <f aca="false">IF($A486="","",_xlfn.TEXTJOIN(", ",TRUE(),IF(COUNTIF($A$3:$A$502,$A486)&gt;1,"Duplicate name",""),IF(OR(AND(G486=2,I486=""),AND(J486=2,L486=""),AND(M486=2,O486=""),AND(P486=2,R486="")),"Source missing for a 2",""),IF(F486="","No owner",IF(COUNTIFS(R_TeamName,F486,R_TeamActive,"No")&gt;0,"Needs new owner","")),IF(AND(V486="Yes",X486&lt;&gt;"",X486&lt;S_SemStart),"Path overdue",""),IF(AND(S486&lt;&gt;"",S486&lt;S_Today-365),"Stale research",""),IF(AND(AE486="Research",COUNTIF('Commercial Evidence'!$A$3:$A$502,$A486)=0),"Add commercial evidence","")))</f>
        <v/>
      </c>
      <c r="AI486" s="34" t="str">
        <f aca="false">IF(OR($A486="",Z486="Yes"),"",IF(AND(AE486="Priority",AG486=0,COUNTIFS(Opportunities!$A$3:$A$502,$A486,Opportunities!$Y$3:$Y$502,"Renewal due")=0),600000+(10-AC486)*1000+(4-AD486)*100+ROW()/100000,IF(V486="Yes",700000+IF(X486="",0,X486-40000)/10+ROW()/100000,IF(AND(AE486="Quick Win",U486&lt;&gt;"",AG486=0),800000+(10-AC486)*1000+ROW()/100000,IF(AND(AE486="Build a Path",COUNTIF($V$3:$V$502,"Yes")&lt;S_PathCap),900000+(10-AC486)*1000+(4-AD486)*100+ROW()/100000,"")))))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8"/>
      <c r="T487" s="27"/>
      <c r="U487" s="27"/>
      <c r="V487" s="27"/>
      <c r="W487" s="27"/>
      <c r="X487" s="28"/>
      <c r="Y487" s="27"/>
      <c r="Z487" s="27"/>
      <c r="AA487" s="27"/>
      <c r="AB487" s="32" t="str">
        <f aca="false">IF($A487="","",IF(COUNTIF('Commercial Evidence'!$A$3:$A$502,$A487)=0,"",IF(COUNTIFS('Commercial Evidence'!$A$3:$A$502,$A487,'Commercial Evidence'!$B$3:$B$502,"Previous CBS Talks spend")+COUNTIFS('Commercial Evidence'!$A$3:$A$502,$A487,'Commercial Evidence'!$B$3:$B$502,"Sponsors student organisations")&gt;0,2,IF(COUNTIFS('Commercial Evidence'!$A$3:$A$502,$A487,'Commercial Evidence'!$B$3:$B$502,"Sponsors university activities")+COUNTIFS('Commercial Evidence'!$A$3:$A$502,$A487,'Commercial Evidence'!$B$3:$B$502,"Sponsors similar events")+COUNTIFS('Commercial Evidence'!$A$3:$A$502,$A487,'Commercial Evidence'!$B$3:$B$502,"Previous CBS Talks partner")&gt;0,1,0))))</f>
        <v/>
      </c>
      <c r="AC487" s="32" t="str">
        <f aca="false">IF($A487="","",IF(COUNT(G487,J487,M487,P487,AB487)&lt;5,"",G487+J487+M487+P487+AB487))</f>
        <v/>
      </c>
      <c r="AD487" s="32" t="str">
        <f aca="false">IF($A487="","",IF(COUNTIFS(Contacts!$A$3:$A$502,$A487,Contacts!$E$3:$E$502,"Champion",Contacts!$K$3:$K$502,"&lt;&gt;Yes",Contacts!$L$3:$L$502,"&lt;&gt;Yes")+COUNTIFS(Opportunities!$A$3:$A$502,$A487,Opportunities!$C$3:$C$502,"Won",Opportunities!$Q$3:$Q$502,"Satisfied")&gt;0,4,IF(COUNTIFS(Interactions!$B$3:$B$502,$A487,Interactions!$I$3:$I$502,"Yes",Interactions!$A$3:$A$502,"&gt;="&amp;(S_Today-S_WarmDays))&gt;0,3,IF(T487&lt;&gt;"",2,IF(COUNTIFS(Contacts!$A$3:$A$502,$A487,Contacts!$M$3:$M$502,"Yes",Contacts!$K$3:$K$502,"&lt;&gt;Yes",Contacts!$L$3:$L$502,"&lt;&gt;Yes")&gt;0,1,0)))))</f>
        <v/>
      </c>
      <c r="AE487" s="32" t="str">
        <f aca="false">IF($A487="","",IF(Z487="Yes","Do not contact",IF(AC487="","Research",IF(AND(AC487&gt;=S_FitHigh,AD487&gt;=S_AccessHigh),"Priority",IF(AC487&gt;=S_FitHigh,"Build a Path",IF(AD487&gt;=S_AccessHigh,"Quick Win","Low Priority"))))))</f>
        <v/>
      </c>
      <c r="AF487" s="33" t="str">
        <f aca="false">IF($A487="","",IF(_xlfn.MAXIFS(Interactions!$A$3:$A$502,Interactions!$B$3:$B$502,$A487)=0,"",_xlfn.MAXIFS(Interactions!$A$3:$A$502,Interactions!$B$3:$B$502,$A487)))</f>
        <v/>
      </c>
      <c r="AG487" s="32" t="str">
        <f aca="false">IF($A487="","",COUNTIFS(Opportunities!$A$3:$A$502,$A487,Opportunities!$X$3:$X$502,"Yes"))</f>
        <v/>
      </c>
      <c r="AH487" s="32" t="str">
        <f aca="false">IF($A487="","",_xlfn.TEXTJOIN(", ",TRUE(),IF(COUNTIF($A$3:$A$502,$A487)&gt;1,"Duplicate name",""),IF(OR(AND(G487=2,I487=""),AND(J487=2,L487=""),AND(M487=2,O487=""),AND(P487=2,R487="")),"Source missing for a 2",""),IF(F487="","No owner",IF(COUNTIFS(R_TeamName,F487,R_TeamActive,"No")&gt;0,"Needs new owner","")),IF(AND(V487="Yes",X487&lt;&gt;"",X487&lt;S_SemStart),"Path overdue",""),IF(AND(S487&lt;&gt;"",S487&lt;S_Today-365),"Stale research",""),IF(AND(AE487="Research",COUNTIF('Commercial Evidence'!$A$3:$A$502,$A487)=0),"Add commercial evidence","")))</f>
        <v/>
      </c>
      <c r="AI487" s="34" t="str">
        <f aca="false">IF(OR($A487="",Z487="Yes"),"",IF(AND(AE487="Priority",AG487=0,COUNTIFS(Opportunities!$A$3:$A$502,$A487,Opportunities!$Y$3:$Y$502,"Renewal due")=0),600000+(10-AC487)*1000+(4-AD487)*100+ROW()/100000,IF(V487="Yes",700000+IF(X487="",0,X487-40000)/10+ROW()/100000,IF(AND(AE487="Quick Win",U487&lt;&gt;"",AG487=0),800000+(10-AC487)*1000+ROW()/100000,IF(AND(AE487="Build a Path",COUNTIF($V$3:$V$502,"Yes")&lt;S_PathCap),900000+(10-AC487)*1000+(4-AD487)*100+ROW()/100000,"")))))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8"/>
      <c r="T488" s="27"/>
      <c r="U488" s="27"/>
      <c r="V488" s="27"/>
      <c r="W488" s="27"/>
      <c r="X488" s="28"/>
      <c r="Y488" s="27"/>
      <c r="Z488" s="27"/>
      <c r="AA488" s="27"/>
      <c r="AB488" s="32" t="str">
        <f aca="false">IF($A488="","",IF(COUNTIF('Commercial Evidence'!$A$3:$A$502,$A488)=0,"",IF(COUNTIFS('Commercial Evidence'!$A$3:$A$502,$A488,'Commercial Evidence'!$B$3:$B$502,"Previous CBS Talks spend")+COUNTIFS('Commercial Evidence'!$A$3:$A$502,$A488,'Commercial Evidence'!$B$3:$B$502,"Sponsors student organisations")&gt;0,2,IF(COUNTIFS('Commercial Evidence'!$A$3:$A$502,$A488,'Commercial Evidence'!$B$3:$B$502,"Sponsors university activities")+COUNTIFS('Commercial Evidence'!$A$3:$A$502,$A488,'Commercial Evidence'!$B$3:$B$502,"Sponsors similar events")+COUNTIFS('Commercial Evidence'!$A$3:$A$502,$A488,'Commercial Evidence'!$B$3:$B$502,"Previous CBS Talks partner")&gt;0,1,0))))</f>
        <v/>
      </c>
      <c r="AC488" s="32" t="str">
        <f aca="false">IF($A488="","",IF(COUNT(G488,J488,M488,P488,AB488)&lt;5,"",G488+J488+M488+P488+AB488))</f>
        <v/>
      </c>
      <c r="AD488" s="32" t="str">
        <f aca="false">IF($A488="","",IF(COUNTIFS(Contacts!$A$3:$A$502,$A488,Contacts!$E$3:$E$502,"Champion",Contacts!$K$3:$K$502,"&lt;&gt;Yes",Contacts!$L$3:$L$502,"&lt;&gt;Yes")+COUNTIFS(Opportunities!$A$3:$A$502,$A488,Opportunities!$C$3:$C$502,"Won",Opportunities!$Q$3:$Q$502,"Satisfied")&gt;0,4,IF(COUNTIFS(Interactions!$B$3:$B$502,$A488,Interactions!$I$3:$I$502,"Yes",Interactions!$A$3:$A$502,"&gt;="&amp;(S_Today-S_WarmDays))&gt;0,3,IF(T488&lt;&gt;"",2,IF(COUNTIFS(Contacts!$A$3:$A$502,$A488,Contacts!$M$3:$M$502,"Yes",Contacts!$K$3:$K$502,"&lt;&gt;Yes",Contacts!$L$3:$L$502,"&lt;&gt;Yes")&gt;0,1,0)))))</f>
        <v/>
      </c>
      <c r="AE488" s="32" t="str">
        <f aca="false">IF($A488="","",IF(Z488="Yes","Do not contact",IF(AC488="","Research",IF(AND(AC488&gt;=S_FitHigh,AD488&gt;=S_AccessHigh),"Priority",IF(AC488&gt;=S_FitHigh,"Build a Path",IF(AD488&gt;=S_AccessHigh,"Quick Win","Low Priority"))))))</f>
        <v/>
      </c>
      <c r="AF488" s="33" t="str">
        <f aca="false">IF($A488="","",IF(_xlfn.MAXIFS(Interactions!$A$3:$A$502,Interactions!$B$3:$B$502,$A488)=0,"",_xlfn.MAXIFS(Interactions!$A$3:$A$502,Interactions!$B$3:$B$502,$A488)))</f>
        <v/>
      </c>
      <c r="AG488" s="32" t="str">
        <f aca="false">IF($A488="","",COUNTIFS(Opportunities!$A$3:$A$502,$A488,Opportunities!$X$3:$X$502,"Yes"))</f>
        <v/>
      </c>
      <c r="AH488" s="32" t="str">
        <f aca="false">IF($A488="","",_xlfn.TEXTJOIN(", ",TRUE(),IF(COUNTIF($A$3:$A$502,$A488)&gt;1,"Duplicate name",""),IF(OR(AND(G488=2,I488=""),AND(J488=2,L488=""),AND(M488=2,O488=""),AND(P488=2,R488="")),"Source missing for a 2",""),IF(F488="","No owner",IF(COUNTIFS(R_TeamName,F488,R_TeamActive,"No")&gt;0,"Needs new owner","")),IF(AND(V488="Yes",X488&lt;&gt;"",X488&lt;S_SemStart),"Path overdue",""),IF(AND(S488&lt;&gt;"",S488&lt;S_Today-365),"Stale research",""),IF(AND(AE488="Research",COUNTIF('Commercial Evidence'!$A$3:$A$502,$A488)=0),"Add commercial evidence","")))</f>
        <v/>
      </c>
      <c r="AI488" s="34" t="str">
        <f aca="false">IF(OR($A488="",Z488="Yes"),"",IF(AND(AE488="Priority",AG488=0,COUNTIFS(Opportunities!$A$3:$A$502,$A488,Opportunities!$Y$3:$Y$502,"Renewal due")=0),600000+(10-AC488)*1000+(4-AD488)*100+ROW()/100000,IF(V488="Yes",700000+IF(X488="",0,X488-40000)/10+ROW()/100000,IF(AND(AE488="Quick Win",U488&lt;&gt;"",AG488=0),800000+(10-AC488)*1000+ROW()/100000,IF(AND(AE488="Build a Path",COUNTIF($V$3:$V$502,"Yes")&lt;S_PathCap),900000+(10-AC488)*1000+(4-AD488)*100+ROW()/100000,"")))))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8"/>
      <c r="T489" s="27"/>
      <c r="U489" s="27"/>
      <c r="V489" s="27"/>
      <c r="W489" s="27"/>
      <c r="X489" s="28"/>
      <c r="Y489" s="27"/>
      <c r="Z489" s="27"/>
      <c r="AA489" s="27"/>
      <c r="AB489" s="32" t="str">
        <f aca="false">IF($A489="","",IF(COUNTIF('Commercial Evidence'!$A$3:$A$502,$A489)=0,"",IF(COUNTIFS('Commercial Evidence'!$A$3:$A$502,$A489,'Commercial Evidence'!$B$3:$B$502,"Previous CBS Talks spend")+COUNTIFS('Commercial Evidence'!$A$3:$A$502,$A489,'Commercial Evidence'!$B$3:$B$502,"Sponsors student organisations")&gt;0,2,IF(COUNTIFS('Commercial Evidence'!$A$3:$A$502,$A489,'Commercial Evidence'!$B$3:$B$502,"Sponsors university activities")+COUNTIFS('Commercial Evidence'!$A$3:$A$502,$A489,'Commercial Evidence'!$B$3:$B$502,"Sponsors similar events")+COUNTIFS('Commercial Evidence'!$A$3:$A$502,$A489,'Commercial Evidence'!$B$3:$B$502,"Previous CBS Talks partner")&gt;0,1,0))))</f>
        <v/>
      </c>
      <c r="AC489" s="32" t="str">
        <f aca="false">IF($A489="","",IF(COUNT(G489,J489,M489,P489,AB489)&lt;5,"",G489+J489+M489+P489+AB489))</f>
        <v/>
      </c>
      <c r="AD489" s="32" t="str">
        <f aca="false">IF($A489="","",IF(COUNTIFS(Contacts!$A$3:$A$502,$A489,Contacts!$E$3:$E$502,"Champion",Contacts!$K$3:$K$502,"&lt;&gt;Yes",Contacts!$L$3:$L$502,"&lt;&gt;Yes")+COUNTIFS(Opportunities!$A$3:$A$502,$A489,Opportunities!$C$3:$C$502,"Won",Opportunities!$Q$3:$Q$502,"Satisfied")&gt;0,4,IF(COUNTIFS(Interactions!$B$3:$B$502,$A489,Interactions!$I$3:$I$502,"Yes",Interactions!$A$3:$A$502,"&gt;="&amp;(S_Today-S_WarmDays))&gt;0,3,IF(T489&lt;&gt;"",2,IF(COUNTIFS(Contacts!$A$3:$A$502,$A489,Contacts!$M$3:$M$502,"Yes",Contacts!$K$3:$K$502,"&lt;&gt;Yes",Contacts!$L$3:$L$502,"&lt;&gt;Yes")&gt;0,1,0)))))</f>
        <v/>
      </c>
      <c r="AE489" s="32" t="str">
        <f aca="false">IF($A489="","",IF(Z489="Yes","Do not contact",IF(AC489="","Research",IF(AND(AC489&gt;=S_FitHigh,AD489&gt;=S_AccessHigh),"Priority",IF(AC489&gt;=S_FitHigh,"Build a Path",IF(AD489&gt;=S_AccessHigh,"Quick Win","Low Priority"))))))</f>
        <v/>
      </c>
      <c r="AF489" s="33" t="str">
        <f aca="false">IF($A489="","",IF(_xlfn.MAXIFS(Interactions!$A$3:$A$502,Interactions!$B$3:$B$502,$A489)=0,"",_xlfn.MAXIFS(Interactions!$A$3:$A$502,Interactions!$B$3:$B$502,$A489)))</f>
        <v/>
      </c>
      <c r="AG489" s="32" t="str">
        <f aca="false">IF($A489="","",COUNTIFS(Opportunities!$A$3:$A$502,$A489,Opportunities!$X$3:$X$502,"Yes"))</f>
        <v/>
      </c>
      <c r="AH489" s="32" t="str">
        <f aca="false">IF($A489="","",_xlfn.TEXTJOIN(", ",TRUE(),IF(COUNTIF($A$3:$A$502,$A489)&gt;1,"Duplicate name",""),IF(OR(AND(G489=2,I489=""),AND(J489=2,L489=""),AND(M489=2,O489=""),AND(P489=2,R489="")),"Source missing for a 2",""),IF(F489="","No owner",IF(COUNTIFS(R_TeamName,F489,R_TeamActive,"No")&gt;0,"Needs new owner","")),IF(AND(V489="Yes",X489&lt;&gt;"",X489&lt;S_SemStart),"Path overdue",""),IF(AND(S489&lt;&gt;"",S489&lt;S_Today-365),"Stale research",""),IF(AND(AE489="Research",COUNTIF('Commercial Evidence'!$A$3:$A$502,$A489)=0),"Add commercial evidence","")))</f>
        <v/>
      </c>
      <c r="AI489" s="34" t="str">
        <f aca="false">IF(OR($A489="",Z489="Yes"),"",IF(AND(AE489="Priority",AG489=0,COUNTIFS(Opportunities!$A$3:$A$502,$A489,Opportunities!$Y$3:$Y$502,"Renewal due")=0),600000+(10-AC489)*1000+(4-AD489)*100+ROW()/100000,IF(V489="Yes",700000+IF(X489="",0,X489-40000)/10+ROW()/100000,IF(AND(AE489="Quick Win",U489&lt;&gt;"",AG489=0),800000+(10-AC489)*1000+ROW()/100000,IF(AND(AE489="Build a Path",COUNTIF($V$3:$V$502,"Yes")&lt;S_PathCap),900000+(10-AC489)*1000+(4-AD489)*100+ROW()/100000,"")))))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8"/>
      <c r="T490" s="27"/>
      <c r="U490" s="27"/>
      <c r="V490" s="27"/>
      <c r="W490" s="27"/>
      <c r="X490" s="28"/>
      <c r="Y490" s="27"/>
      <c r="Z490" s="27"/>
      <c r="AA490" s="27"/>
      <c r="AB490" s="32" t="str">
        <f aca="false">IF($A490="","",IF(COUNTIF('Commercial Evidence'!$A$3:$A$502,$A490)=0,"",IF(COUNTIFS('Commercial Evidence'!$A$3:$A$502,$A490,'Commercial Evidence'!$B$3:$B$502,"Previous CBS Talks spend")+COUNTIFS('Commercial Evidence'!$A$3:$A$502,$A490,'Commercial Evidence'!$B$3:$B$502,"Sponsors student organisations")&gt;0,2,IF(COUNTIFS('Commercial Evidence'!$A$3:$A$502,$A490,'Commercial Evidence'!$B$3:$B$502,"Sponsors university activities")+COUNTIFS('Commercial Evidence'!$A$3:$A$502,$A490,'Commercial Evidence'!$B$3:$B$502,"Sponsors similar events")+COUNTIFS('Commercial Evidence'!$A$3:$A$502,$A490,'Commercial Evidence'!$B$3:$B$502,"Previous CBS Talks partner")&gt;0,1,0))))</f>
        <v/>
      </c>
      <c r="AC490" s="32" t="str">
        <f aca="false">IF($A490="","",IF(COUNT(G490,J490,M490,P490,AB490)&lt;5,"",G490+J490+M490+P490+AB490))</f>
        <v/>
      </c>
      <c r="AD490" s="32" t="str">
        <f aca="false">IF($A490="","",IF(COUNTIFS(Contacts!$A$3:$A$502,$A490,Contacts!$E$3:$E$502,"Champion",Contacts!$K$3:$K$502,"&lt;&gt;Yes",Contacts!$L$3:$L$502,"&lt;&gt;Yes")+COUNTIFS(Opportunities!$A$3:$A$502,$A490,Opportunities!$C$3:$C$502,"Won",Opportunities!$Q$3:$Q$502,"Satisfied")&gt;0,4,IF(COUNTIFS(Interactions!$B$3:$B$502,$A490,Interactions!$I$3:$I$502,"Yes",Interactions!$A$3:$A$502,"&gt;="&amp;(S_Today-S_WarmDays))&gt;0,3,IF(T490&lt;&gt;"",2,IF(COUNTIFS(Contacts!$A$3:$A$502,$A490,Contacts!$M$3:$M$502,"Yes",Contacts!$K$3:$K$502,"&lt;&gt;Yes",Contacts!$L$3:$L$502,"&lt;&gt;Yes")&gt;0,1,0)))))</f>
        <v/>
      </c>
      <c r="AE490" s="32" t="str">
        <f aca="false">IF($A490="","",IF(Z490="Yes","Do not contact",IF(AC490="","Research",IF(AND(AC490&gt;=S_FitHigh,AD490&gt;=S_AccessHigh),"Priority",IF(AC490&gt;=S_FitHigh,"Build a Path",IF(AD490&gt;=S_AccessHigh,"Quick Win","Low Priority"))))))</f>
        <v/>
      </c>
      <c r="AF490" s="33" t="str">
        <f aca="false">IF($A490="","",IF(_xlfn.MAXIFS(Interactions!$A$3:$A$502,Interactions!$B$3:$B$502,$A490)=0,"",_xlfn.MAXIFS(Interactions!$A$3:$A$502,Interactions!$B$3:$B$502,$A490)))</f>
        <v/>
      </c>
      <c r="AG490" s="32" t="str">
        <f aca="false">IF($A490="","",COUNTIFS(Opportunities!$A$3:$A$502,$A490,Opportunities!$X$3:$X$502,"Yes"))</f>
        <v/>
      </c>
      <c r="AH490" s="32" t="str">
        <f aca="false">IF($A490="","",_xlfn.TEXTJOIN(", ",TRUE(),IF(COUNTIF($A$3:$A$502,$A490)&gt;1,"Duplicate name",""),IF(OR(AND(G490=2,I490=""),AND(J490=2,L490=""),AND(M490=2,O490=""),AND(P490=2,R490="")),"Source missing for a 2",""),IF(F490="","No owner",IF(COUNTIFS(R_TeamName,F490,R_TeamActive,"No")&gt;0,"Needs new owner","")),IF(AND(V490="Yes",X490&lt;&gt;"",X490&lt;S_SemStart),"Path overdue",""),IF(AND(S490&lt;&gt;"",S490&lt;S_Today-365),"Stale research",""),IF(AND(AE490="Research",COUNTIF('Commercial Evidence'!$A$3:$A$502,$A490)=0),"Add commercial evidence","")))</f>
        <v/>
      </c>
      <c r="AI490" s="34" t="str">
        <f aca="false">IF(OR($A490="",Z490="Yes"),"",IF(AND(AE490="Priority",AG490=0,COUNTIFS(Opportunities!$A$3:$A$502,$A490,Opportunities!$Y$3:$Y$502,"Renewal due")=0),600000+(10-AC490)*1000+(4-AD490)*100+ROW()/100000,IF(V490="Yes",700000+IF(X490="",0,X490-40000)/10+ROW()/100000,IF(AND(AE490="Quick Win",U490&lt;&gt;"",AG490=0),800000+(10-AC490)*1000+ROW()/100000,IF(AND(AE490="Build a Path",COUNTIF($V$3:$V$502,"Yes")&lt;S_PathCap),900000+(10-AC490)*1000+(4-AD490)*100+ROW()/100000,"")))))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8"/>
      <c r="T491" s="27"/>
      <c r="U491" s="27"/>
      <c r="V491" s="27"/>
      <c r="W491" s="27"/>
      <c r="X491" s="28"/>
      <c r="Y491" s="27"/>
      <c r="Z491" s="27"/>
      <c r="AA491" s="27"/>
      <c r="AB491" s="32" t="str">
        <f aca="false">IF($A491="","",IF(COUNTIF('Commercial Evidence'!$A$3:$A$502,$A491)=0,"",IF(COUNTIFS('Commercial Evidence'!$A$3:$A$502,$A491,'Commercial Evidence'!$B$3:$B$502,"Previous CBS Talks spend")+COUNTIFS('Commercial Evidence'!$A$3:$A$502,$A491,'Commercial Evidence'!$B$3:$B$502,"Sponsors student organisations")&gt;0,2,IF(COUNTIFS('Commercial Evidence'!$A$3:$A$502,$A491,'Commercial Evidence'!$B$3:$B$502,"Sponsors university activities")+COUNTIFS('Commercial Evidence'!$A$3:$A$502,$A491,'Commercial Evidence'!$B$3:$B$502,"Sponsors similar events")+COUNTIFS('Commercial Evidence'!$A$3:$A$502,$A491,'Commercial Evidence'!$B$3:$B$502,"Previous CBS Talks partner")&gt;0,1,0))))</f>
        <v/>
      </c>
      <c r="AC491" s="32" t="str">
        <f aca="false">IF($A491="","",IF(COUNT(G491,J491,M491,P491,AB491)&lt;5,"",G491+J491+M491+P491+AB491))</f>
        <v/>
      </c>
      <c r="AD491" s="32" t="str">
        <f aca="false">IF($A491="","",IF(COUNTIFS(Contacts!$A$3:$A$502,$A491,Contacts!$E$3:$E$502,"Champion",Contacts!$K$3:$K$502,"&lt;&gt;Yes",Contacts!$L$3:$L$502,"&lt;&gt;Yes")+COUNTIFS(Opportunities!$A$3:$A$502,$A491,Opportunities!$C$3:$C$502,"Won",Opportunities!$Q$3:$Q$502,"Satisfied")&gt;0,4,IF(COUNTIFS(Interactions!$B$3:$B$502,$A491,Interactions!$I$3:$I$502,"Yes",Interactions!$A$3:$A$502,"&gt;="&amp;(S_Today-S_WarmDays))&gt;0,3,IF(T491&lt;&gt;"",2,IF(COUNTIFS(Contacts!$A$3:$A$502,$A491,Contacts!$M$3:$M$502,"Yes",Contacts!$K$3:$K$502,"&lt;&gt;Yes",Contacts!$L$3:$L$502,"&lt;&gt;Yes")&gt;0,1,0)))))</f>
        <v/>
      </c>
      <c r="AE491" s="32" t="str">
        <f aca="false">IF($A491="","",IF(Z491="Yes","Do not contact",IF(AC491="","Research",IF(AND(AC491&gt;=S_FitHigh,AD491&gt;=S_AccessHigh),"Priority",IF(AC491&gt;=S_FitHigh,"Build a Path",IF(AD491&gt;=S_AccessHigh,"Quick Win","Low Priority"))))))</f>
        <v/>
      </c>
      <c r="AF491" s="33" t="str">
        <f aca="false">IF($A491="","",IF(_xlfn.MAXIFS(Interactions!$A$3:$A$502,Interactions!$B$3:$B$502,$A491)=0,"",_xlfn.MAXIFS(Interactions!$A$3:$A$502,Interactions!$B$3:$B$502,$A491)))</f>
        <v/>
      </c>
      <c r="AG491" s="32" t="str">
        <f aca="false">IF($A491="","",COUNTIFS(Opportunities!$A$3:$A$502,$A491,Opportunities!$X$3:$X$502,"Yes"))</f>
        <v/>
      </c>
      <c r="AH491" s="32" t="str">
        <f aca="false">IF($A491="","",_xlfn.TEXTJOIN(", ",TRUE(),IF(COUNTIF($A$3:$A$502,$A491)&gt;1,"Duplicate name",""),IF(OR(AND(G491=2,I491=""),AND(J491=2,L491=""),AND(M491=2,O491=""),AND(P491=2,R491="")),"Source missing for a 2",""),IF(F491="","No owner",IF(COUNTIFS(R_TeamName,F491,R_TeamActive,"No")&gt;0,"Needs new owner","")),IF(AND(V491="Yes",X491&lt;&gt;"",X491&lt;S_SemStart),"Path overdue",""),IF(AND(S491&lt;&gt;"",S491&lt;S_Today-365),"Stale research",""),IF(AND(AE491="Research",COUNTIF('Commercial Evidence'!$A$3:$A$502,$A491)=0),"Add commercial evidence","")))</f>
        <v/>
      </c>
      <c r="AI491" s="34" t="str">
        <f aca="false">IF(OR($A491="",Z491="Yes"),"",IF(AND(AE491="Priority",AG491=0,COUNTIFS(Opportunities!$A$3:$A$502,$A491,Opportunities!$Y$3:$Y$502,"Renewal due")=0),600000+(10-AC491)*1000+(4-AD491)*100+ROW()/100000,IF(V491="Yes",700000+IF(X491="",0,X491-40000)/10+ROW()/100000,IF(AND(AE491="Quick Win",U491&lt;&gt;"",AG491=0),800000+(10-AC491)*1000+ROW()/100000,IF(AND(AE491="Build a Path",COUNTIF($V$3:$V$502,"Yes")&lt;S_PathCap),900000+(10-AC491)*1000+(4-AD491)*100+ROW()/100000,"")))))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8"/>
      <c r="T492" s="27"/>
      <c r="U492" s="27"/>
      <c r="V492" s="27"/>
      <c r="W492" s="27"/>
      <c r="X492" s="28"/>
      <c r="Y492" s="27"/>
      <c r="Z492" s="27"/>
      <c r="AA492" s="27"/>
      <c r="AB492" s="32" t="str">
        <f aca="false">IF($A492="","",IF(COUNTIF('Commercial Evidence'!$A$3:$A$502,$A492)=0,"",IF(COUNTIFS('Commercial Evidence'!$A$3:$A$502,$A492,'Commercial Evidence'!$B$3:$B$502,"Previous CBS Talks spend")+COUNTIFS('Commercial Evidence'!$A$3:$A$502,$A492,'Commercial Evidence'!$B$3:$B$502,"Sponsors student organisations")&gt;0,2,IF(COUNTIFS('Commercial Evidence'!$A$3:$A$502,$A492,'Commercial Evidence'!$B$3:$B$502,"Sponsors university activities")+COUNTIFS('Commercial Evidence'!$A$3:$A$502,$A492,'Commercial Evidence'!$B$3:$B$502,"Sponsors similar events")+COUNTIFS('Commercial Evidence'!$A$3:$A$502,$A492,'Commercial Evidence'!$B$3:$B$502,"Previous CBS Talks partner")&gt;0,1,0))))</f>
        <v/>
      </c>
      <c r="AC492" s="32" t="str">
        <f aca="false">IF($A492="","",IF(COUNT(G492,J492,M492,P492,AB492)&lt;5,"",G492+J492+M492+P492+AB492))</f>
        <v/>
      </c>
      <c r="AD492" s="32" t="str">
        <f aca="false">IF($A492="","",IF(COUNTIFS(Contacts!$A$3:$A$502,$A492,Contacts!$E$3:$E$502,"Champion",Contacts!$K$3:$K$502,"&lt;&gt;Yes",Contacts!$L$3:$L$502,"&lt;&gt;Yes")+COUNTIFS(Opportunities!$A$3:$A$502,$A492,Opportunities!$C$3:$C$502,"Won",Opportunities!$Q$3:$Q$502,"Satisfied")&gt;0,4,IF(COUNTIFS(Interactions!$B$3:$B$502,$A492,Interactions!$I$3:$I$502,"Yes",Interactions!$A$3:$A$502,"&gt;="&amp;(S_Today-S_WarmDays))&gt;0,3,IF(T492&lt;&gt;"",2,IF(COUNTIFS(Contacts!$A$3:$A$502,$A492,Contacts!$M$3:$M$502,"Yes",Contacts!$K$3:$K$502,"&lt;&gt;Yes",Contacts!$L$3:$L$502,"&lt;&gt;Yes")&gt;0,1,0)))))</f>
        <v/>
      </c>
      <c r="AE492" s="32" t="str">
        <f aca="false">IF($A492="","",IF(Z492="Yes","Do not contact",IF(AC492="","Research",IF(AND(AC492&gt;=S_FitHigh,AD492&gt;=S_AccessHigh),"Priority",IF(AC492&gt;=S_FitHigh,"Build a Path",IF(AD492&gt;=S_AccessHigh,"Quick Win","Low Priority"))))))</f>
        <v/>
      </c>
      <c r="AF492" s="33" t="str">
        <f aca="false">IF($A492="","",IF(_xlfn.MAXIFS(Interactions!$A$3:$A$502,Interactions!$B$3:$B$502,$A492)=0,"",_xlfn.MAXIFS(Interactions!$A$3:$A$502,Interactions!$B$3:$B$502,$A492)))</f>
        <v/>
      </c>
      <c r="AG492" s="32" t="str">
        <f aca="false">IF($A492="","",COUNTIFS(Opportunities!$A$3:$A$502,$A492,Opportunities!$X$3:$X$502,"Yes"))</f>
        <v/>
      </c>
      <c r="AH492" s="32" t="str">
        <f aca="false">IF($A492="","",_xlfn.TEXTJOIN(", ",TRUE(),IF(COUNTIF($A$3:$A$502,$A492)&gt;1,"Duplicate name",""),IF(OR(AND(G492=2,I492=""),AND(J492=2,L492=""),AND(M492=2,O492=""),AND(P492=2,R492="")),"Source missing for a 2",""),IF(F492="","No owner",IF(COUNTIFS(R_TeamName,F492,R_TeamActive,"No")&gt;0,"Needs new owner","")),IF(AND(V492="Yes",X492&lt;&gt;"",X492&lt;S_SemStart),"Path overdue",""),IF(AND(S492&lt;&gt;"",S492&lt;S_Today-365),"Stale research",""),IF(AND(AE492="Research",COUNTIF('Commercial Evidence'!$A$3:$A$502,$A492)=0),"Add commercial evidence","")))</f>
        <v/>
      </c>
      <c r="AI492" s="34" t="str">
        <f aca="false">IF(OR($A492="",Z492="Yes"),"",IF(AND(AE492="Priority",AG492=0,COUNTIFS(Opportunities!$A$3:$A$502,$A492,Opportunities!$Y$3:$Y$502,"Renewal due")=0),600000+(10-AC492)*1000+(4-AD492)*100+ROW()/100000,IF(V492="Yes",700000+IF(X492="",0,X492-40000)/10+ROW()/100000,IF(AND(AE492="Quick Win",U492&lt;&gt;"",AG492=0),800000+(10-AC492)*1000+ROW()/100000,IF(AND(AE492="Build a Path",COUNTIF($V$3:$V$502,"Yes")&lt;S_PathCap),900000+(10-AC492)*1000+(4-AD492)*100+ROW()/100000,"")))))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8"/>
      <c r="T493" s="27"/>
      <c r="U493" s="27"/>
      <c r="V493" s="27"/>
      <c r="W493" s="27"/>
      <c r="X493" s="28"/>
      <c r="Y493" s="27"/>
      <c r="Z493" s="27"/>
      <c r="AA493" s="27"/>
      <c r="AB493" s="32" t="str">
        <f aca="false">IF($A493="","",IF(COUNTIF('Commercial Evidence'!$A$3:$A$502,$A493)=0,"",IF(COUNTIFS('Commercial Evidence'!$A$3:$A$502,$A493,'Commercial Evidence'!$B$3:$B$502,"Previous CBS Talks spend")+COUNTIFS('Commercial Evidence'!$A$3:$A$502,$A493,'Commercial Evidence'!$B$3:$B$502,"Sponsors student organisations")&gt;0,2,IF(COUNTIFS('Commercial Evidence'!$A$3:$A$502,$A493,'Commercial Evidence'!$B$3:$B$502,"Sponsors university activities")+COUNTIFS('Commercial Evidence'!$A$3:$A$502,$A493,'Commercial Evidence'!$B$3:$B$502,"Sponsors similar events")+COUNTIFS('Commercial Evidence'!$A$3:$A$502,$A493,'Commercial Evidence'!$B$3:$B$502,"Previous CBS Talks partner")&gt;0,1,0))))</f>
        <v/>
      </c>
      <c r="AC493" s="32" t="str">
        <f aca="false">IF($A493="","",IF(COUNT(G493,J493,M493,P493,AB493)&lt;5,"",G493+J493+M493+P493+AB493))</f>
        <v/>
      </c>
      <c r="AD493" s="32" t="str">
        <f aca="false">IF($A493="","",IF(COUNTIFS(Contacts!$A$3:$A$502,$A493,Contacts!$E$3:$E$502,"Champion",Contacts!$K$3:$K$502,"&lt;&gt;Yes",Contacts!$L$3:$L$502,"&lt;&gt;Yes")+COUNTIFS(Opportunities!$A$3:$A$502,$A493,Opportunities!$C$3:$C$502,"Won",Opportunities!$Q$3:$Q$502,"Satisfied")&gt;0,4,IF(COUNTIFS(Interactions!$B$3:$B$502,$A493,Interactions!$I$3:$I$502,"Yes",Interactions!$A$3:$A$502,"&gt;="&amp;(S_Today-S_WarmDays))&gt;0,3,IF(T493&lt;&gt;"",2,IF(COUNTIFS(Contacts!$A$3:$A$502,$A493,Contacts!$M$3:$M$502,"Yes",Contacts!$K$3:$K$502,"&lt;&gt;Yes",Contacts!$L$3:$L$502,"&lt;&gt;Yes")&gt;0,1,0)))))</f>
        <v/>
      </c>
      <c r="AE493" s="32" t="str">
        <f aca="false">IF($A493="","",IF(Z493="Yes","Do not contact",IF(AC493="","Research",IF(AND(AC493&gt;=S_FitHigh,AD493&gt;=S_AccessHigh),"Priority",IF(AC493&gt;=S_FitHigh,"Build a Path",IF(AD493&gt;=S_AccessHigh,"Quick Win","Low Priority"))))))</f>
        <v/>
      </c>
      <c r="AF493" s="33" t="str">
        <f aca="false">IF($A493="","",IF(_xlfn.MAXIFS(Interactions!$A$3:$A$502,Interactions!$B$3:$B$502,$A493)=0,"",_xlfn.MAXIFS(Interactions!$A$3:$A$502,Interactions!$B$3:$B$502,$A493)))</f>
        <v/>
      </c>
      <c r="AG493" s="32" t="str">
        <f aca="false">IF($A493="","",COUNTIFS(Opportunities!$A$3:$A$502,$A493,Opportunities!$X$3:$X$502,"Yes"))</f>
        <v/>
      </c>
      <c r="AH493" s="32" t="str">
        <f aca="false">IF($A493="","",_xlfn.TEXTJOIN(", ",TRUE(),IF(COUNTIF($A$3:$A$502,$A493)&gt;1,"Duplicate name",""),IF(OR(AND(G493=2,I493=""),AND(J493=2,L493=""),AND(M493=2,O493=""),AND(P493=2,R493="")),"Source missing for a 2",""),IF(F493="","No owner",IF(COUNTIFS(R_TeamName,F493,R_TeamActive,"No")&gt;0,"Needs new owner","")),IF(AND(V493="Yes",X493&lt;&gt;"",X493&lt;S_SemStart),"Path overdue",""),IF(AND(S493&lt;&gt;"",S493&lt;S_Today-365),"Stale research",""),IF(AND(AE493="Research",COUNTIF('Commercial Evidence'!$A$3:$A$502,$A493)=0),"Add commercial evidence","")))</f>
        <v/>
      </c>
      <c r="AI493" s="34" t="str">
        <f aca="false">IF(OR($A493="",Z493="Yes"),"",IF(AND(AE493="Priority",AG493=0,COUNTIFS(Opportunities!$A$3:$A$502,$A493,Opportunities!$Y$3:$Y$502,"Renewal due")=0),600000+(10-AC493)*1000+(4-AD493)*100+ROW()/100000,IF(V493="Yes",700000+IF(X493="",0,X493-40000)/10+ROW()/100000,IF(AND(AE493="Quick Win",U493&lt;&gt;"",AG493=0),800000+(10-AC493)*1000+ROW()/100000,IF(AND(AE493="Build a Path",COUNTIF($V$3:$V$502,"Yes")&lt;S_PathCap),900000+(10-AC493)*1000+(4-AD493)*100+ROW()/100000,"")))))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8"/>
      <c r="T494" s="27"/>
      <c r="U494" s="27"/>
      <c r="V494" s="27"/>
      <c r="W494" s="27"/>
      <c r="X494" s="28"/>
      <c r="Y494" s="27"/>
      <c r="Z494" s="27"/>
      <c r="AA494" s="27"/>
      <c r="AB494" s="32" t="str">
        <f aca="false">IF($A494="","",IF(COUNTIF('Commercial Evidence'!$A$3:$A$502,$A494)=0,"",IF(COUNTIFS('Commercial Evidence'!$A$3:$A$502,$A494,'Commercial Evidence'!$B$3:$B$502,"Previous CBS Talks spend")+COUNTIFS('Commercial Evidence'!$A$3:$A$502,$A494,'Commercial Evidence'!$B$3:$B$502,"Sponsors student organisations")&gt;0,2,IF(COUNTIFS('Commercial Evidence'!$A$3:$A$502,$A494,'Commercial Evidence'!$B$3:$B$502,"Sponsors university activities")+COUNTIFS('Commercial Evidence'!$A$3:$A$502,$A494,'Commercial Evidence'!$B$3:$B$502,"Sponsors similar events")+COUNTIFS('Commercial Evidence'!$A$3:$A$502,$A494,'Commercial Evidence'!$B$3:$B$502,"Previous CBS Talks partner")&gt;0,1,0))))</f>
        <v/>
      </c>
      <c r="AC494" s="32" t="str">
        <f aca="false">IF($A494="","",IF(COUNT(G494,J494,M494,P494,AB494)&lt;5,"",G494+J494+M494+P494+AB494))</f>
        <v/>
      </c>
      <c r="AD494" s="32" t="str">
        <f aca="false">IF($A494="","",IF(COUNTIFS(Contacts!$A$3:$A$502,$A494,Contacts!$E$3:$E$502,"Champion",Contacts!$K$3:$K$502,"&lt;&gt;Yes",Contacts!$L$3:$L$502,"&lt;&gt;Yes")+COUNTIFS(Opportunities!$A$3:$A$502,$A494,Opportunities!$C$3:$C$502,"Won",Opportunities!$Q$3:$Q$502,"Satisfied")&gt;0,4,IF(COUNTIFS(Interactions!$B$3:$B$502,$A494,Interactions!$I$3:$I$502,"Yes",Interactions!$A$3:$A$502,"&gt;="&amp;(S_Today-S_WarmDays))&gt;0,3,IF(T494&lt;&gt;"",2,IF(COUNTIFS(Contacts!$A$3:$A$502,$A494,Contacts!$M$3:$M$502,"Yes",Contacts!$K$3:$K$502,"&lt;&gt;Yes",Contacts!$L$3:$L$502,"&lt;&gt;Yes")&gt;0,1,0)))))</f>
        <v/>
      </c>
      <c r="AE494" s="32" t="str">
        <f aca="false">IF($A494="","",IF(Z494="Yes","Do not contact",IF(AC494="","Research",IF(AND(AC494&gt;=S_FitHigh,AD494&gt;=S_AccessHigh),"Priority",IF(AC494&gt;=S_FitHigh,"Build a Path",IF(AD494&gt;=S_AccessHigh,"Quick Win","Low Priority"))))))</f>
        <v/>
      </c>
      <c r="AF494" s="33" t="str">
        <f aca="false">IF($A494="","",IF(_xlfn.MAXIFS(Interactions!$A$3:$A$502,Interactions!$B$3:$B$502,$A494)=0,"",_xlfn.MAXIFS(Interactions!$A$3:$A$502,Interactions!$B$3:$B$502,$A494)))</f>
        <v/>
      </c>
      <c r="AG494" s="32" t="str">
        <f aca="false">IF($A494="","",COUNTIFS(Opportunities!$A$3:$A$502,$A494,Opportunities!$X$3:$X$502,"Yes"))</f>
        <v/>
      </c>
      <c r="AH494" s="32" t="str">
        <f aca="false">IF($A494="","",_xlfn.TEXTJOIN(", ",TRUE(),IF(COUNTIF($A$3:$A$502,$A494)&gt;1,"Duplicate name",""),IF(OR(AND(G494=2,I494=""),AND(J494=2,L494=""),AND(M494=2,O494=""),AND(P494=2,R494="")),"Source missing for a 2",""),IF(F494="","No owner",IF(COUNTIFS(R_TeamName,F494,R_TeamActive,"No")&gt;0,"Needs new owner","")),IF(AND(V494="Yes",X494&lt;&gt;"",X494&lt;S_SemStart),"Path overdue",""),IF(AND(S494&lt;&gt;"",S494&lt;S_Today-365),"Stale research",""),IF(AND(AE494="Research",COUNTIF('Commercial Evidence'!$A$3:$A$502,$A494)=0),"Add commercial evidence","")))</f>
        <v/>
      </c>
      <c r="AI494" s="34" t="str">
        <f aca="false">IF(OR($A494="",Z494="Yes"),"",IF(AND(AE494="Priority",AG494=0,COUNTIFS(Opportunities!$A$3:$A$502,$A494,Opportunities!$Y$3:$Y$502,"Renewal due")=0),600000+(10-AC494)*1000+(4-AD494)*100+ROW()/100000,IF(V494="Yes",700000+IF(X494="",0,X494-40000)/10+ROW()/100000,IF(AND(AE494="Quick Win",U494&lt;&gt;"",AG494=0),800000+(10-AC494)*1000+ROW()/100000,IF(AND(AE494="Build a Path",COUNTIF($V$3:$V$502,"Yes")&lt;S_PathCap),900000+(10-AC494)*1000+(4-AD494)*100+ROW()/100000,"")))))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8"/>
      <c r="T495" s="27"/>
      <c r="U495" s="27"/>
      <c r="V495" s="27"/>
      <c r="W495" s="27"/>
      <c r="X495" s="28"/>
      <c r="Y495" s="27"/>
      <c r="Z495" s="27"/>
      <c r="AA495" s="27"/>
      <c r="AB495" s="32" t="str">
        <f aca="false">IF($A495="","",IF(COUNTIF('Commercial Evidence'!$A$3:$A$502,$A495)=0,"",IF(COUNTIFS('Commercial Evidence'!$A$3:$A$502,$A495,'Commercial Evidence'!$B$3:$B$502,"Previous CBS Talks spend")+COUNTIFS('Commercial Evidence'!$A$3:$A$502,$A495,'Commercial Evidence'!$B$3:$B$502,"Sponsors student organisations")&gt;0,2,IF(COUNTIFS('Commercial Evidence'!$A$3:$A$502,$A495,'Commercial Evidence'!$B$3:$B$502,"Sponsors university activities")+COUNTIFS('Commercial Evidence'!$A$3:$A$502,$A495,'Commercial Evidence'!$B$3:$B$502,"Sponsors similar events")+COUNTIFS('Commercial Evidence'!$A$3:$A$502,$A495,'Commercial Evidence'!$B$3:$B$502,"Previous CBS Talks partner")&gt;0,1,0))))</f>
        <v/>
      </c>
      <c r="AC495" s="32" t="str">
        <f aca="false">IF($A495="","",IF(COUNT(G495,J495,M495,P495,AB495)&lt;5,"",G495+J495+M495+P495+AB495))</f>
        <v/>
      </c>
      <c r="AD495" s="32" t="str">
        <f aca="false">IF($A495="","",IF(COUNTIFS(Contacts!$A$3:$A$502,$A495,Contacts!$E$3:$E$502,"Champion",Contacts!$K$3:$K$502,"&lt;&gt;Yes",Contacts!$L$3:$L$502,"&lt;&gt;Yes")+COUNTIFS(Opportunities!$A$3:$A$502,$A495,Opportunities!$C$3:$C$502,"Won",Opportunities!$Q$3:$Q$502,"Satisfied")&gt;0,4,IF(COUNTIFS(Interactions!$B$3:$B$502,$A495,Interactions!$I$3:$I$502,"Yes",Interactions!$A$3:$A$502,"&gt;="&amp;(S_Today-S_WarmDays))&gt;0,3,IF(T495&lt;&gt;"",2,IF(COUNTIFS(Contacts!$A$3:$A$502,$A495,Contacts!$M$3:$M$502,"Yes",Contacts!$K$3:$K$502,"&lt;&gt;Yes",Contacts!$L$3:$L$502,"&lt;&gt;Yes")&gt;0,1,0)))))</f>
        <v/>
      </c>
      <c r="AE495" s="32" t="str">
        <f aca="false">IF($A495="","",IF(Z495="Yes","Do not contact",IF(AC495="","Research",IF(AND(AC495&gt;=S_FitHigh,AD495&gt;=S_AccessHigh),"Priority",IF(AC495&gt;=S_FitHigh,"Build a Path",IF(AD495&gt;=S_AccessHigh,"Quick Win","Low Priority"))))))</f>
        <v/>
      </c>
      <c r="AF495" s="33" t="str">
        <f aca="false">IF($A495="","",IF(_xlfn.MAXIFS(Interactions!$A$3:$A$502,Interactions!$B$3:$B$502,$A495)=0,"",_xlfn.MAXIFS(Interactions!$A$3:$A$502,Interactions!$B$3:$B$502,$A495)))</f>
        <v/>
      </c>
      <c r="AG495" s="32" t="str">
        <f aca="false">IF($A495="","",COUNTIFS(Opportunities!$A$3:$A$502,$A495,Opportunities!$X$3:$X$502,"Yes"))</f>
        <v/>
      </c>
      <c r="AH495" s="32" t="str">
        <f aca="false">IF($A495="","",_xlfn.TEXTJOIN(", ",TRUE(),IF(COUNTIF($A$3:$A$502,$A495)&gt;1,"Duplicate name",""),IF(OR(AND(G495=2,I495=""),AND(J495=2,L495=""),AND(M495=2,O495=""),AND(P495=2,R495="")),"Source missing for a 2",""),IF(F495="","No owner",IF(COUNTIFS(R_TeamName,F495,R_TeamActive,"No")&gt;0,"Needs new owner","")),IF(AND(V495="Yes",X495&lt;&gt;"",X495&lt;S_SemStart),"Path overdue",""),IF(AND(S495&lt;&gt;"",S495&lt;S_Today-365),"Stale research",""),IF(AND(AE495="Research",COUNTIF('Commercial Evidence'!$A$3:$A$502,$A495)=0),"Add commercial evidence","")))</f>
        <v/>
      </c>
      <c r="AI495" s="34" t="str">
        <f aca="false">IF(OR($A495="",Z495="Yes"),"",IF(AND(AE495="Priority",AG495=0,COUNTIFS(Opportunities!$A$3:$A$502,$A495,Opportunities!$Y$3:$Y$502,"Renewal due")=0),600000+(10-AC495)*1000+(4-AD495)*100+ROW()/100000,IF(V495="Yes",700000+IF(X495="",0,X495-40000)/10+ROW()/100000,IF(AND(AE495="Quick Win",U495&lt;&gt;"",AG495=0),800000+(10-AC495)*1000+ROW()/100000,IF(AND(AE495="Build a Path",COUNTIF($V$3:$V$502,"Yes")&lt;S_PathCap),900000+(10-AC495)*1000+(4-AD495)*100+ROW()/100000,"")))))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8"/>
      <c r="T496" s="27"/>
      <c r="U496" s="27"/>
      <c r="V496" s="27"/>
      <c r="W496" s="27"/>
      <c r="X496" s="28"/>
      <c r="Y496" s="27"/>
      <c r="Z496" s="27"/>
      <c r="AA496" s="27"/>
      <c r="AB496" s="32" t="str">
        <f aca="false">IF($A496="","",IF(COUNTIF('Commercial Evidence'!$A$3:$A$502,$A496)=0,"",IF(COUNTIFS('Commercial Evidence'!$A$3:$A$502,$A496,'Commercial Evidence'!$B$3:$B$502,"Previous CBS Talks spend")+COUNTIFS('Commercial Evidence'!$A$3:$A$502,$A496,'Commercial Evidence'!$B$3:$B$502,"Sponsors student organisations")&gt;0,2,IF(COUNTIFS('Commercial Evidence'!$A$3:$A$502,$A496,'Commercial Evidence'!$B$3:$B$502,"Sponsors university activities")+COUNTIFS('Commercial Evidence'!$A$3:$A$502,$A496,'Commercial Evidence'!$B$3:$B$502,"Sponsors similar events")+COUNTIFS('Commercial Evidence'!$A$3:$A$502,$A496,'Commercial Evidence'!$B$3:$B$502,"Previous CBS Talks partner")&gt;0,1,0))))</f>
        <v/>
      </c>
      <c r="AC496" s="32" t="str">
        <f aca="false">IF($A496="","",IF(COUNT(G496,J496,M496,P496,AB496)&lt;5,"",G496+J496+M496+P496+AB496))</f>
        <v/>
      </c>
      <c r="AD496" s="32" t="str">
        <f aca="false">IF($A496="","",IF(COUNTIFS(Contacts!$A$3:$A$502,$A496,Contacts!$E$3:$E$502,"Champion",Contacts!$K$3:$K$502,"&lt;&gt;Yes",Contacts!$L$3:$L$502,"&lt;&gt;Yes")+COUNTIFS(Opportunities!$A$3:$A$502,$A496,Opportunities!$C$3:$C$502,"Won",Opportunities!$Q$3:$Q$502,"Satisfied")&gt;0,4,IF(COUNTIFS(Interactions!$B$3:$B$502,$A496,Interactions!$I$3:$I$502,"Yes",Interactions!$A$3:$A$502,"&gt;="&amp;(S_Today-S_WarmDays))&gt;0,3,IF(T496&lt;&gt;"",2,IF(COUNTIFS(Contacts!$A$3:$A$502,$A496,Contacts!$M$3:$M$502,"Yes",Contacts!$K$3:$K$502,"&lt;&gt;Yes",Contacts!$L$3:$L$502,"&lt;&gt;Yes")&gt;0,1,0)))))</f>
        <v/>
      </c>
      <c r="AE496" s="32" t="str">
        <f aca="false">IF($A496="","",IF(Z496="Yes","Do not contact",IF(AC496="","Research",IF(AND(AC496&gt;=S_FitHigh,AD496&gt;=S_AccessHigh),"Priority",IF(AC496&gt;=S_FitHigh,"Build a Path",IF(AD496&gt;=S_AccessHigh,"Quick Win","Low Priority"))))))</f>
        <v/>
      </c>
      <c r="AF496" s="33" t="str">
        <f aca="false">IF($A496="","",IF(_xlfn.MAXIFS(Interactions!$A$3:$A$502,Interactions!$B$3:$B$502,$A496)=0,"",_xlfn.MAXIFS(Interactions!$A$3:$A$502,Interactions!$B$3:$B$502,$A496)))</f>
        <v/>
      </c>
      <c r="AG496" s="32" t="str">
        <f aca="false">IF($A496="","",COUNTIFS(Opportunities!$A$3:$A$502,$A496,Opportunities!$X$3:$X$502,"Yes"))</f>
        <v/>
      </c>
      <c r="AH496" s="32" t="str">
        <f aca="false">IF($A496="","",_xlfn.TEXTJOIN(", ",TRUE(),IF(COUNTIF($A$3:$A$502,$A496)&gt;1,"Duplicate name",""),IF(OR(AND(G496=2,I496=""),AND(J496=2,L496=""),AND(M496=2,O496=""),AND(P496=2,R496="")),"Source missing for a 2",""),IF(F496="","No owner",IF(COUNTIFS(R_TeamName,F496,R_TeamActive,"No")&gt;0,"Needs new owner","")),IF(AND(V496="Yes",X496&lt;&gt;"",X496&lt;S_SemStart),"Path overdue",""),IF(AND(S496&lt;&gt;"",S496&lt;S_Today-365),"Stale research",""),IF(AND(AE496="Research",COUNTIF('Commercial Evidence'!$A$3:$A$502,$A496)=0),"Add commercial evidence","")))</f>
        <v/>
      </c>
      <c r="AI496" s="34" t="str">
        <f aca="false">IF(OR($A496="",Z496="Yes"),"",IF(AND(AE496="Priority",AG496=0,COUNTIFS(Opportunities!$A$3:$A$502,$A496,Opportunities!$Y$3:$Y$502,"Renewal due")=0),600000+(10-AC496)*1000+(4-AD496)*100+ROW()/100000,IF(V496="Yes",700000+IF(X496="",0,X496-40000)/10+ROW()/100000,IF(AND(AE496="Quick Win",U496&lt;&gt;"",AG496=0),800000+(10-AC496)*1000+ROW()/100000,IF(AND(AE496="Build a Path",COUNTIF($V$3:$V$502,"Yes")&lt;S_PathCap),900000+(10-AC496)*1000+(4-AD496)*100+ROW()/100000,"")))))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8"/>
      <c r="T497" s="27"/>
      <c r="U497" s="27"/>
      <c r="V497" s="27"/>
      <c r="W497" s="27"/>
      <c r="X497" s="28"/>
      <c r="Y497" s="27"/>
      <c r="Z497" s="27"/>
      <c r="AA497" s="27"/>
      <c r="AB497" s="32" t="str">
        <f aca="false">IF($A497="","",IF(COUNTIF('Commercial Evidence'!$A$3:$A$502,$A497)=0,"",IF(COUNTIFS('Commercial Evidence'!$A$3:$A$502,$A497,'Commercial Evidence'!$B$3:$B$502,"Previous CBS Talks spend")+COUNTIFS('Commercial Evidence'!$A$3:$A$502,$A497,'Commercial Evidence'!$B$3:$B$502,"Sponsors student organisations")&gt;0,2,IF(COUNTIFS('Commercial Evidence'!$A$3:$A$502,$A497,'Commercial Evidence'!$B$3:$B$502,"Sponsors university activities")+COUNTIFS('Commercial Evidence'!$A$3:$A$502,$A497,'Commercial Evidence'!$B$3:$B$502,"Sponsors similar events")+COUNTIFS('Commercial Evidence'!$A$3:$A$502,$A497,'Commercial Evidence'!$B$3:$B$502,"Previous CBS Talks partner")&gt;0,1,0))))</f>
        <v/>
      </c>
      <c r="AC497" s="32" t="str">
        <f aca="false">IF($A497="","",IF(COUNT(G497,J497,M497,P497,AB497)&lt;5,"",G497+J497+M497+P497+AB497))</f>
        <v/>
      </c>
      <c r="AD497" s="32" t="str">
        <f aca="false">IF($A497="","",IF(COUNTIFS(Contacts!$A$3:$A$502,$A497,Contacts!$E$3:$E$502,"Champion",Contacts!$K$3:$K$502,"&lt;&gt;Yes",Contacts!$L$3:$L$502,"&lt;&gt;Yes")+COUNTIFS(Opportunities!$A$3:$A$502,$A497,Opportunities!$C$3:$C$502,"Won",Opportunities!$Q$3:$Q$502,"Satisfied")&gt;0,4,IF(COUNTIFS(Interactions!$B$3:$B$502,$A497,Interactions!$I$3:$I$502,"Yes",Interactions!$A$3:$A$502,"&gt;="&amp;(S_Today-S_WarmDays))&gt;0,3,IF(T497&lt;&gt;"",2,IF(COUNTIFS(Contacts!$A$3:$A$502,$A497,Contacts!$M$3:$M$502,"Yes",Contacts!$K$3:$K$502,"&lt;&gt;Yes",Contacts!$L$3:$L$502,"&lt;&gt;Yes")&gt;0,1,0)))))</f>
        <v/>
      </c>
      <c r="AE497" s="32" t="str">
        <f aca="false">IF($A497="","",IF(Z497="Yes","Do not contact",IF(AC497="","Research",IF(AND(AC497&gt;=S_FitHigh,AD497&gt;=S_AccessHigh),"Priority",IF(AC497&gt;=S_FitHigh,"Build a Path",IF(AD497&gt;=S_AccessHigh,"Quick Win","Low Priority"))))))</f>
        <v/>
      </c>
      <c r="AF497" s="33" t="str">
        <f aca="false">IF($A497="","",IF(_xlfn.MAXIFS(Interactions!$A$3:$A$502,Interactions!$B$3:$B$502,$A497)=0,"",_xlfn.MAXIFS(Interactions!$A$3:$A$502,Interactions!$B$3:$B$502,$A497)))</f>
        <v/>
      </c>
      <c r="AG497" s="32" t="str">
        <f aca="false">IF($A497="","",COUNTIFS(Opportunities!$A$3:$A$502,$A497,Opportunities!$X$3:$X$502,"Yes"))</f>
        <v/>
      </c>
      <c r="AH497" s="32" t="str">
        <f aca="false">IF($A497="","",_xlfn.TEXTJOIN(", ",TRUE(),IF(COUNTIF($A$3:$A$502,$A497)&gt;1,"Duplicate name",""),IF(OR(AND(G497=2,I497=""),AND(J497=2,L497=""),AND(M497=2,O497=""),AND(P497=2,R497="")),"Source missing for a 2",""),IF(F497="","No owner",IF(COUNTIFS(R_TeamName,F497,R_TeamActive,"No")&gt;0,"Needs new owner","")),IF(AND(V497="Yes",X497&lt;&gt;"",X497&lt;S_SemStart),"Path overdue",""),IF(AND(S497&lt;&gt;"",S497&lt;S_Today-365),"Stale research",""),IF(AND(AE497="Research",COUNTIF('Commercial Evidence'!$A$3:$A$502,$A497)=0),"Add commercial evidence","")))</f>
        <v/>
      </c>
      <c r="AI497" s="34" t="str">
        <f aca="false">IF(OR($A497="",Z497="Yes"),"",IF(AND(AE497="Priority",AG497=0,COUNTIFS(Opportunities!$A$3:$A$502,$A497,Opportunities!$Y$3:$Y$502,"Renewal due")=0),600000+(10-AC497)*1000+(4-AD497)*100+ROW()/100000,IF(V497="Yes",700000+IF(X497="",0,X497-40000)/10+ROW()/100000,IF(AND(AE497="Quick Win",U497&lt;&gt;"",AG497=0),800000+(10-AC497)*1000+ROW()/100000,IF(AND(AE497="Build a Path",COUNTIF($V$3:$V$502,"Yes")&lt;S_PathCap),900000+(10-AC497)*1000+(4-AD497)*100+ROW()/100000,"")))))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8"/>
      <c r="T498" s="27"/>
      <c r="U498" s="27"/>
      <c r="V498" s="27"/>
      <c r="W498" s="27"/>
      <c r="X498" s="28"/>
      <c r="Y498" s="27"/>
      <c r="Z498" s="27"/>
      <c r="AA498" s="27"/>
      <c r="AB498" s="32" t="str">
        <f aca="false">IF($A498="","",IF(COUNTIF('Commercial Evidence'!$A$3:$A$502,$A498)=0,"",IF(COUNTIFS('Commercial Evidence'!$A$3:$A$502,$A498,'Commercial Evidence'!$B$3:$B$502,"Previous CBS Talks spend")+COUNTIFS('Commercial Evidence'!$A$3:$A$502,$A498,'Commercial Evidence'!$B$3:$B$502,"Sponsors student organisations")&gt;0,2,IF(COUNTIFS('Commercial Evidence'!$A$3:$A$502,$A498,'Commercial Evidence'!$B$3:$B$502,"Sponsors university activities")+COUNTIFS('Commercial Evidence'!$A$3:$A$502,$A498,'Commercial Evidence'!$B$3:$B$502,"Sponsors similar events")+COUNTIFS('Commercial Evidence'!$A$3:$A$502,$A498,'Commercial Evidence'!$B$3:$B$502,"Previous CBS Talks partner")&gt;0,1,0))))</f>
        <v/>
      </c>
      <c r="AC498" s="32" t="str">
        <f aca="false">IF($A498="","",IF(COUNT(G498,J498,M498,P498,AB498)&lt;5,"",G498+J498+M498+P498+AB498))</f>
        <v/>
      </c>
      <c r="AD498" s="32" t="str">
        <f aca="false">IF($A498="","",IF(COUNTIFS(Contacts!$A$3:$A$502,$A498,Contacts!$E$3:$E$502,"Champion",Contacts!$K$3:$K$502,"&lt;&gt;Yes",Contacts!$L$3:$L$502,"&lt;&gt;Yes")+COUNTIFS(Opportunities!$A$3:$A$502,$A498,Opportunities!$C$3:$C$502,"Won",Opportunities!$Q$3:$Q$502,"Satisfied")&gt;0,4,IF(COUNTIFS(Interactions!$B$3:$B$502,$A498,Interactions!$I$3:$I$502,"Yes",Interactions!$A$3:$A$502,"&gt;="&amp;(S_Today-S_WarmDays))&gt;0,3,IF(T498&lt;&gt;"",2,IF(COUNTIFS(Contacts!$A$3:$A$502,$A498,Contacts!$M$3:$M$502,"Yes",Contacts!$K$3:$K$502,"&lt;&gt;Yes",Contacts!$L$3:$L$502,"&lt;&gt;Yes")&gt;0,1,0)))))</f>
        <v/>
      </c>
      <c r="AE498" s="32" t="str">
        <f aca="false">IF($A498="","",IF(Z498="Yes","Do not contact",IF(AC498="","Research",IF(AND(AC498&gt;=S_FitHigh,AD498&gt;=S_AccessHigh),"Priority",IF(AC498&gt;=S_FitHigh,"Build a Path",IF(AD498&gt;=S_AccessHigh,"Quick Win","Low Priority"))))))</f>
        <v/>
      </c>
      <c r="AF498" s="33" t="str">
        <f aca="false">IF($A498="","",IF(_xlfn.MAXIFS(Interactions!$A$3:$A$502,Interactions!$B$3:$B$502,$A498)=0,"",_xlfn.MAXIFS(Interactions!$A$3:$A$502,Interactions!$B$3:$B$502,$A498)))</f>
        <v/>
      </c>
      <c r="AG498" s="32" t="str">
        <f aca="false">IF($A498="","",COUNTIFS(Opportunities!$A$3:$A$502,$A498,Opportunities!$X$3:$X$502,"Yes"))</f>
        <v/>
      </c>
      <c r="AH498" s="32" t="str">
        <f aca="false">IF($A498="","",_xlfn.TEXTJOIN(", ",TRUE(),IF(COUNTIF($A$3:$A$502,$A498)&gt;1,"Duplicate name",""),IF(OR(AND(G498=2,I498=""),AND(J498=2,L498=""),AND(M498=2,O498=""),AND(P498=2,R498="")),"Source missing for a 2",""),IF(F498="","No owner",IF(COUNTIFS(R_TeamName,F498,R_TeamActive,"No")&gt;0,"Needs new owner","")),IF(AND(V498="Yes",X498&lt;&gt;"",X498&lt;S_SemStart),"Path overdue",""),IF(AND(S498&lt;&gt;"",S498&lt;S_Today-365),"Stale research",""),IF(AND(AE498="Research",COUNTIF('Commercial Evidence'!$A$3:$A$502,$A498)=0),"Add commercial evidence","")))</f>
        <v/>
      </c>
      <c r="AI498" s="34" t="str">
        <f aca="false">IF(OR($A498="",Z498="Yes"),"",IF(AND(AE498="Priority",AG498=0,COUNTIFS(Opportunities!$A$3:$A$502,$A498,Opportunities!$Y$3:$Y$502,"Renewal due")=0),600000+(10-AC498)*1000+(4-AD498)*100+ROW()/100000,IF(V498="Yes",700000+IF(X498="",0,X498-40000)/10+ROW()/100000,IF(AND(AE498="Quick Win",U498&lt;&gt;"",AG498=0),800000+(10-AC498)*1000+ROW()/100000,IF(AND(AE498="Build a Path",COUNTIF($V$3:$V$502,"Yes")&lt;S_PathCap),900000+(10-AC498)*1000+(4-AD498)*100+ROW()/100000,"")))))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8"/>
      <c r="T499" s="27"/>
      <c r="U499" s="27"/>
      <c r="V499" s="27"/>
      <c r="W499" s="27"/>
      <c r="X499" s="28"/>
      <c r="Y499" s="27"/>
      <c r="Z499" s="27"/>
      <c r="AA499" s="27"/>
      <c r="AB499" s="32" t="str">
        <f aca="false">IF($A499="","",IF(COUNTIF('Commercial Evidence'!$A$3:$A$502,$A499)=0,"",IF(COUNTIFS('Commercial Evidence'!$A$3:$A$502,$A499,'Commercial Evidence'!$B$3:$B$502,"Previous CBS Talks spend")+COUNTIFS('Commercial Evidence'!$A$3:$A$502,$A499,'Commercial Evidence'!$B$3:$B$502,"Sponsors student organisations")&gt;0,2,IF(COUNTIFS('Commercial Evidence'!$A$3:$A$502,$A499,'Commercial Evidence'!$B$3:$B$502,"Sponsors university activities")+COUNTIFS('Commercial Evidence'!$A$3:$A$502,$A499,'Commercial Evidence'!$B$3:$B$502,"Sponsors similar events")+COUNTIFS('Commercial Evidence'!$A$3:$A$502,$A499,'Commercial Evidence'!$B$3:$B$502,"Previous CBS Talks partner")&gt;0,1,0))))</f>
        <v/>
      </c>
      <c r="AC499" s="32" t="str">
        <f aca="false">IF($A499="","",IF(COUNT(G499,J499,M499,P499,AB499)&lt;5,"",G499+J499+M499+P499+AB499))</f>
        <v/>
      </c>
      <c r="AD499" s="32" t="str">
        <f aca="false">IF($A499="","",IF(COUNTIFS(Contacts!$A$3:$A$502,$A499,Contacts!$E$3:$E$502,"Champion",Contacts!$K$3:$K$502,"&lt;&gt;Yes",Contacts!$L$3:$L$502,"&lt;&gt;Yes")+COUNTIFS(Opportunities!$A$3:$A$502,$A499,Opportunities!$C$3:$C$502,"Won",Opportunities!$Q$3:$Q$502,"Satisfied")&gt;0,4,IF(COUNTIFS(Interactions!$B$3:$B$502,$A499,Interactions!$I$3:$I$502,"Yes",Interactions!$A$3:$A$502,"&gt;="&amp;(S_Today-S_WarmDays))&gt;0,3,IF(T499&lt;&gt;"",2,IF(COUNTIFS(Contacts!$A$3:$A$502,$A499,Contacts!$M$3:$M$502,"Yes",Contacts!$K$3:$K$502,"&lt;&gt;Yes",Contacts!$L$3:$L$502,"&lt;&gt;Yes")&gt;0,1,0)))))</f>
        <v/>
      </c>
      <c r="AE499" s="32" t="str">
        <f aca="false">IF($A499="","",IF(Z499="Yes","Do not contact",IF(AC499="","Research",IF(AND(AC499&gt;=S_FitHigh,AD499&gt;=S_AccessHigh),"Priority",IF(AC499&gt;=S_FitHigh,"Build a Path",IF(AD499&gt;=S_AccessHigh,"Quick Win","Low Priority"))))))</f>
        <v/>
      </c>
      <c r="AF499" s="33" t="str">
        <f aca="false">IF($A499="","",IF(_xlfn.MAXIFS(Interactions!$A$3:$A$502,Interactions!$B$3:$B$502,$A499)=0,"",_xlfn.MAXIFS(Interactions!$A$3:$A$502,Interactions!$B$3:$B$502,$A499)))</f>
        <v/>
      </c>
      <c r="AG499" s="32" t="str">
        <f aca="false">IF($A499="","",COUNTIFS(Opportunities!$A$3:$A$502,$A499,Opportunities!$X$3:$X$502,"Yes"))</f>
        <v/>
      </c>
      <c r="AH499" s="32" t="str">
        <f aca="false">IF($A499="","",_xlfn.TEXTJOIN(", ",TRUE(),IF(COUNTIF($A$3:$A$502,$A499)&gt;1,"Duplicate name",""),IF(OR(AND(G499=2,I499=""),AND(J499=2,L499=""),AND(M499=2,O499=""),AND(P499=2,R499="")),"Source missing for a 2",""),IF(F499="","No owner",IF(COUNTIFS(R_TeamName,F499,R_TeamActive,"No")&gt;0,"Needs new owner","")),IF(AND(V499="Yes",X499&lt;&gt;"",X499&lt;S_SemStart),"Path overdue",""),IF(AND(S499&lt;&gt;"",S499&lt;S_Today-365),"Stale research",""),IF(AND(AE499="Research",COUNTIF('Commercial Evidence'!$A$3:$A$502,$A499)=0),"Add commercial evidence","")))</f>
        <v/>
      </c>
      <c r="AI499" s="34" t="str">
        <f aca="false">IF(OR($A499="",Z499="Yes"),"",IF(AND(AE499="Priority",AG499=0,COUNTIFS(Opportunities!$A$3:$A$502,$A499,Opportunities!$Y$3:$Y$502,"Renewal due")=0),600000+(10-AC499)*1000+(4-AD499)*100+ROW()/100000,IF(V499="Yes",700000+IF(X499="",0,X499-40000)/10+ROW()/100000,IF(AND(AE499="Quick Win",U499&lt;&gt;"",AG499=0),800000+(10-AC499)*1000+ROW()/100000,IF(AND(AE499="Build a Path",COUNTIF($V$3:$V$502,"Yes")&lt;S_PathCap),900000+(10-AC499)*1000+(4-AD499)*100+ROW()/100000,"")))))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8"/>
      <c r="T500" s="27"/>
      <c r="U500" s="27"/>
      <c r="V500" s="27"/>
      <c r="W500" s="27"/>
      <c r="X500" s="28"/>
      <c r="Y500" s="27"/>
      <c r="Z500" s="27"/>
      <c r="AA500" s="27"/>
      <c r="AB500" s="32" t="str">
        <f aca="false">IF($A500="","",IF(COUNTIF('Commercial Evidence'!$A$3:$A$502,$A500)=0,"",IF(COUNTIFS('Commercial Evidence'!$A$3:$A$502,$A500,'Commercial Evidence'!$B$3:$B$502,"Previous CBS Talks spend")+COUNTIFS('Commercial Evidence'!$A$3:$A$502,$A500,'Commercial Evidence'!$B$3:$B$502,"Sponsors student organisations")&gt;0,2,IF(COUNTIFS('Commercial Evidence'!$A$3:$A$502,$A500,'Commercial Evidence'!$B$3:$B$502,"Sponsors university activities")+COUNTIFS('Commercial Evidence'!$A$3:$A$502,$A500,'Commercial Evidence'!$B$3:$B$502,"Sponsors similar events")+COUNTIFS('Commercial Evidence'!$A$3:$A$502,$A500,'Commercial Evidence'!$B$3:$B$502,"Previous CBS Talks partner")&gt;0,1,0))))</f>
        <v/>
      </c>
      <c r="AC500" s="32" t="str">
        <f aca="false">IF($A500="","",IF(COUNT(G500,J500,M500,P500,AB500)&lt;5,"",G500+J500+M500+P500+AB500))</f>
        <v/>
      </c>
      <c r="AD500" s="32" t="str">
        <f aca="false">IF($A500="","",IF(COUNTIFS(Contacts!$A$3:$A$502,$A500,Contacts!$E$3:$E$502,"Champion",Contacts!$K$3:$K$502,"&lt;&gt;Yes",Contacts!$L$3:$L$502,"&lt;&gt;Yes")+COUNTIFS(Opportunities!$A$3:$A$502,$A500,Opportunities!$C$3:$C$502,"Won",Opportunities!$Q$3:$Q$502,"Satisfied")&gt;0,4,IF(COUNTIFS(Interactions!$B$3:$B$502,$A500,Interactions!$I$3:$I$502,"Yes",Interactions!$A$3:$A$502,"&gt;="&amp;(S_Today-S_WarmDays))&gt;0,3,IF(T500&lt;&gt;"",2,IF(COUNTIFS(Contacts!$A$3:$A$502,$A500,Contacts!$M$3:$M$502,"Yes",Contacts!$K$3:$K$502,"&lt;&gt;Yes",Contacts!$L$3:$L$502,"&lt;&gt;Yes")&gt;0,1,0)))))</f>
        <v/>
      </c>
      <c r="AE500" s="32" t="str">
        <f aca="false">IF($A500="","",IF(Z500="Yes","Do not contact",IF(AC500="","Research",IF(AND(AC500&gt;=S_FitHigh,AD500&gt;=S_AccessHigh),"Priority",IF(AC500&gt;=S_FitHigh,"Build a Path",IF(AD500&gt;=S_AccessHigh,"Quick Win","Low Priority"))))))</f>
        <v/>
      </c>
      <c r="AF500" s="33" t="str">
        <f aca="false">IF($A500="","",IF(_xlfn.MAXIFS(Interactions!$A$3:$A$502,Interactions!$B$3:$B$502,$A500)=0,"",_xlfn.MAXIFS(Interactions!$A$3:$A$502,Interactions!$B$3:$B$502,$A500)))</f>
        <v/>
      </c>
      <c r="AG500" s="32" t="str">
        <f aca="false">IF($A500="","",COUNTIFS(Opportunities!$A$3:$A$502,$A500,Opportunities!$X$3:$X$502,"Yes"))</f>
        <v/>
      </c>
      <c r="AH500" s="32" t="str">
        <f aca="false">IF($A500="","",_xlfn.TEXTJOIN(", ",TRUE(),IF(COUNTIF($A$3:$A$502,$A500)&gt;1,"Duplicate name",""),IF(OR(AND(G500=2,I500=""),AND(J500=2,L500=""),AND(M500=2,O500=""),AND(P500=2,R500="")),"Source missing for a 2",""),IF(F500="","No owner",IF(COUNTIFS(R_TeamName,F500,R_TeamActive,"No")&gt;0,"Needs new owner","")),IF(AND(V500="Yes",X500&lt;&gt;"",X500&lt;S_SemStart),"Path overdue",""),IF(AND(S500&lt;&gt;"",S500&lt;S_Today-365),"Stale research",""),IF(AND(AE500="Research",COUNTIF('Commercial Evidence'!$A$3:$A$502,$A500)=0),"Add commercial evidence","")))</f>
        <v/>
      </c>
      <c r="AI500" s="34" t="str">
        <f aca="false">IF(OR($A500="",Z500="Yes"),"",IF(AND(AE500="Priority",AG500=0,COUNTIFS(Opportunities!$A$3:$A$502,$A500,Opportunities!$Y$3:$Y$502,"Renewal due")=0),600000+(10-AC500)*1000+(4-AD500)*100+ROW()/100000,IF(V500="Yes",700000+IF(X500="",0,X500-40000)/10+ROW()/100000,IF(AND(AE500="Quick Win",U500&lt;&gt;"",AG500=0),800000+(10-AC500)*1000+ROW()/100000,IF(AND(AE500="Build a Path",COUNTIF($V$3:$V$502,"Yes")&lt;S_PathCap),900000+(10-AC500)*1000+(4-AD500)*100+ROW()/100000,"")))))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8"/>
      <c r="T501" s="27"/>
      <c r="U501" s="27"/>
      <c r="V501" s="27"/>
      <c r="W501" s="27"/>
      <c r="X501" s="28"/>
      <c r="Y501" s="27"/>
      <c r="Z501" s="27"/>
      <c r="AA501" s="27"/>
      <c r="AB501" s="32" t="str">
        <f aca="false">IF($A501="","",IF(COUNTIF('Commercial Evidence'!$A$3:$A$502,$A501)=0,"",IF(COUNTIFS('Commercial Evidence'!$A$3:$A$502,$A501,'Commercial Evidence'!$B$3:$B$502,"Previous CBS Talks spend")+COUNTIFS('Commercial Evidence'!$A$3:$A$502,$A501,'Commercial Evidence'!$B$3:$B$502,"Sponsors student organisations")&gt;0,2,IF(COUNTIFS('Commercial Evidence'!$A$3:$A$502,$A501,'Commercial Evidence'!$B$3:$B$502,"Sponsors university activities")+COUNTIFS('Commercial Evidence'!$A$3:$A$502,$A501,'Commercial Evidence'!$B$3:$B$502,"Sponsors similar events")+COUNTIFS('Commercial Evidence'!$A$3:$A$502,$A501,'Commercial Evidence'!$B$3:$B$502,"Previous CBS Talks partner")&gt;0,1,0))))</f>
        <v/>
      </c>
      <c r="AC501" s="32" t="str">
        <f aca="false">IF($A501="","",IF(COUNT(G501,J501,M501,P501,AB501)&lt;5,"",G501+J501+M501+P501+AB501))</f>
        <v/>
      </c>
      <c r="AD501" s="32" t="str">
        <f aca="false">IF($A501="","",IF(COUNTIFS(Contacts!$A$3:$A$502,$A501,Contacts!$E$3:$E$502,"Champion",Contacts!$K$3:$K$502,"&lt;&gt;Yes",Contacts!$L$3:$L$502,"&lt;&gt;Yes")+COUNTIFS(Opportunities!$A$3:$A$502,$A501,Opportunities!$C$3:$C$502,"Won",Opportunities!$Q$3:$Q$502,"Satisfied")&gt;0,4,IF(COUNTIFS(Interactions!$B$3:$B$502,$A501,Interactions!$I$3:$I$502,"Yes",Interactions!$A$3:$A$502,"&gt;="&amp;(S_Today-S_WarmDays))&gt;0,3,IF(T501&lt;&gt;"",2,IF(COUNTIFS(Contacts!$A$3:$A$502,$A501,Contacts!$M$3:$M$502,"Yes",Contacts!$K$3:$K$502,"&lt;&gt;Yes",Contacts!$L$3:$L$502,"&lt;&gt;Yes")&gt;0,1,0)))))</f>
        <v/>
      </c>
      <c r="AE501" s="32" t="str">
        <f aca="false">IF($A501="","",IF(Z501="Yes","Do not contact",IF(AC501="","Research",IF(AND(AC501&gt;=S_FitHigh,AD501&gt;=S_AccessHigh),"Priority",IF(AC501&gt;=S_FitHigh,"Build a Path",IF(AD501&gt;=S_AccessHigh,"Quick Win","Low Priority"))))))</f>
        <v/>
      </c>
      <c r="AF501" s="33" t="str">
        <f aca="false">IF($A501="","",IF(_xlfn.MAXIFS(Interactions!$A$3:$A$502,Interactions!$B$3:$B$502,$A501)=0,"",_xlfn.MAXIFS(Interactions!$A$3:$A$502,Interactions!$B$3:$B$502,$A501)))</f>
        <v/>
      </c>
      <c r="AG501" s="32" t="str">
        <f aca="false">IF($A501="","",COUNTIFS(Opportunities!$A$3:$A$502,$A501,Opportunities!$X$3:$X$502,"Yes"))</f>
        <v/>
      </c>
      <c r="AH501" s="32" t="str">
        <f aca="false">IF($A501="","",_xlfn.TEXTJOIN(", ",TRUE(),IF(COUNTIF($A$3:$A$502,$A501)&gt;1,"Duplicate name",""),IF(OR(AND(G501=2,I501=""),AND(J501=2,L501=""),AND(M501=2,O501=""),AND(P501=2,R501="")),"Source missing for a 2",""),IF(F501="","No owner",IF(COUNTIFS(R_TeamName,F501,R_TeamActive,"No")&gt;0,"Needs new owner","")),IF(AND(V501="Yes",X501&lt;&gt;"",X501&lt;S_SemStart),"Path overdue",""),IF(AND(S501&lt;&gt;"",S501&lt;S_Today-365),"Stale research",""),IF(AND(AE501="Research",COUNTIF('Commercial Evidence'!$A$3:$A$502,$A501)=0),"Add commercial evidence","")))</f>
        <v/>
      </c>
      <c r="AI501" s="34" t="str">
        <f aca="false">IF(OR($A501="",Z501="Yes"),"",IF(AND(AE501="Priority",AG501=0,COUNTIFS(Opportunities!$A$3:$A$502,$A501,Opportunities!$Y$3:$Y$502,"Renewal due")=0),600000+(10-AC501)*1000+(4-AD501)*100+ROW()/100000,IF(V501="Yes",700000+IF(X501="",0,X501-40000)/10+ROW()/100000,IF(AND(AE501="Quick Win",U501&lt;&gt;"",AG501=0),800000+(10-AC501)*1000+ROW()/100000,IF(AND(AE501="Build a Path",COUNTIF($V$3:$V$502,"Yes")&lt;S_PathCap),900000+(10-AC501)*1000+(4-AD501)*100+ROW()/100000,"")))))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8"/>
      <c r="T502" s="27"/>
      <c r="U502" s="27"/>
      <c r="V502" s="27"/>
      <c r="W502" s="27"/>
      <c r="X502" s="28"/>
      <c r="Y502" s="27"/>
      <c r="Z502" s="27"/>
      <c r="AA502" s="27"/>
      <c r="AB502" s="32" t="str">
        <f aca="false">IF($A502="","",IF(COUNTIF('Commercial Evidence'!$A$3:$A$502,$A502)=0,"",IF(COUNTIFS('Commercial Evidence'!$A$3:$A$502,$A502,'Commercial Evidence'!$B$3:$B$502,"Previous CBS Talks spend")+COUNTIFS('Commercial Evidence'!$A$3:$A$502,$A502,'Commercial Evidence'!$B$3:$B$502,"Sponsors student organisations")&gt;0,2,IF(COUNTIFS('Commercial Evidence'!$A$3:$A$502,$A502,'Commercial Evidence'!$B$3:$B$502,"Sponsors university activities")+COUNTIFS('Commercial Evidence'!$A$3:$A$502,$A502,'Commercial Evidence'!$B$3:$B$502,"Sponsors similar events")+COUNTIFS('Commercial Evidence'!$A$3:$A$502,$A502,'Commercial Evidence'!$B$3:$B$502,"Previous CBS Talks partner")&gt;0,1,0))))</f>
        <v/>
      </c>
      <c r="AC502" s="32" t="str">
        <f aca="false">IF($A502="","",IF(COUNT(G502,J502,M502,P502,AB502)&lt;5,"",G502+J502+M502+P502+AB502))</f>
        <v/>
      </c>
      <c r="AD502" s="32" t="str">
        <f aca="false">IF($A502="","",IF(COUNTIFS(Contacts!$A$3:$A$502,$A502,Contacts!$E$3:$E$502,"Champion",Contacts!$K$3:$K$502,"&lt;&gt;Yes",Contacts!$L$3:$L$502,"&lt;&gt;Yes")+COUNTIFS(Opportunities!$A$3:$A$502,$A502,Opportunities!$C$3:$C$502,"Won",Opportunities!$Q$3:$Q$502,"Satisfied")&gt;0,4,IF(COUNTIFS(Interactions!$B$3:$B$502,$A502,Interactions!$I$3:$I$502,"Yes",Interactions!$A$3:$A$502,"&gt;="&amp;(S_Today-S_WarmDays))&gt;0,3,IF(T502&lt;&gt;"",2,IF(COUNTIFS(Contacts!$A$3:$A$502,$A502,Contacts!$M$3:$M$502,"Yes",Contacts!$K$3:$K$502,"&lt;&gt;Yes",Contacts!$L$3:$L$502,"&lt;&gt;Yes")&gt;0,1,0)))))</f>
        <v/>
      </c>
      <c r="AE502" s="32" t="str">
        <f aca="false">IF($A502="","",IF(Z502="Yes","Do not contact",IF(AC502="","Research",IF(AND(AC502&gt;=S_FitHigh,AD502&gt;=S_AccessHigh),"Priority",IF(AC502&gt;=S_FitHigh,"Build a Path",IF(AD502&gt;=S_AccessHigh,"Quick Win","Low Priority"))))))</f>
        <v/>
      </c>
      <c r="AF502" s="33" t="str">
        <f aca="false">IF($A502="","",IF(_xlfn.MAXIFS(Interactions!$A$3:$A$502,Interactions!$B$3:$B$502,$A502)=0,"",_xlfn.MAXIFS(Interactions!$A$3:$A$502,Interactions!$B$3:$B$502,$A502)))</f>
        <v/>
      </c>
      <c r="AG502" s="32" t="str">
        <f aca="false">IF($A502="","",COUNTIFS(Opportunities!$A$3:$A$502,$A502,Opportunities!$X$3:$X$502,"Yes"))</f>
        <v/>
      </c>
      <c r="AH502" s="32" t="str">
        <f aca="false">IF($A502="","",_xlfn.TEXTJOIN(", ",TRUE(),IF(COUNTIF($A$3:$A$502,$A502)&gt;1,"Duplicate name",""),IF(OR(AND(G502=2,I502=""),AND(J502=2,L502=""),AND(M502=2,O502=""),AND(P502=2,R502="")),"Source missing for a 2",""),IF(F502="","No owner",IF(COUNTIFS(R_TeamName,F502,R_TeamActive,"No")&gt;0,"Needs new owner","")),IF(AND(V502="Yes",X502&lt;&gt;"",X502&lt;S_SemStart),"Path overdue",""),IF(AND(S502&lt;&gt;"",S502&lt;S_Today-365),"Stale research",""),IF(AND(AE502="Research",COUNTIF('Commercial Evidence'!$A$3:$A$502,$A502)=0),"Add commercial evidence","")))</f>
        <v/>
      </c>
      <c r="AI502" s="34" t="str">
        <f aca="false">IF(OR($A502="",Z502="Yes"),"",IF(AND(AE502="Priority",AG502=0,COUNTIFS(Opportunities!$A$3:$A$502,$A502,Opportunities!$Y$3:$Y$502,"Renewal due")=0),600000+(10-AC502)*1000+(4-AD502)*100+ROW()/100000,IF(V502="Yes",700000+IF(X502="",0,X502-40000)/10+ROW()/100000,IF(AND(AE502="Quick Win",U502&lt;&gt;"",AG502=0),800000+(10-AC502)*1000+ROW()/100000,IF(AND(AE502="Build a Path",COUNTIF($V$3:$V$502,"Yes")&lt;S_PathCap),900000+(10-AC502)*1000+(4-AD502)*100+ROW()/100000,"")))))</f>
        <v/>
      </c>
    </row>
  </sheetData>
  <mergeCells count="1">
    <mergeCell ref="A1:L1"/>
  </mergeCells>
  <dataValidations count="9">
    <dataValidation allowBlank="true" error="Choose a value from the list." errorStyle="stop" errorTitle="Not in the list" operator="between" showDropDown="false" showErrorMessage="false" showInputMessage="false" sqref="D3:D502" type="list">
      <formula1>L_Industry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E3:E502" type="list">
      <formula1>L_Size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F3:F502" type="list">
      <formula1>R_TeamName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G3:G502" type="list">
      <formula1>L_Fit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J3:J502" type="list">
      <formula1>L_Fit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M3:M502" type="list">
      <formula1>L_Fit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P3:P502" type="list">
      <formula1>L_Fit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V3:V502" type="list">
      <formula1>L_YesNo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Z3:Z502" type="list">
      <formula1>L_YesNo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25" t="s">
        <v>251</v>
      </c>
      <c r="B1" s="25"/>
      <c r="C1" s="25"/>
      <c r="D1" s="25"/>
      <c r="E1" s="25"/>
      <c r="F1" s="25"/>
      <c r="G1" s="25"/>
      <c r="H1" s="25"/>
      <c r="I1" s="25"/>
    </row>
    <row r="2" customFormat="false" ht="31.5" hidden="false" customHeight="true" outlineLevel="0" collapsed="false">
      <c r="A2" s="26" t="s">
        <v>26</v>
      </c>
      <c r="B2" s="26" t="s">
        <v>27</v>
      </c>
      <c r="C2" s="26" t="s">
        <v>252</v>
      </c>
      <c r="D2" s="26" t="s">
        <v>253</v>
      </c>
      <c r="E2" s="26" t="s">
        <v>254</v>
      </c>
      <c r="F2" s="26" t="s">
        <v>146</v>
      </c>
      <c r="G2" s="26" t="s">
        <v>255</v>
      </c>
      <c r="H2" s="26" t="s">
        <v>256</v>
      </c>
      <c r="I2" s="31" t="s">
        <v>257</v>
      </c>
    </row>
    <row r="3" customFormat="false" ht="15" hidden="false" customHeight="false" outlineLevel="0" collapsed="false">
      <c r="A3" s="27" t="s">
        <v>159</v>
      </c>
      <c r="B3" s="27" t="s">
        <v>258</v>
      </c>
      <c r="C3" s="27" t="s">
        <v>259</v>
      </c>
      <c r="D3" s="27"/>
      <c r="E3" s="29" t="n">
        <v>40000</v>
      </c>
      <c r="F3" s="27" t="s">
        <v>260</v>
      </c>
      <c r="G3" s="27" t="s">
        <v>127</v>
      </c>
      <c r="H3" s="28" t="n">
        <f aca="true">TODAY()-20</f>
        <v>46287</v>
      </c>
      <c r="I3" s="32" t="str">
        <f aca="false">IF(A3="","",_xlfn.TEXTJOIN(", ",TRUE(),IF(AND(E3&lt;&gt;"",B3&lt;&gt;"Previous CBS Talks spend"),"Amount only allowed for Previous CBS Talks spend",""),IF(AND(B3="Previous CBS Talks spend",E3=""),"Add the amount received",""),IF(AND(D3="",LEFT(B3,8)&lt;&gt;"Previous",B3&lt;&gt;"None found (checked)"),"Source URL needed","")))</f>
        <v/>
      </c>
    </row>
    <row r="4" customFormat="false" ht="15" hidden="false" customHeight="false" outlineLevel="0" collapsed="false">
      <c r="A4" s="27" t="s">
        <v>203</v>
      </c>
      <c r="B4" s="27" t="s">
        <v>261</v>
      </c>
      <c r="C4" s="27" t="s">
        <v>262</v>
      </c>
      <c r="D4" s="27" t="s">
        <v>263</v>
      </c>
      <c r="E4" s="29"/>
      <c r="F4" s="27" t="s">
        <v>264</v>
      </c>
      <c r="G4" s="27" t="s">
        <v>129</v>
      </c>
      <c r="H4" s="28" t="n">
        <f aca="true">TODAY()-30</f>
        <v>46277</v>
      </c>
      <c r="I4" s="32" t="str">
        <f aca="false">IF(A4="","",_xlfn.TEXTJOIN(", ",TRUE(),IF(AND(E4&lt;&gt;"",B4&lt;&gt;"Previous CBS Talks spend"),"Amount only allowed for Previous CBS Talks spend",""),IF(AND(B4="Previous CBS Talks spend",E4=""),"Add the amount received",""),IF(AND(D4="",LEFT(B4,8)&lt;&gt;"Previous",B4&lt;&gt;"None found (checked)"),"Source URL needed","")))</f>
        <v/>
      </c>
    </row>
    <row r="5" customFormat="false" ht="15" hidden="false" customHeight="false" outlineLevel="0" collapsed="false">
      <c r="A5" s="27" t="s">
        <v>212</v>
      </c>
      <c r="B5" s="27" t="s">
        <v>265</v>
      </c>
      <c r="C5" s="27" t="s">
        <v>266</v>
      </c>
      <c r="D5" s="27"/>
      <c r="E5" s="29"/>
      <c r="F5" s="27" t="s">
        <v>264</v>
      </c>
      <c r="G5" s="27" t="s">
        <v>124</v>
      </c>
      <c r="H5" s="28" t="n">
        <f aca="true">TODAY()-15</f>
        <v>46292</v>
      </c>
      <c r="I5" s="32" t="str">
        <f aca="false">IF(A5="","",_xlfn.TEXTJOIN(", ",TRUE(),IF(AND(E5&lt;&gt;"",B5&lt;&gt;"Previous CBS Talks spend"),"Amount only allowed for Previous CBS Talks spend",""),IF(AND(B5="Previous CBS Talks spend",E5=""),"Add the amount received",""),IF(AND(D5="",LEFT(B5,8)&lt;&gt;"Previous",B5&lt;&gt;"None found (checked)"),"Source URL needed","")))</f>
        <v/>
      </c>
    </row>
    <row r="6" customFormat="false" ht="15" hidden="false" customHeight="false" outlineLevel="0" collapsed="false">
      <c r="A6" s="27" t="s">
        <v>222</v>
      </c>
      <c r="B6" s="27" t="s">
        <v>265</v>
      </c>
      <c r="C6" s="27" t="s">
        <v>267</v>
      </c>
      <c r="D6" s="27"/>
      <c r="E6" s="29"/>
      <c r="F6" s="27" t="s">
        <v>264</v>
      </c>
      <c r="G6" s="27" t="s">
        <v>124</v>
      </c>
      <c r="H6" s="28" t="n">
        <f aca="true">TODAY()-10</f>
        <v>46297</v>
      </c>
      <c r="I6" s="32" t="str">
        <f aca="false">IF(A6="","",_xlfn.TEXTJOIN(", ",TRUE(),IF(AND(E6&lt;&gt;"",B6&lt;&gt;"Previous CBS Talks spend"),"Amount only allowed for Previous CBS Talks spend",""),IF(AND(B6="Previous CBS Talks spend",E6=""),"Add the amount received",""),IF(AND(D6="",LEFT(B6,8)&lt;&gt;"Previous",B6&lt;&gt;"None found (checked)"),"Source URL needed","")))</f>
        <v/>
      </c>
    </row>
    <row r="7" customFormat="false" ht="15" hidden="false" customHeight="false" outlineLevel="0" collapsed="false">
      <c r="A7" s="27" t="s">
        <v>231</v>
      </c>
      <c r="B7" s="27" t="s">
        <v>268</v>
      </c>
      <c r="C7" s="27" t="s">
        <v>269</v>
      </c>
      <c r="D7" s="27" t="s">
        <v>270</v>
      </c>
      <c r="E7" s="29"/>
      <c r="F7" s="27" t="s">
        <v>264</v>
      </c>
      <c r="G7" s="27" t="s">
        <v>129</v>
      </c>
      <c r="H7" s="28" t="n">
        <f aca="true">TODAY()-12</f>
        <v>46295</v>
      </c>
      <c r="I7" s="32" t="str">
        <f aca="false">IF(A7="","",_xlfn.TEXTJOIN(", ",TRUE(),IF(AND(E7&lt;&gt;"",B7&lt;&gt;"Previous CBS Talks spend"),"Amount only allowed for Previous CBS Talks spend",""),IF(AND(B7="Previous CBS Talks spend",E7=""),"Add the amount received",""),IF(AND(D7="",LEFT(B7,8)&lt;&gt;"Previous",B7&lt;&gt;"None found (checked)"),"Source URL needed","")))</f>
        <v/>
      </c>
    </row>
    <row r="8" customFormat="false" ht="15" hidden="false" customHeight="false" outlineLevel="0" collapsed="false">
      <c r="A8" s="27" t="s">
        <v>240</v>
      </c>
      <c r="B8" s="27" t="s">
        <v>265</v>
      </c>
      <c r="C8" s="27" t="s">
        <v>271</v>
      </c>
      <c r="D8" s="27"/>
      <c r="E8" s="29"/>
      <c r="F8" s="27" t="s">
        <v>264</v>
      </c>
      <c r="G8" s="27" t="s">
        <v>129</v>
      </c>
      <c r="H8" s="28" t="n">
        <f aca="true">TODAY()-50</f>
        <v>46257</v>
      </c>
      <c r="I8" s="32" t="str">
        <f aca="false">IF(A8="","",_xlfn.TEXTJOIN(", ",TRUE(),IF(AND(E8&lt;&gt;"",B8&lt;&gt;"Previous CBS Talks spend"),"Amount only allowed for Previous CBS Talks spend",""),IF(AND(B8="Previous CBS Talks spend",E8=""),"Add the amount received",""),IF(AND(D8="",LEFT(B8,8)&lt;&gt;"Previous",B8&lt;&gt;"None found (checked)"),"Source URL needed","")))</f>
        <v/>
      </c>
    </row>
    <row r="9" customFormat="false" ht="15" hidden="false" customHeight="false" outlineLevel="0" collapsed="false">
      <c r="A9" s="27"/>
      <c r="B9" s="27"/>
      <c r="C9" s="27"/>
      <c r="D9" s="27"/>
      <c r="E9" s="29"/>
      <c r="F9" s="27"/>
      <c r="G9" s="27"/>
      <c r="H9" s="28"/>
      <c r="I9" s="32" t="str">
        <f aca="false">IF(A9="","",_xlfn.TEXTJOIN(", ",TRUE(),IF(AND(E9&lt;&gt;"",B9&lt;&gt;"Previous CBS Talks spend"),"Amount only allowed for Previous CBS Talks spend",""),IF(AND(B9="Previous CBS Talks spend",E9=""),"Add the amount received",""),IF(AND(D9="",LEFT(B9,8)&lt;&gt;"Previous",B9&lt;&gt;"None found (checked)"),"Source URL needed","")))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9"/>
      <c r="F10" s="27"/>
      <c r="G10" s="27"/>
      <c r="H10" s="28"/>
      <c r="I10" s="32" t="str">
        <f aca="false">IF(A10="","",_xlfn.TEXTJOIN(", ",TRUE(),IF(AND(E10&lt;&gt;"",B10&lt;&gt;"Previous CBS Talks spend"),"Amount only allowed for Previous CBS Talks spend",""),IF(AND(B10="Previous CBS Talks spend",E10=""),"Add the amount received",""),IF(AND(D10="",LEFT(B10,8)&lt;&gt;"Previous",B10&lt;&gt;"None found (checked)"),"Source URL needed","")))</f>
        <v/>
      </c>
    </row>
    <row r="11" customFormat="false" ht="15" hidden="false" customHeight="false" outlineLevel="0" collapsed="false">
      <c r="A11" s="27"/>
      <c r="B11" s="27"/>
      <c r="C11" s="27"/>
      <c r="D11" s="27"/>
      <c r="E11" s="29"/>
      <c r="F11" s="27"/>
      <c r="G11" s="27"/>
      <c r="H11" s="28"/>
      <c r="I11" s="32" t="str">
        <f aca="false">IF(A11="","",_xlfn.TEXTJOIN(", ",TRUE(),IF(AND(E11&lt;&gt;"",B11&lt;&gt;"Previous CBS Talks spend"),"Amount only allowed for Previous CBS Talks spend",""),IF(AND(B11="Previous CBS Talks spend",E11=""),"Add the amount received",""),IF(AND(D11="",LEFT(B11,8)&lt;&gt;"Previous",B11&lt;&gt;"None found (checked)"),"Source URL needed","")))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9"/>
      <c r="F12" s="27"/>
      <c r="G12" s="27"/>
      <c r="H12" s="28"/>
      <c r="I12" s="32" t="str">
        <f aca="false">IF(A12="","",_xlfn.TEXTJOIN(", ",TRUE(),IF(AND(E12&lt;&gt;"",B12&lt;&gt;"Previous CBS Talks spend"),"Amount only allowed for Previous CBS Talks spend",""),IF(AND(B12="Previous CBS Talks spend",E12=""),"Add the amount received",""),IF(AND(D12="",LEFT(B12,8)&lt;&gt;"Previous",B12&lt;&gt;"None found (checked)"),"Source URL needed","")))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9"/>
      <c r="F13" s="27"/>
      <c r="G13" s="27"/>
      <c r="H13" s="28"/>
      <c r="I13" s="32" t="str">
        <f aca="false">IF(A13="","",_xlfn.TEXTJOIN(", ",TRUE(),IF(AND(E13&lt;&gt;"",B13&lt;&gt;"Previous CBS Talks spend"),"Amount only allowed for Previous CBS Talks spend",""),IF(AND(B13="Previous CBS Talks spend",E13=""),"Add the amount received",""),IF(AND(D13="",LEFT(B13,8)&lt;&gt;"Previous",B13&lt;&gt;"None found (checked)"),"Source URL needed","")))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9"/>
      <c r="F14" s="27"/>
      <c r="G14" s="27"/>
      <c r="H14" s="28"/>
      <c r="I14" s="32" t="str">
        <f aca="false">IF(A14="","",_xlfn.TEXTJOIN(", ",TRUE(),IF(AND(E14&lt;&gt;"",B14&lt;&gt;"Previous CBS Talks spend"),"Amount only allowed for Previous CBS Talks spend",""),IF(AND(B14="Previous CBS Talks spend",E14=""),"Add the amount received",""),IF(AND(D14="",LEFT(B14,8)&lt;&gt;"Previous",B14&lt;&gt;"None found (checked)"),"Source URL needed","")))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9"/>
      <c r="F15" s="27"/>
      <c r="G15" s="27"/>
      <c r="H15" s="28"/>
      <c r="I15" s="32" t="str">
        <f aca="false">IF(A15="","",_xlfn.TEXTJOIN(", ",TRUE(),IF(AND(E15&lt;&gt;"",B15&lt;&gt;"Previous CBS Talks spend"),"Amount only allowed for Previous CBS Talks spend",""),IF(AND(B15="Previous CBS Talks spend",E15=""),"Add the amount received",""),IF(AND(D15="",LEFT(B15,8)&lt;&gt;"Previous",B15&lt;&gt;"None found (checked)"),"Source URL needed","")))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9"/>
      <c r="F16" s="27"/>
      <c r="G16" s="27"/>
      <c r="H16" s="28"/>
      <c r="I16" s="32" t="str">
        <f aca="false">IF(A16="","",_xlfn.TEXTJOIN(", ",TRUE(),IF(AND(E16&lt;&gt;"",B16&lt;&gt;"Previous CBS Talks spend"),"Amount only allowed for Previous CBS Talks spend",""),IF(AND(B16="Previous CBS Talks spend",E16=""),"Add the amount received",""),IF(AND(D16="",LEFT(B16,8)&lt;&gt;"Previous",B16&lt;&gt;"None found (checked)"),"Source URL needed","")))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9"/>
      <c r="F17" s="27"/>
      <c r="G17" s="27"/>
      <c r="H17" s="28"/>
      <c r="I17" s="32" t="str">
        <f aca="false">IF(A17="","",_xlfn.TEXTJOIN(", ",TRUE(),IF(AND(E17&lt;&gt;"",B17&lt;&gt;"Previous CBS Talks spend"),"Amount only allowed for Previous CBS Talks spend",""),IF(AND(B17="Previous CBS Talks spend",E17=""),"Add the amount received",""),IF(AND(D17="",LEFT(B17,8)&lt;&gt;"Previous",B17&lt;&gt;"None found (checked)"),"Source URL needed","")))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9"/>
      <c r="F18" s="27"/>
      <c r="G18" s="27"/>
      <c r="H18" s="28"/>
      <c r="I18" s="32" t="str">
        <f aca="false">IF(A18="","",_xlfn.TEXTJOIN(", ",TRUE(),IF(AND(E18&lt;&gt;"",B18&lt;&gt;"Previous CBS Talks spend"),"Amount only allowed for Previous CBS Talks spend",""),IF(AND(B18="Previous CBS Talks spend",E18=""),"Add the amount received",""),IF(AND(D18="",LEFT(B18,8)&lt;&gt;"Previous",B18&lt;&gt;"None found (checked)"),"Source URL needed","")))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9"/>
      <c r="F19" s="27"/>
      <c r="G19" s="27"/>
      <c r="H19" s="28"/>
      <c r="I19" s="32" t="str">
        <f aca="false">IF(A19="","",_xlfn.TEXTJOIN(", ",TRUE(),IF(AND(E19&lt;&gt;"",B19&lt;&gt;"Previous CBS Talks spend"),"Amount only allowed for Previous CBS Talks spend",""),IF(AND(B19="Previous CBS Talks spend",E19=""),"Add the amount received",""),IF(AND(D19="",LEFT(B19,8)&lt;&gt;"Previous",B19&lt;&gt;"None found (checked)"),"Source URL needed","")))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9"/>
      <c r="F20" s="27"/>
      <c r="G20" s="27"/>
      <c r="H20" s="28"/>
      <c r="I20" s="32" t="str">
        <f aca="false">IF(A20="","",_xlfn.TEXTJOIN(", ",TRUE(),IF(AND(E20&lt;&gt;"",B20&lt;&gt;"Previous CBS Talks spend"),"Amount only allowed for Previous CBS Talks spend",""),IF(AND(B20="Previous CBS Talks spend",E20=""),"Add the amount received",""),IF(AND(D20="",LEFT(B20,8)&lt;&gt;"Previous",B20&lt;&gt;"None found (checked)"),"Source URL needed","")))</f>
        <v/>
      </c>
    </row>
    <row r="21" customFormat="false" ht="15" hidden="false" customHeight="false" outlineLevel="0" collapsed="false">
      <c r="A21" s="27"/>
      <c r="B21" s="27"/>
      <c r="C21" s="27"/>
      <c r="D21" s="27"/>
      <c r="E21" s="29"/>
      <c r="F21" s="27"/>
      <c r="G21" s="27"/>
      <c r="H21" s="28"/>
      <c r="I21" s="32" t="str">
        <f aca="false">IF(A21="","",_xlfn.TEXTJOIN(", ",TRUE(),IF(AND(E21&lt;&gt;"",B21&lt;&gt;"Previous CBS Talks spend"),"Amount only allowed for Previous CBS Talks spend",""),IF(AND(B21="Previous CBS Talks spend",E21=""),"Add the amount received",""),IF(AND(D21="",LEFT(B21,8)&lt;&gt;"Previous",B21&lt;&gt;"None found (checked)"),"Source URL needed","")))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9"/>
      <c r="F22" s="27"/>
      <c r="G22" s="27"/>
      <c r="H22" s="28"/>
      <c r="I22" s="32" t="str">
        <f aca="false">IF(A22="","",_xlfn.TEXTJOIN(", ",TRUE(),IF(AND(E22&lt;&gt;"",B22&lt;&gt;"Previous CBS Talks spend"),"Amount only allowed for Previous CBS Talks spend",""),IF(AND(B22="Previous CBS Talks spend",E22=""),"Add the amount received",""),IF(AND(D22="",LEFT(B22,8)&lt;&gt;"Previous",B22&lt;&gt;"None found (checked)"),"Source URL needed","")))</f>
        <v/>
      </c>
    </row>
    <row r="23" customFormat="false" ht="15" hidden="false" customHeight="false" outlineLevel="0" collapsed="false">
      <c r="A23" s="27"/>
      <c r="B23" s="27"/>
      <c r="C23" s="27"/>
      <c r="D23" s="27"/>
      <c r="E23" s="29"/>
      <c r="F23" s="27"/>
      <c r="G23" s="27"/>
      <c r="H23" s="28"/>
      <c r="I23" s="32" t="str">
        <f aca="false">IF(A23="","",_xlfn.TEXTJOIN(", ",TRUE(),IF(AND(E23&lt;&gt;"",B23&lt;&gt;"Previous CBS Talks spend"),"Amount only allowed for Previous CBS Talks spend",""),IF(AND(B23="Previous CBS Talks spend",E23=""),"Add the amount received",""),IF(AND(D23="",LEFT(B23,8)&lt;&gt;"Previous",B23&lt;&gt;"None found (checked)"),"Source URL needed","")))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9"/>
      <c r="F24" s="27"/>
      <c r="G24" s="27"/>
      <c r="H24" s="28"/>
      <c r="I24" s="32" t="str">
        <f aca="false">IF(A24="","",_xlfn.TEXTJOIN(", ",TRUE(),IF(AND(E24&lt;&gt;"",B24&lt;&gt;"Previous CBS Talks spend"),"Amount only allowed for Previous CBS Talks spend",""),IF(AND(B24="Previous CBS Talks spend",E24=""),"Add the amount received",""),IF(AND(D24="",LEFT(B24,8)&lt;&gt;"Previous",B24&lt;&gt;"None found (checked)"),"Source URL needed","")))</f>
        <v/>
      </c>
    </row>
    <row r="25" customFormat="false" ht="15" hidden="false" customHeight="false" outlineLevel="0" collapsed="false">
      <c r="A25" s="27"/>
      <c r="B25" s="27"/>
      <c r="C25" s="27"/>
      <c r="D25" s="27"/>
      <c r="E25" s="29"/>
      <c r="F25" s="27"/>
      <c r="G25" s="27"/>
      <c r="H25" s="28"/>
      <c r="I25" s="32" t="str">
        <f aca="false">IF(A25="","",_xlfn.TEXTJOIN(", ",TRUE(),IF(AND(E25&lt;&gt;"",B25&lt;&gt;"Previous CBS Talks spend"),"Amount only allowed for Previous CBS Talks spend",""),IF(AND(B25="Previous CBS Talks spend",E25=""),"Add the amount received",""),IF(AND(D25="",LEFT(B25,8)&lt;&gt;"Previous",B25&lt;&gt;"None found (checked)"),"Source URL needed","")))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9"/>
      <c r="F26" s="27"/>
      <c r="G26" s="27"/>
      <c r="H26" s="28"/>
      <c r="I26" s="32" t="str">
        <f aca="false">IF(A26="","",_xlfn.TEXTJOIN(", ",TRUE(),IF(AND(E26&lt;&gt;"",B26&lt;&gt;"Previous CBS Talks spend"),"Amount only allowed for Previous CBS Talks spend",""),IF(AND(B26="Previous CBS Talks spend",E26=""),"Add the amount received",""),IF(AND(D26="",LEFT(B26,8)&lt;&gt;"Previous",B26&lt;&gt;"None found (checked)"),"Source URL needed","")))</f>
        <v/>
      </c>
    </row>
    <row r="27" customFormat="false" ht="15" hidden="false" customHeight="false" outlineLevel="0" collapsed="false">
      <c r="A27" s="27"/>
      <c r="B27" s="27"/>
      <c r="C27" s="27"/>
      <c r="D27" s="27"/>
      <c r="E27" s="29"/>
      <c r="F27" s="27"/>
      <c r="G27" s="27"/>
      <c r="H27" s="28"/>
      <c r="I27" s="32" t="str">
        <f aca="false">IF(A27="","",_xlfn.TEXTJOIN(", ",TRUE(),IF(AND(E27&lt;&gt;"",B27&lt;&gt;"Previous CBS Talks spend"),"Amount only allowed for Previous CBS Talks spend",""),IF(AND(B27="Previous CBS Talks spend",E27=""),"Add the amount received",""),IF(AND(D27="",LEFT(B27,8)&lt;&gt;"Previous",B27&lt;&gt;"None found (checked)"),"Source URL needed","")))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9"/>
      <c r="F28" s="27"/>
      <c r="G28" s="27"/>
      <c r="H28" s="28"/>
      <c r="I28" s="32" t="str">
        <f aca="false">IF(A28="","",_xlfn.TEXTJOIN(", ",TRUE(),IF(AND(E28&lt;&gt;"",B28&lt;&gt;"Previous CBS Talks spend"),"Amount only allowed for Previous CBS Talks spend",""),IF(AND(B28="Previous CBS Talks spend",E28=""),"Add the amount received",""),IF(AND(D28="",LEFT(B28,8)&lt;&gt;"Previous",B28&lt;&gt;"None found (checked)"),"Source URL needed","")))</f>
        <v/>
      </c>
    </row>
    <row r="29" customFormat="false" ht="15" hidden="false" customHeight="false" outlineLevel="0" collapsed="false">
      <c r="A29" s="27"/>
      <c r="B29" s="27"/>
      <c r="C29" s="27"/>
      <c r="D29" s="27"/>
      <c r="E29" s="29"/>
      <c r="F29" s="27"/>
      <c r="G29" s="27"/>
      <c r="H29" s="28"/>
      <c r="I29" s="32" t="str">
        <f aca="false">IF(A29="","",_xlfn.TEXTJOIN(", ",TRUE(),IF(AND(E29&lt;&gt;"",B29&lt;&gt;"Previous CBS Talks spend"),"Amount only allowed for Previous CBS Talks spend",""),IF(AND(B29="Previous CBS Talks spend",E29=""),"Add the amount received",""),IF(AND(D29="",LEFT(B29,8)&lt;&gt;"Previous",B29&lt;&gt;"None found (checked)"),"Source URL needed","")))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9"/>
      <c r="F30" s="27"/>
      <c r="G30" s="27"/>
      <c r="H30" s="28"/>
      <c r="I30" s="32" t="str">
        <f aca="false">IF(A30="","",_xlfn.TEXTJOIN(", ",TRUE(),IF(AND(E30&lt;&gt;"",B30&lt;&gt;"Previous CBS Talks spend"),"Amount only allowed for Previous CBS Talks spend",""),IF(AND(B30="Previous CBS Talks spend",E30=""),"Add the amount received",""),IF(AND(D30="",LEFT(B30,8)&lt;&gt;"Previous",B30&lt;&gt;"None found (checked)"),"Source URL needed","")))</f>
        <v/>
      </c>
    </row>
    <row r="31" customFormat="false" ht="15" hidden="false" customHeight="false" outlineLevel="0" collapsed="false">
      <c r="A31" s="27"/>
      <c r="B31" s="27"/>
      <c r="C31" s="27"/>
      <c r="D31" s="27"/>
      <c r="E31" s="29"/>
      <c r="F31" s="27"/>
      <c r="G31" s="27"/>
      <c r="H31" s="28"/>
      <c r="I31" s="32" t="str">
        <f aca="false">IF(A31="","",_xlfn.TEXTJOIN(", ",TRUE(),IF(AND(E31&lt;&gt;"",B31&lt;&gt;"Previous CBS Talks spend"),"Amount only allowed for Previous CBS Talks spend",""),IF(AND(B31="Previous CBS Talks spend",E31=""),"Add the amount received",""),IF(AND(D31="",LEFT(B31,8)&lt;&gt;"Previous",B31&lt;&gt;"None found (checked)"),"Source URL needed","")))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9"/>
      <c r="F32" s="27"/>
      <c r="G32" s="27"/>
      <c r="H32" s="28"/>
      <c r="I32" s="32" t="str">
        <f aca="false">IF(A32="","",_xlfn.TEXTJOIN(", ",TRUE(),IF(AND(E32&lt;&gt;"",B32&lt;&gt;"Previous CBS Talks spend"),"Amount only allowed for Previous CBS Talks spend",""),IF(AND(B32="Previous CBS Talks spend",E32=""),"Add the amount received",""),IF(AND(D32="",LEFT(B32,8)&lt;&gt;"Previous",B32&lt;&gt;"None found (checked)"),"Source URL needed","")))</f>
        <v/>
      </c>
    </row>
    <row r="33" customFormat="false" ht="15" hidden="false" customHeight="false" outlineLevel="0" collapsed="false">
      <c r="A33" s="27"/>
      <c r="B33" s="27"/>
      <c r="C33" s="27"/>
      <c r="D33" s="27"/>
      <c r="E33" s="29"/>
      <c r="F33" s="27"/>
      <c r="G33" s="27"/>
      <c r="H33" s="28"/>
      <c r="I33" s="32" t="str">
        <f aca="false">IF(A33="","",_xlfn.TEXTJOIN(", ",TRUE(),IF(AND(E33&lt;&gt;"",B33&lt;&gt;"Previous CBS Talks spend"),"Amount only allowed for Previous CBS Talks spend",""),IF(AND(B33="Previous CBS Talks spend",E33=""),"Add the amount received",""),IF(AND(D33="",LEFT(B33,8)&lt;&gt;"Previous",B33&lt;&gt;"None found (checked)"),"Source URL needed","")))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9"/>
      <c r="F34" s="27"/>
      <c r="G34" s="27"/>
      <c r="H34" s="28"/>
      <c r="I34" s="32" t="str">
        <f aca="false">IF(A34="","",_xlfn.TEXTJOIN(", ",TRUE(),IF(AND(E34&lt;&gt;"",B34&lt;&gt;"Previous CBS Talks spend"),"Amount only allowed for Previous CBS Talks spend",""),IF(AND(B34="Previous CBS Talks spend",E34=""),"Add the amount received",""),IF(AND(D34="",LEFT(B34,8)&lt;&gt;"Previous",B34&lt;&gt;"None found (checked)"),"Source URL needed","")))</f>
        <v/>
      </c>
    </row>
    <row r="35" customFormat="false" ht="15" hidden="false" customHeight="false" outlineLevel="0" collapsed="false">
      <c r="A35" s="27"/>
      <c r="B35" s="27"/>
      <c r="C35" s="27"/>
      <c r="D35" s="27"/>
      <c r="E35" s="29"/>
      <c r="F35" s="27"/>
      <c r="G35" s="27"/>
      <c r="H35" s="28"/>
      <c r="I35" s="32" t="str">
        <f aca="false">IF(A35="","",_xlfn.TEXTJOIN(", ",TRUE(),IF(AND(E35&lt;&gt;"",B35&lt;&gt;"Previous CBS Talks spend"),"Amount only allowed for Previous CBS Talks spend",""),IF(AND(B35="Previous CBS Talks spend",E35=""),"Add the amount received",""),IF(AND(D35="",LEFT(B35,8)&lt;&gt;"Previous",B35&lt;&gt;"None found (checked)"),"Source URL needed","")))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9"/>
      <c r="F36" s="27"/>
      <c r="G36" s="27"/>
      <c r="H36" s="28"/>
      <c r="I36" s="32" t="str">
        <f aca="false">IF(A36="","",_xlfn.TEXTJOIN(", ",TRUE(),IF(AND(E36&lt;&gt;"",B36&lt;&gt;"Previous CBS Talks spend"),"Amount only allowed for Previous CBS Talks spend",""),IF(AND(B36="Previous CBS Talks spend",E36=""),"Add the amount received",""),IF(AND(D36="",LEFT(B36,8)&lt;&gt;"Previous",B36&lt;&gt;"None found (checked)"),"Source URL needed","")))</f>
        <v/>
      </c>
    </row>
    <row r="37" customFormat="false" ht="15" hidden="false" customHeight="false" outlineLevel="0" collapsed="false">
      <c r="A37" s="27"/>
      <c r="B37" s="27"/>
      <c r="C37" s="27"/>
      <c r="D37" s="27"/>
      <c r="E37" s="29"/>
      <c r="F37" s="27"/>
      <c r="G37" s="27"/>
      <c r="H37" s="28"/>
      <c r="I37" s="32" t="str">
        <f aca="false">IF(A37="","",_xlfn.TEXTJOIN(", ",TRUE(),IF(AND(E37&lt;&gt;"",B37&lt;&gt;"Previous CBS Talks spend"),"Amount only allowed for Previous CBS Talks spend",""),IF(AND(B37="Previous CBS Talks spend",E37=""),"Add the amount received",""),IF(AND(D37="",LEFT(B37,8)&lt;&gt;"Previous",B37&lt;&gt;"None found (checked)"),"Source URL needed","")))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9"/>
      <c r="F38" s="27"/>
      <c r="G38" s="27"/>
      <c r="H38" s="28"/>
      <c r="I38" s="32" t="str">
        <f aca="false">IF(A38="","",_xlfn.TEXTJOIN(", ",TRUE(),IF(AND(E38&lt;&gt;"",B38&lt;&gt;"Previous CBS Talks spend"),"Amount only allowed for Previous CBS Talks spend",""),IF(AND(B38="Previous CBS Talks spend",E38=""),"Add the amount received",""),IF(AND(D38="",LEFT(B38,8)&lt;&gt;"Previous",B38&lt;&gt;"None found (checked)"),"Source URL needed","")))</f>
        <v/>
      </c>
    </row>
    <row r="39" customFormat="false" ht="15" hidden="false" customHeight="false" outlineLevel="0" collapsed="false">
      <c r="A39" s="27"/>
      <c r="B39" s="27"/>
      <c r="C39" s="27"/>
      <c r="D39" s="27"/>
      <c r="E39" s="29"/>
      <c r="F39" s="27"/>
      <c r="G39" s="27"/>
      <c r="H39" s="28"/>
      <c r="I39" s="32" t="str">
        <f aca="false">IF(A39="","",_xlfn.TEXTJOIN(", ",TRUE(),IF(AND(E39&lt;&gt;"",B39&lt;&gt;"Previous CBS Talks spend"),"Amount only allowed for Previous CBS Talks spend",""),IF(AND(B39="Previous CBS Talks spend",E39=""),"Add the amount received",""),IF(AND(D39="",LEFT(B39,8)&lt;&gt;"Previous",B39&lt;&gt;"None found (checked)"),"Source URL needed","")))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9"/>
      <c r="F40" s="27"/>
      <c r="G40" s="27"/>
      <c r="H40" s="28"/>
      <c r="I40" s="32" t="str">
        <f aca="false">IF(A40="","",_xlfn.TEXTJOIN(", ",TRUE(),IF(AND(E40&lt;&gt;"",B40&lt;&gt;"Previous CBS Talks spend"),"Amount only allowed for Previous CBS Talks spend",""),IF(AND(B40="Previous CBS Talks spend",E40=""),"Add the amount received",""),IF(AND(D40="",LEFT(B40,8)&lt;&gt;"Previous",B40&lt;&gt;"None found (checked)"),"Source URL needed","")))</f>
        <v/>
      </c>
    </row>
    <row r="41" customFormat="false" ht="15" hidden="false" customHeight="false" outlineLevel="0" collapsed="false">
      <c r="A41" s="27"/>
      <c r="B41" s="27"/>
      <c r="C41" s="27"/>
      <c r="D41" s="27"/>
      <c r="E41" s="29"/>
      <c r="F41" s="27"/>
      <c r="G41" s="27"/>
      <c r="H41" s="28"/>
      <c r="I41" s="32" t="str">
        <f aca="false">IF(A41="","",_xlfn.TEXTJOIN(", ",TRUE(),IF(AND(E41&lt;&gt;"",B41&lt;&gt;"Previous CBS Talks spend"),"Amount only allowed for Previous CBS Talks spend",""),IF(AND(B41="Previous CBS Talks spend",E41=""),"Add the amount received",""),IF(AND(D41="",LEFT(B41,8)&lt;&gt;"Previous",B41&lt;&gt;"None found (checked)"),"Source URL needed","")))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9"/>
      <c r="F42" s="27"/>
      <c r="G42" s="27"/>
      <c r="H42" s="28"/>
      <c r="I42" s="32" t="str">
        <f aca="false">IF(A42="","",_xlfn.TEXTJOIN(", ",TRUE(),IF(AND(E42&lt;&gt;"",B42&lt;&gt;"Previous CBS Talks spend"),"Amount only allowed for Previous CBS Talks spend",""),IF(AND(B42="Previous CBS Talks spend",E42=""),"Add the amount received",""),IF(AND(D42="",LEFT(B42,8)&lt;&gt;"Previous",B42&lt;&gt;"None found (checked)"),"Source URL needed","")))</f>
        <v/>
      </c>
    </row>
    <row r="43" customFormat="false" ht="15" hidden="false" customHeight="false" outlineLevel="0" collapsed="false">
      <c r="A43" s="27"/>
      <c r="B43" s="27"/>
      <c r="C43" s="27"/>
      <c r="D43" s="27"/>
      <c r="E43" s="29"/>
      <c r="F43" s="27"/>
      <c r="G43" s="27"/>
      <c r="H43" s="28"/>
      <c r="I43" s="32" t="str">
        <f aca="false">IF(A43="","",_xlfn.TEXTJOIN(", ",TRUE(),IF(AND(E43&lt;&gt;"",B43&lt;&gt;"Previous CBS Talks spend"),"Amount only allowed for Previous CBS Talks spend",""),IF(AND(B43="Previous CBS Talks spend",E43=""),"Add the amount received",""),IF(AND(D43="",LEFT(B43,8)&lt;&gt;"Previous",B43&lt;&gt;"None found (checked)"),"Source URL needed","")))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9"/>
      <c r="F44" s="27"/>
      <c r="G44" s="27"/>
      <c r="H44" s="28"/>
      <c r="I44" s="32" t="str">
        <f aca="false">IF(A44="","",_xlfn.TEXTJOIN(", ",TRUE(),IF(AND(E44&lt;&gt;"",B44&lt;&gt;"Previous CBS Talks spend"),"Amount only allowed for Previous CBS Talks spend",""),IF(AND(B44="Previous CBS Talks spend",E44=""),"Add the amount received",""),IF(AND(D44="",LEFT(B44,8)&lt;&gt;"Previous",B44&lt;&gt;"None found (checked)"),"Source URL needed","")))</f>
        <v/>
      </c>
    </row>
    <row r="45" customFormat="false" ht="15" hidden="false" customHeight="false" outlineLevel="0" collapsed="false">
      <c r="A45" s="27"/>
      <c r="B45" s="27"/>
      <c r="C45" s="27"/>
      <c r="D45" s="27"/>
      <c r="E45" s="29"/>
      <c r="F45" s="27"/>
      <c r="G45" s="27"/>
      <c r="H45" s="28"/>
      <c r="I45" s="32" t="str">
        <f aca="false">IF(A45="","",_xlfn.TEXTJOIN(", ",TRUE(),IF(AND(E45&lt;&gt;"",B45&lt;&gt;"Previous CBS Talks spend"),"Amount only allowed for Previous CBS Talks spend",""),IF(AND(B45="Previous CBS Talks spend",E45=""),"Add the amount received",""),IF(AND(D45="",LEFT(B45,8)&lt;&gt;"Previous",B45&lt;&gt;"None found (checked)"),"Source URL needed","")))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9"/>
      <c r="F46" s="27"/>
      <c r="G46" s="27"/>
      <c r="H46" s="28"/>
      <c r="I46" s="32" t="str">
        <f aca="false">IF(A46="","",_xlfn.TEXTJOIN(", ",TRUE(),IF(AND(E46&lt;&gt;"",B46&lt;&gt;"Previous CBS Talks spend"),"Amount only allowed for Previous CBS Talks spend",""),IF(AND(B46="Previous CBS Talks spend",E46=""),"Add the amount received",""),IF(AND(D46="",LEFT(B46,8)&lt;&gt;"Previous",B46&lt;&gt;"None found (checked)"),"Source URL needed","")))</f>
        <v/>
      </c>
    </row>
    <row r="47" customFormat="false" ht="15" hidden="false" customHeight="false" outlineLevel="0" collapsed="false">
      <c r="A47" s="27"/>
      <c r="B47" s="27"/>
      <c r="C47" s="27"/>
      <c r="D47" s="27"/>
      <c r="E47" s="29"/>
      <c r="F47" s="27"/>
      <c r="G47" s="27"/>
      <c r="H47" s="28"/>
      <c r="I47" s="32" t="str">
        <f aca="false">IF(A47="","",_xlfn.TEXTJOIN(", ",TRUE(),IF(AND(E47&lt;&gt;"",B47&lt;&gt;"Previous CBS Talks spend"),"Amount only allowed for Previous CBS Talks spend",""),IF(AND(B47="Previous CBS Talks spend",E47=""),"Add the amount received",""),IF(AND(D47="",LEFT(B47,8)&lt;&gt;"Previous",B47&lt;&gt;"None found (checked)"),"Source URL needed","")))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9"/>
      <c r="F48" s="27"/>
      <c r="G48" s="27"/>
      <c r="H48" s="28"/>
      <c r="I48" s="32" t="str">
        <f aca="false">IF(A48="","",_xlfn.TEXTJOIN(", ",TRUE(),IF(AND(E48&lt;&gt;"",B48&lt;&gt;"Previous CBS Talks spend"),"Amount only allowed for Previous CBS Talks spend",""),IF(AND(B48="Previous CBS Talks spend",E48=""),"Add the amount received",""),IF(AND(D48="",LEFT(B48,8)&lt;&gt;"Previous",B48&lt;&gt;"None found (checked)"),"Source URL needed","")))</f>
        <v/>
      </c>
    </row>
    <row r="49" customFormat="false" ht="15" hidden="false" customHeight="false" outlineLevel="0" collapsed="false">
      <c r="A49" s="27"/>
      <c r="B49" s="27"/>
      <c r="C49" s="27"/>
      <c r="D49" s="27"/>
      <c r="E49" s="29"/>
      <c r="F49" s="27"/>
      <c r="G49" s="27"/>
      <c r="H49" s="28"/>
      <c r="I49" s="32" t="str">
        <f aca="false">IF(A49="","",_xlfn.TEXTJOIN(", ",TRUE(),IF(AND(E49&lt;&gt;"",B49&lt;&gt;"Previous CBS Talks spend"),"Amount only allowed for Previous CBS Talks spend",""),IF(AND(B49="Previous CBS Talks spend",E49=""),"Add the amount received",""),IF(AND(D49="",LEFT(B49,8)&lt;&gt;"Previous",B49&lt;&gt;"None found (checked)"),"Source URL needed","")))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9"/>
      <c r="F50" s="27"/>
      <c r="G50" s="27"/>
      <c r="H50" s="28"/>
      <c r="I50" s="32" t="str">
        <f aca="false">IF(A50="","",_xlfn.TEXTJOIN(", ",TRUE(),IF(AND(E50&lt;&gt;"",B50&lt;&gt;"Previous CBS Talks spend"),"Amount only allowed for Previous CBS Talks spend",""),IF(AND(B50="Previous CBS Talks spend",E50=""),"Add the amount received",""),IF(AND(D50="",LEFT(B50,8)&lt;&gt;"Previous",B50&lt;&gt;"None found (checked)"),"Source URL needed","")))</f>
        <v/>
      </c>
    </row>
    <row r="51" customFormat="false" ht="15" hidden="false" customHeight="false" outlineLevel="0" collapsed="false">
      <c r="A51" s="27"/>
      <c r="B51" s="27"/>
      <c r="C51" s="27"/>
      <c r="D51" s="27"/>
      <c r="E51" s="29"/>
      <c r="F51" s="27"/>
      <c r="G51" s="27"/>
      <c r="H51" s="28"/>
      <c r="I51" s="32" t="str">
        <f aca="false">IF(A51="","",_xlfn.TEXTJOIN(", ",TRUE(),IF(AND(E51&lt;&gt;"",B51&lt;&gt;"Previous CBS Talks spend"),"Amount only allowed for Previous CBS Talks spend",""),IF(AND(B51="Previous CBS Talks spend",E51=""),"Add the amount received",""),IF(AND(D51="",LEFT(B51,8)&lt;&gt;"Previous",B51&lt;&gt;"None found (checked)"),"Source URL needed","")))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9"/>
      <c r="F52" s="27"/>
      <c r="G52" s="27"/>
      <c r="H52" s="28"/>
      <c r="I52" s="32" t="str">
        <f aca="false">IF(A52="","",_xlfn.TEXTJOIN(", ",TRUE(),IF(AND(E52&lt;&gt;"",B52&lt;&gt;"Previous CBS Talks spend"),"Amount only allowed for Previous CBS Talks spend",""),IF(AND(B52="Previous CBS Talks spend",E52=""),"Add the amount received",""),IF(AND(D52="",LEFT(B52,8)&lt;&gt;"Previous",B52&lt;&gt;"None found (checked)"),"Source URL needed","")))</f>
        <v/>
      </c>
    </row>
    <row r="53" customFormat="false" ht="15" hidden="false" customHeight="false" outlineLevel="0" collapsed="false">
      <c r="A53" s="27"/>
      <c r="B53" s="27"/>
      <c r="C53" s="27"/>
      <c r="D53" s="27"/>
      <c r="E53" s="29"/>
      <c r="F53" s="27"/>
      <c r="G53" s="27"/>
      <c r="H53" s="28"/>
      <c r="I53" s="32" t="str">
        <f aca="false">IF(A53="","",_xlfn.TEXTJOIN(", ",TRUE(),IF(AND(E53&lt;&gt;"",B53&lt;&gt;"Previous CBS Talks spend"),"Amount only allowed for Previous CBS Talks spend",""),IF(AND(B53="Previous CBS Talks spend",E53=""),"Add the amount received",""),IF(AND(D53="",LEFT(B53,8)&lt;&gt;"Previous",B53&lt;&gt;"None found (checked)"),"Source URL needed","")))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9"/>
      <c r="F54" s="27"/>
      <c r="G54" s="27"/>
      <c r="H54" s="28"/>
      <c r="I54" s="32" t="str">
        <f aca="false">IF(A54="","",_xlfn.TEXTJOIN(", ",TRUE(),IF(AND(E54&lt;&gt;"",B54&lt;&gt;"Previous CBS Talks spend"),"Amount only allowed for Previous CBS Talks spend",""),IF(AND(B54="Previous CBS Talks spend",E54=""),"Add the amount received",""),IF(AND(D54="",LEFT(B54,8)&lt;&gt;"Previous",B54&lt;&gt;"None found (checked)"),"Source URL needed","")))</f>
        <v/>
      </c>
    </row>
    <row r="55" customFormat="false" ht="15" hidden="false" customHeight="false" outlineLevel="0" collapsed="false">
      <c r="A55" s="27"/>
      <c r="B55" s="27"/>
      <c r="C55" s="27"/>
      <c r="D55" s="27"/>
      <c r="E55" s="29"/>
      <c r="F55" s="27"/>
      <c r="G55" s="27"/>
      <c r="H55" s="28"/>
      <c r="I55" s="32" t="str">
        <f aca="false">IF(A55="","",_xlfn.TEXTJOIN(", ",TRUE(),IF(AND(E55&lt;&gt;"",B55&lt;&gt;"Previous CBS Talks spend"),"Amount only allowed for Previous CBS Talks spend",""),IF(AND(B55="Previous CBS Talks spend",E55=""),"Add the amount received",""),IF(AND(D55="",LEFT(B55,8)&lt;&gt;"Previous",B55&lt;&gt;"None found (checked)"),"Source URL needed","")))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9"/>
      <c r="F56" s="27"/>
      <c r="G56" s="27"/>
      <c r="H56" s="28"/>
      <c r="I56" s="32" t="str">
        <f aca="false">IF(A56="","",_xlfn.TEXTJOIN(", ",TRUE(),IF(AND(E56&lt;&gt;"",B56&lt;&gt;"Previous CBS Talks spend"),"Amount only allowed for Previous CBS Talks spend",""),IF(AND(B56="Previous CBS Talks spend",E56=""),"Add the amount received",""),IF(AND(D56="",LEFT(B56,8)&lt;&gt;"Previous",B56&lt;&gt;"None found (checked)"),"Source URL needed","")))</f>
        <v/>
      </c>
    </row>
    <row r="57" customFormat="false" ht="15" hidden="false" customHeight="false" outlineLevel="0" collapsed="false">
      <c r="A57" s="27"/>
      <c r="B57" s="27"/>
      <c r="C57" s="27"/>
      <c r="D57" s="27"/>
      <c r="E57" s="29"/>
      <c r="F57" s="27"/>
      <c r="G57" s="27"/>
      <c r="H57" s="28"/>
      <c r="I57" s="32" t="str">
        <f aca="false">IF(A57="","",_xlfn.TEXTJOIN(", ",TRUE(),IF(AND(E57&lt;&gt;"",B57&lt;&gt;"Previous CBS Talks spend"),"Amount only allowed for Previous CBS Talks spend",""),IF(AND(B57="Previous CBS Talks spend",E57=""),"Add the amount received",""),IF(AND(D57="",LEFT(B57,8)&lt;&gt;"Previous",B57&lt;&gt;"None found (checked)"),"Source URL needed","")))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9"/>
      <c r="F58" s="27"/>
      <c r="G58" s="27"/>
      <c r="H58" s="28"/>
      <c r="I58" s="32" t="str">
        <f aca="false">IF(A58="","",_xlfn.TEXTJOIN(", ",TRUE(),IF(AND(E58&lt;&gt;"",B58&lt;&gt;"Previous CBS Talks spend"),"Amount only allowed for Previous CBS Talks spend",""),IF(AND(B58="Previous CBS Talks spend",E58=""),"Add the amount received",""),IF(AND(D58="",LEFT(B58,8)&lt;&gt;"Previous",B58&lt;&gt;"None found (checked)"),"Source URL needed","")))</f>
        <v/>
      </c>
    </row>
    <row r="59" customFormat="false" ht="15" hidden="false" customHeight="false" outlineLevel="0" collapsed="false">
      <c r="A59" s="27"/>
      <c r="B59" s="27"/>
      <c r="C59" s="27"/>
      <c r="D59" s="27"/>
      <c r="E59" s="29"/>
      <c r="F59" s="27"/>
      <c r="G59" s="27"/>
      <c r="H59" s="28"/>
      <c r="I59" s="32" t="str">
        <f aca="false">IF(A59="","",_xlfn.TEXTJOIN(", ",TRUE(),IF(AND(E59&lt;&gt;"",B59&lt;&gt;"Previous CBS Talks spend"),"Amount only allowed for Previous CBS Talks spend",""),IF(AND(B59="Previous CBS Talks spend",E59=""),"Add the amount received",""),IF(AND(D59="",LEFT(B59,8)&lt;&gt;"Previous",B59&lt;&gt;"None found (checked)"),"Source URL needed","")))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9"/>
      <c r="F60" s="27"/>
      <c r="G60" s="27"/>
      <c r="H60" s="28"/>
      <c r="I60" s="32" t="str">
        <f aca="false">IF(A60="","",_xlfn.TEXTJOIN(", ",TRUE(),IF(AND(E60&lt;&gt;"",B60&lt;&gt;"Previous CBS Talks spend"),"Amount only allowed for Previous CBS Talks spend",""),IF(AND(B60="Previous CBS Talks spend",E60=""),"Add the amount received",""),IF(AND(D60="",LEFT(B60,8)&lt;&gt;"Previous",B60&lt;&gt;"None found (checked)"),"Source URL needed","")))</f>
        <v/>
      </c>
    </row>
    <row r="61" customFormat="false" ht="15" hidden="false" customHeight="false" outlineLevel="0" collapsed="false">
      <c r="A61" s="27"/>
      <c r="B61" s="27"/>
      <c r="C61" s="27"/>
      <c r="D61" s="27"/>
      <c r="E61" s="29"/>
      <c r="F61" s="27"/>
      <c r="G61" s="27"/>
      <c r="H61" s="28"/>
      <c r="I61" s="32" t="str">
        <f aca="false">IF(A61="","",_xlfn.TEXTJOIN(", ",TRUE(),IF(AND(E61&lt;&gt;"",B61&lt;&gt;"Previous CBS Talks spend"),"Amount only allowed for Previous CBS Talks spend",""),IF(AND(B61="Previous CBS Talks spend",E61=""),"Add the amount received",""),IF(AND(D61="",LEFT(B61,8)&lt;&gt;"Previous",B61&lt;&gt;"None found (checked)"),"Source URL needed","")))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9"/>
      <c r="F62" s="27"/>
      <c r="G62" s="27"/>
      <c r="H62" s="28"/>
      <c r="I62" s="32" t="str">
        <f aca="false">IF(A62="","",_xlfn.TEXTJOIN(", ",TRUE(),IF(AND(E62&lt;&gt;"",B62&lt;&gt;"Previous CBS Talks spend"),"Amount only allowed for Previous CBS Talks spend",""),IF(AND(B62="Previous CBS Talks spend",E62=""),"Add the amount received",""),IF(AND(D62="",LEFT(B62,8)&lt;&gt;"Previous",B62&lt;&gt;"None found (checked)"),"Source URL needed","")))</f>
        <v/>
      </c>
    </row>
    <row r="63" customFormat="false" ht="15" hidden="false" customHeight="false" outlineLevel="0" collapsed="false">
      <c r="A63" s="27"/>
      <c r="B63" s="27"/>
      <c r="C63" s="27"/>
      <c r="D63" s="27"/>
      <c r="E63" s="29"/>
      <c r="F63" s="27"/>
      <c r="G63" s="27"/>
      <c r="H63" s="28"/>
      <c r="I63" s="32" t="str">
        <f aca="false">IF(A63="","",_xlfn.TEXTJOIN(", ",TRUE(),IF(AND(E63&lt;&gt;"",B63&lt;&gt;"Previous CBS Talks spend"),"Amount only allowed for Previous CBS Talks spend",""),IF(AND(B63="Previous CBS Talks spend",E63=""),"Add the amount received",""),IF(AND(D63="",LEFT(B63,8)&lt;&gt;"Previous",B63&lt;&gt;"None found (checked)"),"Source URL needed","")))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9"/>
      <c r="F64" s="27"/>
      <c r="G64" s="27"/>
      <c r="H64" s="28"/>
      <c r="I64" s="32" t="str">
        <f aca="false">IF(A64="","",_xlfn.TEXTJOIN(", ",TRUE(),IF(AND(E64&lt;&gt;"",B64&lt;&gt;"Previous CBS Talks spend"),"Amount only allowed for Previous CBS Talks spend",""),IF(AND(B64="Previous CBS Talks spend",E64=""),"Add the amount received",""),IF(AND(D64="",LEFT(B64,8)&lt;&gt;"Previous",B64&lt;&gt;"None found (checked)"),"Source URL needed","")))</f>
        <v/>
      </c>
    </row>
    <row r="65" customFormat="false" ht="15" hidden="false" customHeight="false" outlineLevel="0" collapsed="false">
      <c r="A65" s="27"/>
      <c r="B65" s="27"/>
      <c r="C65" s="27"/>
      <c r="D65" s="27"/>
      <c r="E65" s="29"/>
      <c r="F65" s="27"/>
      <c r="G65" s="27"/>
      <c r="H65" s="28"/>
      <c r="I65" s="32" t="str">
        <f aca="false">IF(A65="","",_xlfn.TEXTJOIN(", ",TRUE(),IF(AND(E65&lt;&gt;"",B65&lt;&gt;"Previous CBS Talks spend"),"Amount only allowed for Previous CBS Talks spend",""),IF(AND(B65="Previous CBS Talks spend",E65=""),"Add the amount received",""),IF(AND(D65="",LEFT(B65,8)&lt;&gt;"Previous",B65&lt;&gt;"None found (checked)"),"Source URL needed","")))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9"/>
      <c r="F66" s="27"/>
      <c r="G66" s="27"/>
      <c r="H66" s="28"/>
      <c r="I66" s="32" t="str">
        <f aca="false">IF(A66="","",_xlfn.TEXTJOIN(", ",TRUE(),IF(AND(E66&lt;&gt;"",B66&lt;&gt;"Previous CBS Talks spend"),"Amount only allowed for Previous CBS Talks spend",""),IF(AND(B66="Previous CBS Talks spend",E66=""),"Add the amount received",""),IF(AND(D66="",LEFT(B66,8)&lt;&gt;"Previous",B66&lt;&gt;"None found (checked)"),"Source URL needed","")))</f>
        <v/>
      </c>
    </row>
    <row r="67" customFormat="false" ht="15" hidden="false" customHeight="false" outlineLevel="0" collapsed="false">
      <c r="A67" s="27"/>
      <c r="B67" s="27"/>
      <c r="C67" s="27"/>
      <c r="D67" s="27"/>
      <c r="E67" s="29"/>
      <c r="F67" s="27"/>
      <c r="G67" s="27"/>
      <c r="H67" s="28"/>
      <c r="I67" s="32" t="str">
        <f aca="false">IF(A67="","",_xlfn.TEXTJOIN(", ",TRUE(),IF(AND(E67&lt;&gt;"",B67&lt;&gt;"Previous CBS Talks spend"),"Amount only allowed for Previous CBS Talks spend",""),IF(AND(B67="Previous CBS Talks spend",E67=""),"Add the amount received",""),IF(AND(D67="",LEFT(B67,8)&lt;&gt;"Previous",B67&lt;&gt;"None found (checked)"),"Source URL needed","")))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9"/>
      <c r="F68" s="27"/>
      <c r="G68" s="27"/>
      <c r="H68" s="28"/>
      <c r="I68" s="32" t="str">
        <f aca="false">IF(A68="","",_xlfn.TEXTJOIN(", ",TRUE(),IF(AND(E68&lt;&gt;"",B68&lt;&gt;"Previous CBS Talks spend"),"Amount only allowed for Previous CBS Talks spend",""),IF(AND(B68="Previous CBS Talks spend",E68=""),"Add the amount received",""),IF(AND(D68="",LEFT(B68,8)&lt;&gt;"Previous",B68&lt;&gt;"None found (checked)"),"Source URL needed","")))</f>
        <v/>
      </c>
    </row>
    <row r="69" customFormat="false" ht="15" hidden="false" customHeight="false" outlineLevel="0" collapsed="false">
      <c r="A69" s="27"/>
      <c r="B69" s="27"/>
      <c r="C69" s="27"/>
      <c r="D69" s="27"/>
      <c r="E69" s="29"/>
      <c r="F69" s="27"/>
      <c r="G69" s="27"/>
      <c r="H69" s="28"/>
      <c r="I69" s="32" t="str">
        <f aca="false">IF(A69="","",_xlfn.TEXTJOIN(", ",TRUE(),IF(AND(E69&lt;&gt;"",B69&lt;&gt;"Previous CBS Talks spend"),"Amount only allowed for Previous CBS Talks spend",""),IF(AND(B69="Previous CBS Talks spend",E69=""),"Add the amount received",""),IF(AND(D69="",LEFT(B69,8)&lt;&gt;"Previous",B69&lt;&gt;"None found (checked)"),"Source URL needed","")))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9"/>
      <c r="F70" s="27"/>
      <c r="G70" s="27"/>
      <c r="H70" s="28"/>
      <c r="I70" s="32" t="str">
        <f aca="false">IF(A70="","",_xlfn.TEXTJOIN(", ",TRUE(),IF(AND(E70&lt;&gt;"",B70&lt;&gt;"Previous CBS Talks spend"),"Amount only allowed for Previous CBS Talks spend",""),IF(AND(B70="Previous CBS Talks spend",E70=""),"Add the amount received",""),IF(AND(D70="",LEFT(B70,8)&lt;&gt;"Previous",B70&lt;&gt;"None found (checked)"),"Source URL needed","")))</f>
        <v/>
      </c>
    </row>
    <row r="71" customFormat="false" ht="15" hidden="false" customHeight="false" outlineLevel="0" collapsed="false">
      <c r="A71" s="27"/>
      <c r="B71" s="27"/>
      <c r="C71" s="27"/>
      <c r="D71" s="27"/>
      <c r="E71" s="29"/>
      <c r="F71" s="27"/>
      <c r="G71" s="27"/>
      <c r="H71" s="28"/>
      <c r="I71" s="32" t="str">
        <f aca="false">IF(A71="","",_xlfn.TEXTJOIN(", ",TRUE(),IF(AND(E71&lt;&gt;"",B71&lt;&gt;"Previous CBS Talks spend"),"Amount only allowed for Previous CBS Talks spend",""),IF(AND(B71="Previous CBS Talks spend",E71=""),"Add the amount received",""),IF(AND(D71="",LEFT(B71,8)&lt;&gt;"Previous",B71&lt;&gt;"None found (checked)"),"Source URL needed","")))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9"/>
      <c r="F72" s="27"/>
      <c r="G72" s="27"/>
      <c r="H72" s="28"/>
      <c r="I72" s="32" t="str">
        <f aca="false">IF(A72="","",_xlfn.TEXTJOIN(", ",TRUE(),IF(AND(E72&lt;&gt;"",B72&lt;&gt;"Previous CBS Talks spend"),"Amount only allowed for Previous CBS Talks spend",""),IF(AND(B72="Previous CBS Talks spend",E72=""),"Add the amount received",""),IF(AND(D72="",LEFT(B72,8)&lt;&gt;"Previous",B72&lt;&gt;"None found (checked)"),"Source URL needed","")))</f>
        <v/>
      </c>
    </row>
    <row r="73" customFormat="false" ht="15" hidden="false" customHeight="false" outlineLevel="0" collapsed="false">
      <c r="A73" s="27"/>
      <c r="B73" s="27"/>
      <c r="C73" s="27"/>
      <c r="D73" s="27"/>
      <c r="E73" s="29"/>
      <c r="F73" s="27"/>
      <c r="G73" s="27"/>
      <c r="H73" s="28"/>
      <c r="I73" s="32" t="str">
        <f aca="false">IF(A73="","",_xlfn.TEXTJOIN(", ",TRUE(),IF(AND(E73&lt;&gt;"",B73&lt;&gt;"Previous CBS Talks spend"),"Amount only allowed for Previous CBS Talks spend",""),IF(AND(B73="Previous CBS Talks spend",E73=""),"Add the amount received",""),IF(AND(D73="",LEFT(B73,8)&lt;&gt;"Previous",B73&lt;&gt;"None found (checked)"),"Source URL needed","")))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9"/>
      <c r="F74" s="27"/>
      <c r="G74" s="27"/>
      <c r="H74" s="28"/>
      <c r="I74" s="32" t="str">
        <f aca="false">IF(A74="","",_xlfn.TEXTJOIN(", ",TRUE(),IF(AND(E74&lt;&gt;"",B74&lt;&gt;"Previous CBS Talks spend"),"Amount only allowed for Previous CBS Talks spend",""),IF(AND(B74="Previous CBS Talks spend",E74=""),"Add the amount received",""),IF(AND(D74="",LEFT(B74,8)&lt;&gt;"Previous",B74&lt;&gt;"None found (checked)"),"Source URL needed","")))</f>
        <v/>
      </c>
    </row>
    <row r="75" customFormat="false" ht="15" hidden="false" customHeight="false" outlineLevel="0" collapsed="false">
      <c r="A75" s="27"/>
      <c r="B75" s="27"/>
      <c r="C75" s="27"/>
      <c r="D75" s="27"/>
      <c r="E75" s="29"/>
      <c r="F75" s="27"/>
      <c r="G75" s="27"/>
      <c r="H75" s="28"/>
      <c r="I75" s="32" t="str">
        <f aca="false">IF(A75="","",_xlfn.TEXTJOIN(", ",TRUE(),IF(AND(E75&lt;&gt;"",B75&lt;&gt;"Previous CBS Talks spend"),"Amount only allowed for Previous CBS Talks spend",""),IF(AND(B75="Previous CBS Talks spend",E75=""),"Add the amount received",""),IF(AND(D75="",LEFT(B75,8)&lt;&gt;"Previous",B75&lt;&gt;"None found (checked)"),"Source URL needed","")))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9"/>
      <c r="F76" s="27"/>
      <c r="G76" s="27"/>
      <c r="H76" s="28"/>
      <c r="I76" s="32" t="str">
        <f aca="false">IF(A76="","",_xlfn.TEXTJOIN(", ",TRUE(),IF(AND(E76&lt;&gt;"",B76&lt;&gt;"Previous CBS Talks spend"),"Amount only allowed for Previous CBS Talks spend",""),IF(AND(B76="Previous CBS Talks spend",E76=""),"Add the amount received",""),IF(AND(D76="",LEFT(B76,8)&lt;&gt;"Previous",B76&lt;&gt;"None found (checked)"),"Source URL needed","")))</f>
        <v/>
      </c>
    </row>
    <row r="77" customFormat="false" ht="15" hidden="false" customHeight="false" outlineLevel="0" collapsed="false">
      <c r="A77" s="27"/>
      <c r="B77" s="27"/>
      <c r="C77" s="27"/>
      <c r="D77" s="27"/>
      <c r="E77" s="29"/>
      <c r="F77" s="27"/>
      <c r="G77" s="27"/>
      <c r="H77" s="28"/>
      <c r="I77" s="32" t="str">
        <f aca="false">IF(A77="","",_xlfn.TEXTJOIN(", ",TRUE(),IF(AND(E77&lt;&gt;"",B77&lt;&gt;"Previous CBS Talks spend"),"Amount only allowed for Previous CBS Talks spend",""),IF(AND(B77="Previous CBS Talks spend",E77=""),"Add the amount received",""),IF(AND(D77="",LEFT(B77,8)&lt;&gt;"Previous",B77&lt;&gt;"None found (checked)"),"Source URL needed","")))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9"/>
      <c r="F78" s="27"/>
      <c r="G78" s="27"/>
      <c r="H78" s="28"/>
      <c r="I78" s="32" t="str">
        <f aca="false">IF(A78="","",_xlfn.TEXTJOIN(", ",TRUE(),IF(AND(E78&lt;&gt;"",B78&lt;&gt;"Previous CBS Talks spend"),"Amount only allowed for Previous CBS Talks spend",""),IF(AND(B78="Previous CBS Talks spend",E78=""),"Add the amount received",""),IF(AND(D78="",LEFT(B78,8)&lt;&gt;"Previous",B78&lt;&gt;"None found (checked)"),"Source URL needed","")))</f>
        <v/>
      </c>
    </row>
    <row r="79" customFormat="false" ht="15" hidden="false" customHeight="false" outlineLevel="0" collapsed="false">
      <c r="A79" s="27"/>
      <c r="B79" s="27"/>
      <c r="C79" s="27"/>
      <c r="D79" s="27"/>
      <c r="E79" s="29"/>
      <c r="F79" s="27"/>
      <c r="G79" s="27"/>
      <c r="H79" s="28"/>
      <c r="I79" s="32" t="str">
        <f aca="false">IF(A79="","",_xlfn.TEXTJOIN(", ",TRUE(),IF(AND(E79&lt;&gt;"",B79&lt;&gt;"Previous CBS Talks spend"),"Amount only allowed for Previous CBS Talks spend",""),IF(AND(B79="Previous CBS Talks spend",E79=""),"Add the amount received",""),IF(AND(D79="",LEFT(B79,8)&lt;&gt;"Previous",B79&lt;&gt;"None found (checked)"),"Source URL needed","")))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9"/>
      <c r="F80" s="27"/>
      <c r="G80" s="27"/>
      <c r="H80" s="28"/>
      <c r="I80" s="32" t="str">
        <f aca="false">IF(A80="","",_xlfn.TEXTJOIN(", ",TRUE(),IF(AND(E80&lt;&gt;"",B80&lt;&gt;"Previous CBS Talks spend"),"Amount only allowed for Previous CBS Talks spend",""),IF(AND(B80="Previous CBS Talks spend",E80=""),"Add the amount received",""),IF(AND(D80="",LEFT(B80,8)&lt;&gt;"Previous",B80&lt;&gt;"None found (checked)"),"Source URL needed","")))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9"/>
      <c r="F81" s="27"/>
      <c r="G81" s="27"/>
      <c r="H81" s="28"/>
      <c r="I81" s="32" t="str">
        <f aca="false">IF(A81="","",_xlfn.TEXTJOIN(", ",TRUE(),IF(AND(E81&lt;&gt;"",B81&lt;&gt;"Previous CBS Talks spend"),"Amount only allowed for Previous CBS Talks spend",""),IF(AND(B81="Previous CBS Talks spend",E81=""),"Add the amount received",""),IF(AND(D81="",LEFT(B81,8)&lt;&gt;"Previous",B81&lt;&gt;"None found (checked)"),"Source URL needed","")))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9"/>
      <c r="F82" s="27"/>
      <c r="G82" s="27"/>
      <c r="H82" s="28"/>
      <c r="I82" s="32" t="str">
        <f aca="false">IF(A82="","",_xlfn.TEXTJOIN(", ",TRUE(),IF(AND(E82&lt;&gt;"",B82&lt;&gt;"Previous CBS Talks spend"),"Amount only allowed for Previous CBS Talks spend",""),IF(AND(B82="Previous CBS Talks spend",E82=""),"Add the amount received",""),IF(AND(D82="",LEFT(B82,8)&lt;&gt;"Previous",B82&lt;&gt;"None found (checked)"),"Source URL needed","")))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9"/>
      <c r="F83" s="27"/>
      <c r="G83" s="27"/>
      <c r="H83" s="28"/>
      <c r="I83" s="32" t="str">
        <f aca="false">IF(A83="","",_xlfn.TEXTJOIN(", ",TRUE(),IF(AND(E83&lt;&gt;"",B83&lt;&gt;"Previous CBS Talks spend"),"Amount only allowed for Previous CBS Talks spend",""),IF(AND(B83="Previous CBS Talks spend",E83=""),"Add the amount received",""),IF(AND(D83="",LEFT(B83,8)&lt;&gt;"Previous",B83&lt;&gt;"None found (checked)"),"Source URL needed","")))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9"/>
      <c r="F84" s="27"/>
      <c r="G84" s="27"/>
      <c r="H84" s="28"/>
      <c r="I84" s="32" t="str">
        <f aca="false">IF(A84="","",_xlfn.TEXTJOIN(", ",TRUE(),IF(AND(E84&lt;&gt;"",B84&lt;&gt;"Previous CBS Talks spend"),"Amount only allowed for Previous CBS Talks spend",""),IF(AND(B84="Previous CBS Talks spend",E84=""),"Add the amount received",""),IF(AND(D84="",LEFT(B84,8)&lt;&gt;"Previous",B84&lt;&gt;"None found (checked)"),"Source URL needed","")))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9"/>
      <c r="F85" s="27"/>
      <c r="G85" s="27"/>
      <c r="H85" s="28"/>
      <c r="I85" s="32" t="str">
        <f aca="false">IF(A85="","",_xlfn.TEXTJOIN(", ",TRUE(),IF(AND(E85&lt;&gt;"",B85&lt;&gt;"Previous CBS Talks spend"),"Amount only allowed for Previous CBS Talks spend",""),IF(AND(B85="Previous CBS Talks spend",E85=""),"Add the amount received",""),IF(AND(D85="",LEFT(B85,8)&lt;&gt;"Previous",B85&lt;&gt;"None found (checked)"),"Source URL needed","")))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9"/>
      <c r="F86" s="27"/>
      <c r="G86" s="27"/>
      <c r="H86" s="28"/>
      <c r="I86" s="32" t="str">
        <f aca="false">IF(A86="","",_xlfn.TEXTJOIN(", ",TRUE(),IF(AND(E86&lt;&gt;"",B86&lt;&gt;"Previous CBS Talks spend"),"Amount only allowed for Previous CBS Talks spend",""),IF(AND(B86="Previous CBS Talks spend",E86=""),"Add the amount received",""),IF(AND(D86="",LEFT(B86,8)&lt;&gt;"Previous",B86&lt;&gt;"None found (checked)"),"Source URL needed","")))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9"/>
      <c r="F87" s="27"/>
      <c r="G87" s="27"/>
      <c r="H87" s="28"/>
      <c r="I87" s="32" t="str">
        <f aca="false">IF(A87="","",_xlfn.TEXTJOIN(", ",TRUE(),IF(AND(E87&lt;&gt;"",B87&lt;&gt;"Previous CBS Talks spend"),"Amount only allowed for Previous CBS Talks spend",""),IF(AND(B87="Previous CBS Talks spend",E87=""),"Add the amount received",""),IF(AND(D87="",LEFT(B87,8)&lt;&gt;"Previous",B87&lt;&gt;"None found (checked)"),"Source URL needed","")))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9"/>
      <c r="F88" s="27"/>
      <c r="G88" s="27"/>
      <c r="H88" s="28"/>
      <c r="I88" s="32" t="str">
        <f aca="false">IF(A88="","",_xlfn.TEXTJOIN(", ",TRUE(),IF(AND(E88&lt;&gt;"",B88&lt;&gt;"Previous CBS Talks spend"),"Amount only allowed for Previous CBS Talks spend",""),IF(AND(B88="Previous CBS Talks spend",E88=""),"Add the amount received",""),IF(AND(D88="",LEFT(B88,8)&lt;&gt;"Previous",B88&lt;&gt;"None found (checked)"),"Source URL needed","")))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9"/>
      <c r="F89" s="27"/>
      <c r="G89" s="27"/>
      <c r="H89" s="28"/>
      <c r="I89" s="32" t="str">
        <f aca="false">IF(A89="","",_xlfn.TEXTJOIN(", ",TRUE(),IF(AND(E89&lt;&gt;"",B89&lt;&gt;"Previous CBS Talks spend"),"Amount only allowed for Previous CBS Talks spend",""),IF(AND(B89="Previous CBS Talks spend",E89=""),"Add the amount received",""),IF(AND(D89="",LEFT(B89,8)&lt;&gt;"Previous",B89&lt;&gt;"None found (checked)"),"Source URL needed","")))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9"/>
      <c r="F90" s="27"/>
      <c r="G90" s="27"/>
      <c r="H90" s="28"/>
      <c r="I90" s="32" t="str">
        <f aca="false">IF(A90="","",_xlfn.TEXTJOIN(", ",TRUE(),IF(AND(E90&lt;&gt;"",B90&lt;&gt;"Previous CBS Talks spend"),"Amount only allowed for Previous CBS Talks spend",""),IF(AND(B90="Previous CBS Talks spend",E90=""),"Add the amount received",""),IF(AND(D90="",LEFT(B90,8)&lt;&gt;"Previous",B90&lt;&gt;"None found (checked)"),"Source URL needed","")))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9"/>
      <c r="F91" s="27"/>
      <c r="G91" s="27"/>
      <c r="H91" s="28"/>
      <c r="I91" s="32" t="str">
        <f aca="false">IF(A91="","",_xlfn.TEXTJOIN(", ",TRUE(),IF(AND(E91&lt;&gt;"",B91&lt;&gt;"Previous CBS Talks spend"),"Amount only allowed for Previous CBS Talks spend",""),IF(AND(B91="Previous CBS Talks spend",E91=""),"Add the amount received",""),IF(AND(D91="",LEFT(B91,8)&lt;&gt;"Previous",B91&lt;&gt;"None found (checked)"),"Source URL needed","")))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9"/>
      <c r="F92" s="27"/>
      <c r="G92" s="27"/>
      <c r="H92" s="28"/>
      <c r="I92" s="32" t="str">
        <f aca="false">IF(A92="","",_xlfn.TEXTJOIN(", ",TRUE(),IF(AND(E92&lt;&gt;"",B92&lt;&gt;"Previous CBS Talks spend"),"Amount only allowed for Previous CBS Talks spend",""),IF(AND(B92="Previous CBS Talks spend",E92=""),"Add the amount received",""),IF(AND(D92="",LEFT(B92,8)&lt;&gt;"Previous",B92&lt;&gt;"None found (checked)"),"Source URL needed","")))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9"/>
      <c r="F93" s="27"/>
      <c r="G93" s="27"/>
      <c r="H93" s="28"/>
      <c r="I93" s="32" t="str">
        <f aca="false">IF(A93="","",_xlfn.TEXTJOIN(", ",TRUE(),IF(AND(E93&lt;&gt;"",B93&lt;&gt;"Previous CBS Talks spend"),"Amount only allowed for Previous CBS Talks spend",""),IF(AND(B93="Previous CBS Talks spend",E93=""),"Add the amount received",""),IF(AND(D93="",LEFT(B93,8)&lt;&gt;"Previous",B93&lt;&gt;"None found (checked)"),"Source URL needed","")))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9"/>
      <c r="F94" s="27"/>
      <c r="G94" s="27"/>
      <c r="H94" s="28"/>
      <c r="I94" s="32" t="str">
        <f aca="false">IF(A94="","",_xlfn.TEXTJOIN(", ",TRUE(),IF(AND(E94&lt;&gt;"",B94&lt;&gt;"Previous CBS Talks spend"),"Amount only allowed for Previous CBS Talks spend",""),IF(AND(B94="Previous CBS Talks spend",E94=""),"Add the amount received",""),IF(AND(D94="",LEFT(B94,8)&lt;&gt;"Previous",B94&lt;&gt;"None found (checked)"),"Source URL needed","")))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9"/>
      <c r="F95" s="27"/>
      <c r="G95" s="27"/>
      <c r="H95" s="28"/>
      <c r="I95" s="32" t="str">
        <f aca="false">IF(A95="","",_xlfn.TEXTJOIN(", ",TRUE(),IF(AND(E95&lt;&gt;"",B95&lt;&gt;"Previous CBS Talks spend"),"Amount only allowed for Previous CBS Talks spend",""),IF(AND(B95="Previous CBS Talks spend",E95=""),"Add the amount received",""),IF(AND(D95="",LEFT(B95,8)&lt;&gt;"Previous",B95&lt;&gt;"None found (checked)"),"Source URL needed","")))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9"/>
      <c r="F96" s="27"/>
      <c r="G96" s="27"/>
      <c r="H96" s="28"/>
      <c r="I96" s="32" t="str">
        <f aca="false">IF(A96="","",_xlfn.TEXTJOIN(", ",TRUE(),IF(AND(E96&lt;&gt;"",B96&lt;&gt;"Previous CBS Talks spend"),"Amount only allowed for Previous CBS Talks spend",""),IF(AND(B96="Previous CBS Talks spend",E96=""),"Add the amount received",""),IF(AND(D96="",LEFT(B96,8)&lt;&gt;"Previous",B96&lt;&gt;"None found (checked)"),"Source URL needed","")))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9"/>
      <c r="F97" s="27"/>
      <c r="G97" s="27"/>
      <c r="H97" s="28"/>
      <c r="I97" s="32" t="str">
        <f aca="false">IF(A97="","",_xlfn.TEXTJOIN(", ",TRUE(),IF(AND(E97&lt;&gt;"",B97&lt;&gt;"Previous CBS Talks spend"),"Amount only allowed for Previous CBS Talks spend",""),IF(AND(B97="Previous CBS Talks spend",E97=""),"Add the amount received",""),IF(AND(D97="",LEFT(B97,8)&lt;&gt;"Previous",B97&lt;&gt;"None found (checked)"),"Source URL needed","")))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9"/>
      <c r="F98" s="27"/>
      <c r="G98" s="27"/>
      <c r="H98" s="28"/>
      <c r="I98" s="32" t="str">
        <f aca="false">IF(A98="","",_xlfn.TEXTJOIN(", ",TRUE(),IF(AND(E98&lt;&gt;"",B98&lt;&gt;"Previous CBS Talks spend"),"Amount only allowed for Previous CBS Talks spend",""),IF(AND(B98="Previous CBS Talks spend",E98=""),"Add the amount received",""),IF(AND(D98="",LEFT(B98,8)&lt;&gt;"Previous",B98&lt;&gt;"None found (checked)"),"Source URL needed","")))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9"/>
      <c r="F99" s="27"/>
      <c r="G99" s="27"/>
      <c r="H99" s="28"/>
      <c r="I99" s="32" t="str">
        <f aca="false">IF(A99="","",_xlfn.TEXTJOIN(", ",TRUE(),IF(AND(E99&lt;&gt;"",B99&lt;&gt;"Previous CBS Talks spend"),"Amount only allowed for Previous CBS Talks spend",""),IF(AND(B99="Previous CBS Talks spend",E99=""),"Add the amount received",""),IF(AND(D99="",LEFT(B99,8)&lt;&gt;"Previous",B99&lt;&gt;"None found (checked)"),"Source URL needed","")))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9"/>
      <c r="F100" s="27"/>
      <c r="G100" s="27"/>
      <c r="H100" s="28"/>
      <c r="I100" s="32" t="str">
        <f aca="false">IF(A100="","",_xlfn.TEXTJOIN(", ",TRUE(),IF(AND(E100&lt;&gt;"",B100&lt;&gt;"Previous CBS Talks spend"),"Amount only allowed for Previous CBS Talks spend",""),IF(AND(B100="Previous CBS Talks spend",E100=""),"Add the amount received",""),IF(AND(D100="",LEFT(B100,8)&lt;&gt;"Previous",B100&lt;&gt;"None found (checked)"),"Source URL needed","")))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9"/>
      <c r="F101" s="27"/>
      <c r="G101" s="27"/>
      <c r="H101" s="28"/>
      <c r="I101" s="32" t="str">
        <f aca="false">IF(A101="","",_xlfn.TEXTJOIN(", ",TRUE(),IF(AND(E101&lt;&gt;"",B101&lt;&gt;"Previous CBS Talks spend"),"Amount only allowed for Previous CBS Talks spend",""),IF(AND(B101="Previous CBS Talks spend",E101=""),"Add the amount received",""),IF(AND(D101="",LEFT(B101,8)&lt;&gt;"Previous",B101&lt;&gt;"None found (checked)"),"Source URL needed","")))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9"/>
      <c r="F102" s="27"/>
      <c r="G102" s="27"/>
      <c r="H102" s="28"/>
      <c r="I102" s="32" t="str">
        <f aca="false">IF(A102="","",_xlfn.TEXTJOIN(", ",TRUE(),IF(AND(E102&lt;&gt;"",B102&lt;&gt;"Previous CBS Talks spend"),"Amount only allowed for Previous CBS Talks spend",""),IF(AND(B102="Previous CBS Talks spend",E102=""),"Add the amount received",""),IF(AND(D102="",LEFT(B102,8)&lt;&gt;"Previous",B102&lt;&gt;"None found (checked)"),"Source URL needed","")))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9"/>
      <c r="F103" s="27"/>
      <c r="G103" s="27"/>
      <c r="H103" s="28"/>
      <c r="I103" s="32" t="str">
        <f aca="false">IF(A103="","",_xlfn.TEXTJOIN(", ",TRUE(),IF(AND(E103&lt;&gt;"",B103&lt;&gt;"Previous CBS Talks spend"),"Amount only allowed for Previous CBS Talks spend",""),IF(AND(B103="Previous CBS Talks spend",E103=""),"Add the amount received",""),IF(AND(D103="",LEFT(B103,8)&lt;&gt;"Previous",B103&lt;&gt;"None found (checked)"),"Source URL needed","")))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9"/>
      <c r="F104" s="27"/>
      <c r="G104" s="27"/>
      <c r="H104" s="28"/>
      <c r="I104" s="32" t="str">
        <f aca="false">IF(A104="","",_xlfn.TEXTJOIN(", ",TRUE(),IF(AND(E104&lt;&gt;"",B104&lt;&gt;"Previous CBS Talks spend"),"Amount only allowed for Previous CBS Talks spend",""),IF(AND(B104="Previous CBS Talks spend",E104=""),"Add the amount received",""),IF(AND(D104="",LEFT(B104,8)&lt;&gt;"Previous",B104&lt;&gt;"None found (checked)"),"Source URL needed","")))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9"/>
      <c r="F105" s="27"/>
      <c r="G105" s="27"/>
      <c r="H105" s="28"/>
      <c r="I105" s="32" t="str">
        <f aca="false">IF(A105="","",_xlfn.TEXTJOIN(", ",TRUE(),IF(AND(E105&lt;&gt;"",B105&lt;&gt;"Previous CBS Talks spend"),"Amount only allowed for Previous CBS Talks spend",""),IF(AND(B105="Previous CBS Talks spend",E105=""),"Add the amount received",""),IF(AND(D105="",LEFT(B105,8)&lt;&gt;"Previous",B105&lt;&gt;"None found (checked)"),"Source URL needed","")))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9"/>
      <c r="F106" s="27"/>
      <c r="G106" s="27"/>
      <c r="H106" s="28"/>
      <c r="I106" s="32" t="str">
        <f aca="false">IF(A106="","",_xlfn.TEXTJOIN(", ",TRUE(),IF(AND(E106&lt;&gt;"",B106&lt;&gt;"Previous CBS Talks spend"),"Amount only allowed for Previous CBS Talks spend",""),IF(AND(B106="Previous CBS Talks spend",E106=""),"Add the amount received",""),IF(AND(D106="",LEFT(B106,8)&lt;&gt;"Previous",B106&lt;&gt;"None found (checked)"),"Source URL needed","")))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9"/>
      <c r="F107" s="27"/>
      <c r="G107" s="27"/>
      <c r="H107" s="28"/>
      <c r="I107" s="32" t="str">
        <f aca="false">IF(A107="","",_xlfn.TEXTJOIN(", ",TRUE(),IF(AND(E107&lt;&gt;"",B107&lt;&gt;"Previous CBS Talks spend"),"Amount only allowed for Previous CBS Talks spend",""),IF(AND(B107="Previous CBS Talks spend",E107=""),"Add the amount received",""),IF(AND(D107="",LEFT(B107,8)&lt;&gt;"Previous",B107&lt;&gt;"None found (checked)"),"Source URL needed","")))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9"/>
      <c r="F108" s="27"/>
      <c r="G108" s="27"/>
      <c r="H108" s="28"/>
      <c r="I108" s="32" t="str">
        <f aca="false">IF(A108="","",_xlfn.TEXTJOIN(", ",TRUE(),IF(AND(E108&lt;&gt;"",B108&lt;&gt;"Previous CBS Talks spend"),"Amount only allowed for Previous CBS Talks spend",""),IF(AND(B108="Previous CBS Talks spend",E108=""),"Add the amount received",""),IF(AND(D108="",LEFT(B108,8)&lt;&gt;"Previous",B108&lt;&gt;"None found (checked)"),"Source URL needed","")))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9"/>
      <c r="F109" s="27"/>
      <c r="G109" s="27"/>
      <c r="H109" s="28"/>
      <c r="I109" s="32" t="str">
        <f aca="false">IF(A109="","",_xlfn.TEXTJOIN(", ",TRUE(),IF(AND(E109&lt;&gt;"",B109&lt;&gt;"Previous CBS Talks spend"),"Amount only allowed for Previous CBS Talks spend",""),IF(AND(B109="Previous CBS Talks spend",E109=""),"Add the amount received",""),IF(AND(D109="",LEFT(B109,8)&lt;&gt;"Previous",B109&lt;&gt;"None found (checked)"),"Source URL needed","")))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9"/>
      <c r="F110" s="27"/>
      <c r="G110" s="27"/>
      <c r="H110" s="28"/>
      <c r="I110" s="32" t="str">
        <f aca="false">IF(A110="","",_xlfn.TEXTJOIN(", ",TRUE(),IF(AND(E110&lt;&gt;"",B110&lt;&gt;"Previous CBS Talks spend"),"Amount only allowed for Previous CBS Talks spend",""),IF(AND(B110="Previous CBS Talks spend",E110=""),"Add the amount received",""),IF(AND(D110="",LEFT(B110,8)&lt;&gt;"Previous",B110&lt;&gt;"None found (checked)"),"Source URL needed","")))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9"/>
      <c r="F111" s="27"/>
      <c r="G111" s="27"/>
      <c r="H111" s="28"/>
      <c r="I111" s="32" t="str">
        <f aca="false">IF(A111="","",_xlfn.TEXTJOIN(", ",TRUE(),IF(AND(E111&lt;&gt;"",B111&lt;&gt;"Previous CBS Talks spend"),"Amount only allowed for Previous CBS Talks spend",""),IF(AND(B111="Previous CBS Talks spend",E111=""),"Add the amount received",""),IF(AND(D111="",LEFT(B111,8)&lt;&gt;"Previous",B111&lt;&gt;"None found (checked)"),"Source URL needed","")))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9"/>
      <c r="F112" s="27"/>
      <c r="G112" s="27"/>
      <c r="H112" s="28"/>
      <c r="I112" s="32" t="str">
        <f aca="false">IF(A112="","",_xlfn.TEXTJOIN(", ",TRUE(),IF(AND(E112&lt;&gt;"",B112&lt;&gt;"Previous CBS Talks spend"),"Amount only allowed for Previous CBS Talks spend",""),IF(AND(B112="Previous CBS Talks spend",E112=""),"Add the amount received",""),IF(AND(D112="",LEFT(B112,8)&lt;&gt;"Previous",B112&lt;&gt;"None found (checked)"),"Source URL needed","")))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9"/>
      <c r="F113" s="27"/>
      <c r="G113" s="27"/>
      <c r="H113" s="28"/>
      <c r="I113" s="32" t="str">
        <f aca="false">IF(A113="","",_xlfn.TEXTJOIN(", ",TRUE(),IF(AND(E113&lt;&gt;"",B113&lt;&gt;"Previous CBS Talks spend"),"Amount only allowed for Previous CBS Talks spend",""),IF(AND(B113="Previous CBS Talks spend",E113=""),"Add the amount received",""),IF(AND(D113="",LEFT(B113,8)&lt;&gt;"Previous",B113&lt;&gt;"None found (checked)"),"Source URL needed","")))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9"/>
      <c r="F114" s="27"/>
      <c r="G114" s="27"/>
      <c r="H114" s="28"/>
      <c r="I114" s="32" t="str">
        <f aca="false">IF(A114="","",_xlfn.TEXTJOIN(", ",TRUE(),IF(AND(E114&lt;&gt;"",B114&lt;&gt;"Previous CBS Talks spend"),"Amount only allowed for Previous CBS Talks spend",""),IF(AND(B114="Previous CBS Talks spend",E114=""),"Add the amount received",""),IF(AND(D114="",LEFT(B114,8)&lt;&gt;"Previous",B114&lt;&gt;"None found (checked)"),"Source URL needed","")))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9"/>
      <c r="F115" s="27"/>
      <c r="G115" s="27"/>
      <c r="H115" s="28"/>
      <c r="I115" s="32" t="str">
        <f aca="false">IF(A115="","",_xlfn.TEXTJOIN(", ",TRUE(),IF(AND(E115&lt;&gt;"",B115&lt;&gt;"Previous CBS Talks spend"),"Amount only allowed for Previous CBS Talks spend",""),IF(AND(B115="Previous CBS Talks spend",E115=""),"Add the amount received",""),IF(AND(D115="",LEFT(B115,8)&lt;&gt;"Previous",B115&lt;&gt;"None found (checked)"),"Source URL needed","")))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9"/>
      <c r="F116" s="27"/>
      <c r="G116" s="27"/>
      <c r="H116" s="28"/>
      <c r="I116" s="32" t="str">
        <f aca="false">IF(A116="","",_xlfn.TEXTJOIN(", ",TRUE(),IF(AND(E116&lt;&gt;"",B116&lt;&gt;"Previous CBS Talks spend"),"Amount only allowed for Previous CBS Talks spend",""),IF(AND(B116="Previous CBS Talks spend",E116=""),"Add the amount received",""),IF(AND(D116="",LEFT(B116,8)&lt;&gt;"Previous",B116&lt;&gt;"None found (checked)"),"Source URL needed","")))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9"/>
      <c r="F117" s="27"/>
      <c r="G117" s="27"/>
      <c r="H117" s="28"/>
      <c r="I117" s="32" t="str">
        <f aca="false">IF(A117="","",_xlfn.TEXTJOIN(", ",TRUE(),IF(AND(E117&lt;&gt;"",B117&lt;&gt;"Previous CBS Talks spend"),"Amount only allowed for Previous CBS Talks spend",""),IF(AND(B117="Previous CBS Talks spend",E117=""),"Add the amount received",""),IF(AND(D117="",LEFT(B117,8)&lt;&gt;"Previous",B117&lt;&gt;"None found (checked)"),"Source URL needed","")))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9"/>
      <c r="F118" s="27"/>
      <c r="G118" s="27"/>
      <c r="H118" s="28"/>
      <c r="I118" s="32" t="str">
        <f aca="false">IF(A118="","",_xlfn.TEXTJOIN(", ",TRUE(),IF(AND(E118&lt;&gt;"",B118&lt;&gt;"Previous CBS Talks spend"),"Amount only allowed for Previous CBS Talks spend",""),IF(AND(B118="Previous CBS Talks spend",E118=""),"Add the amount received",""),IF(AND(D118="",LEFT(B118,8)&lt;&gt;"Previous",B118&lt;&gt;"None found (checked)"),"Source URL needed","")))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9"/>
      <c r="F119" s="27"/>
      <c r="G119" s="27"/>
      <c r="H119" s="28"/>
      <c r="I119" s="32" t="str">
        <f aca="false">IF(A119="","",_xlfn.TEXTJOIN(", ",TRUE(),IF(AND(E119&lt;&gt;"",B119&lt;&gt;"Previous CBS Talks spend"),"Amount only allowed for Previous CBS Talks spend",""),IF(AND(B119="Previous CBS Talks spend",E119=""),"Add the amount received",""),IF(AND(D119="",LEFT(B119,8)&lt;&gt;"Previous",B119&lt;&gt;"None found (checked)"),"Source URL needed","")))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9"/>
      <c r="F120" s="27"/>
      <c r="G120" s="27"/>
      <c r="H120" s="28"/>
      <c r="I120" s="32" t="str">
        <f aca="false">IF(A120="","",_xlfn.TEXTJOIN(", ",TRUE(),IF(AND(E120&lt;&gt;"",B120&lt;&gt;"Previous CBS Talks spend"),"Amount only allowed for Previous CBS Talks spend",""),IF(AND(B120="Previous CBS Talks spend",E120=""),"Add the amount received",""),IF(AND(D120="",LEFT(B120,8)&lt;&gt;"Previous",B120&lt;&gt;"None found (checked)"),"Source URL needed","")))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9"/>
      <c r="F121" s="27"/>
      <c r="G121" s="27"/>
      <c r="H121" s="28"/>
      <c r="I121" s="32" t="str">
        <f aca="false">IF(A121="","",_xlfn.TEXTJOIN(", ",TRUE(),IF(AND(E121&lt;&gt;"",B121&lt;&gt;"Previous CBS Talks spend"),"Amount only allowed for Previous CBS Talks spend",""),IF(AND(B121="Previous CBS Talks spend",E121=""),"Add the amount received",""),IF(AND(D121="",LEFT(B121,8)&lt;&gt;"Previous",B121&lt;&gt;"None found (checked)"),"Source URL needed","")))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9"/>
      <c r="F122" s="27"/>
      <c r="G122" s="27"/>
      <c r="H122" s="28"/>
      <c r="I122" s="32" t="str">
        <f aca="false">IF(A122="","",_xlfn.TEXTJOIN(", ",TRUE(),IF(AND(E122&lt;&gt;"",B122&lt;&gt;"Previous CBS Talks spend"),"Amount only allowed for Previous CBS Talks spend",""),IF(AND(B122="Previous CBS Talks spend",E122=""),"Add the amount received",""),IF(AND(D122="",LEFT(B122,8)&lt;&gt;"Previous",B122&lt;&gt;"None found (checked)"),"Source URL needed","")))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9"/>
      <c r="F123" s="27"/>
      <c r="G123" s="27"/>
      <c r="H123" s="28"/>
      <c r="I123" s="32" t="str">
        <f aca="false">IF(A123="","",_xlfn.TEXTJOIN(", ",TRUE(),IF(AND(E123&lt;&gt;"",B123&lt;&gt;"Previous CBS Talks spend"),"Amount only allowed for Previous CBS Talks spend",""),IF(AND(B123="Previous CBS Talks spend",E123=""),"Add the amount received",""),IF(AND(D123="",LEFT(B123,8)&lt;&gt;"Previous",B123&lt;&gt;"None found (checked)"),"Source URL needed","")))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9"/>
      <c r="F124" s="27"/>
      <c r="G124" s="27"/>
      <c r="H124" s="28"/>
      <c r="I124" s="32" t="str">
        <f aca="false">IF(A124="","",_xlfn.TEXTJOIN(", ",TRUE(),IF(AND(E124&lt;&gt;"",B124&lt;&gt;"Previous CBS Talks spend"),"Amount only allowed for Previous CBS Talks spend",""),IF(AND(B124="Previous CBS Talks spend",E124=""),"Add the amount received",""),IF(AND(D124="",LEFT(B124,8)&lt;&gt;"Previous",B124&lt;&gt;"None found (checked)"),"Source URL needed","")))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9"/>
      <c r="F125" s="27"/>
      <c r="G125" s="27"/>
      <c r="H125" s="28"/>
      <c r="I125" s="32" t="str">
        <f aca="false">IF(A125="","",_xlfn.TEXTJOIN(", ",TRUE(),IF(AND(E125&lt;&gt;"",B125&lt;&gt;"Previous CBS Talks spend"),"Amount only allowed for Previous CBS Talks spend",""),IF(AND(B125="Previous CBS Talks spend",E125=""),"Add the amount received",""),IF(AND(D125="",LEFT(B125,8)&lt;&gt;"Previous",B125&lt;&gt;"None found (checked)"),"Source URL needed","")))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9"/>
      <c r="F126" s="27"/>
      <c r="G126" s="27"/>
      <c r="H126" s="28"/>
      <c r="I126" s="32" t="str">
        <f aca="false">IF(A126="","",_xlfn.TEXTJOIN(", ",TRUE(),IF(AND(E126&lt;&gt;"",B126&lt;&gt;"Previous CBS Talks spend"),"Amount only allowed for Previous CBS Talks spend",""),IF(AND(B126="Previous CBS Talks spend",E126=""),"Add the amount received",""),IF(AND(D126="",LEFT(B126,8)&lt;&gt;"Previous",B126&lt;&gt;"None found (checked)"),"Source URL needed","")))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9"/>
      <c r="F127" s="27"/>
      <c r="G127" s="27"/>
      <c r="H127" s="28"/>
      <c r="I127" s="32" t="str">
        <f aca="false">IF(A127="","",_xlfn.TEXTJOIN(", ",TRUE(),IF(AND(E127&lt;&gt;"",B127&lt;&gt;"Previous CBS Talks spend"),"Amount only allowed for Previous CBS Talks spend",""),IF(AND(B127="Previous CBS Talks spend",E127=""),"Add the amount received",""),IF(AND(D127="",LEFT(B127,8)&lt;&gt;"Previous",B127&lt;&gt;"None found (checked)"),"Source URL needed","")))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9"/>
      <c r="F128" s="27"/>
      <c r="G128" s="27"/>
      <c r="H128" s="28"/>
      <c r="I128" s="32" t="str">
        <f aca="false">IF(A128="","",_xlfn.TEXTJOIN(", ",TRUE(),IF(AND(E128&lt;&gt;"",B128&lt;&gt;"Previous CBS Talks spend"),"Amount only allowed for Previous CBS Talks spend",""),IF(AND(B128="Previous CBS Talks spend",E128=""),"Add the amount received",""),IF(AND(D128="",LEFT(B128,8)&lt;&gt;"Previous",B128&lt;&gt;"None found (checked)"),"Source URL needed","")))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9"/>
      <c r="F129" s="27"/>
      <c r="G129" s="27"/>
      <c r="H129" s="28"/>
      <c r="I129" s="32" t="str">
        <f aca="false">IF(A129="","",_xlfn.TEXTJOIN(", ",TRUE(),IF(AND(E129&lt;&gt;"",B129&lt;&gt;"Previous CBS Talks spend"),"Amount only allowed for Previous CBS Talks spend",""),IF(AND(B129="Previous CBS Talks spend",E129=""),"Add the amount received",""),IF(AND(D129="",LEFT(B129,8)&lt;&gt;"Previous",B129&lt;&gt;"None found (checked)"),"Source URL needed","")))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9"/>
      <c r="F130" s="27"/>
      <c r="G130" s="27"/>
      <c r="H130" s="28"/>
      <c r="I130" s="32" t="str">
        <f aca="false">IF(A130="","",_xlfn.TEXTJOIN(", ",TRUE(),IF(AND(E130&lt;&gt;"",B130&lt;&gt;"Previous CBS Talks spend"),"Amount only allowed for Previous CBS Talks spend",""),IF(AND(B130="Previous CBS Talks spend",E130=""),"Add the amount received",""),IF(AND(D130="",LEFT(B130,8)&lt;&gt;"Previous",B130&lt;&gt;"None found (checked)"),"Source URL needed","")))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9"/>
      <c r="F131" s="27"/>
      <c r="G131" s="27"/>
      <c r="H131" s="28"/>
      <c r="I131" s="32" t="str">
        <f aca="false">IF(A131="","",_xlfn.TEXTJOIN(", ",TRUE(),IF(AND(E131&lt;&gt;"",B131&lt;&gt;"Previous CBS Talks spend"),"Amount only allowed for Previous CBS Talks spend",""),IF(AND(B131="Previous CBS Talks spend",E131=""),"Add the amount received",""),IF(AND(D131="",LEFT(B131,8)&lt;&gt;"Previous",B131&lt;&gt;"None found (checked)"),"Source URL needed","")))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9"/>
      <c r="F132" s="27"/>
      <c r="G132" s="27"/>
      <c r="H132" s="28"/>
      <c r="I132" s="32" t="str">
        <f aca="false">IF(A132="","",_xlfn.TEXTJOIN(", ",TRUE(),IF(AND(E132&lt;&gt;"",B132&lt;&gt;"Previous CBS Talks spend"),"Amount only allowed for Previous CBS Talks spend",""),IF(AND(B132="Previous CBS Talks spend",E132=""),"Add the amount received",""),IF(AND(D132="",LEFT(B132,8)&lt;&gt;"Previous",B132&lt;&gt;"None found (checked)"),"Source URL needed","")))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9"/>
      <c r="F133" s="27"/>
      <c r="G133" s="27"/>
      <c r="H133" s="28"/>
      <c r="I133" s="32" t="str">
        <f aca="false">IF(A133="","",_xlfn.TEXTJOIN(", ",TRUE(),IF(AND(E133&lt;&gt;"",B133&lt;&gt;"Previous CBS Talks spend"),"Amount only allowed for Previous CBS Talks spend",""),IF(AND(B133="Previous CBS Talks spend",E133=""),"Add the amount received",""),IF(AND(D133="",LEFT(B133,8)&lt;&gt;"Previous",B133&lt;&gt;"None found (checked)"),"Source URL needed","")))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9"/>
      <c r="F134" s="27"/>
      <c r="G134" s="27"/>
      <c r="H134" s="28"/>
      <c r="I134" s="32" t="str">
        <f aca="false">IF(A134="","",_xlfn.TEXTJOIN(", ",TRUE(),IF(AND(E134&lt;&gt;"",B134&lt;&gt;"Previous CBS Talks spend"),"Amount only allowed for Previous CBS Talks spend",""),IF(AND(B134="Previous CBS Talks spend",E134=""),"Add the amount received",""),IF(AND(D134="",LEFT(B134,8)&lt;&gt;"Previous",B134&lt;&gt;"None found (checked)"),"Source URL needed","")))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9"/>
      <c r="F135" s="27"/>
      <c r="G135" s="27"/>
      <c r="H135" s="28"/>
      <c r="I135" s="32" t="str">
        <f aca="false">IF(A135="","",_xlfn.TEXTJOIN(", ",TRUE(),IF(AND(E135&lt;&gt;"",B135&lt;&gt;"Previous CBS Talks spend"),"Amount only allowed for Previous CBS Talks spend",""),IF(AND(B135="Previous CBS Talks spend",E135=""),"Add the amount received",""),IF(AND(D135="",LEFT(B135,8)&lt;&gt;"Previous",B135&lt;&gt;"None found (checked)"),"Source URL needed","")))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9"/>
      <c r="F136" s="27"/>
      <c r="G136" s="27"/>
      <c r="H136" s="28"/>
      <c r="I136" s="32" t="str">
        <f aca="false">IF(A136="","",_xlfn.TEXTJOIN(", ",TRUE(),IF(AND(E136&lt;&gt;"",B136&lt;&gt;"Previous CBS Talks spend"),"Amount only allowed for Previous CBS Talks spend",""),IF(AND(B136="Previous CBS Talks spend",E136=""),"Add the amount received",""),IF(AND(D136="",LEFT(B136,8)&lt;&gt;"Previous",B136&lt;&gt;"None found (checked)"),"Source URL needed","")))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9"/>
      <c r="F137" s="27"/>
      <c r="G137" s="27"/>
      <c r="H137" s="28"/>
      <c r="I137" s="32" t="str">
        <f aca="false">IF(A137="","",_xlfn.TEXTJOIN(", ",TRUE(),IF(AND(E137&lt;&gt;"",B137&lt;&gt;"Previous CBS Talks spend"),"Amount only allowed for Previous CBS Talks spend",""),IF(AND(B137="Previous CBS Talks spend",E137=""),"Add the amount received",""),IF(AND(D137="",LEFT(B137,8)&lt;&gt;"Previous",B137&lt;&gt;"None found (checked)"),"Source URL needed","")))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9"/>
      <c r="F138" s="27"/>
      <c r="G138" s="27"/>
      <c r="H138" s="28"/>
      <c r="I138" s="32" t="str">
        <f aca="false">IF(A138="","",_xlfn.TEXTJOIN(", ",TRUE(),IF(AND(E138&lt;&gt;"",B138&lt;&gt;"Previous CBS Talks spend"),"Amount only allowed for Previous CBS Talks spend",""),IF(AND(B138="Previous CBS Talks spend",E138=""),"Add the amount received",""),IF(AND(D138="",LEFT(B138,8)&lt;&gt;"Previous",B138&lt;&gt;"None found (checked)"),"Source URL needed","")))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9"/>
      <c r="F139" s="27"/>
      <c r="G139" s="27"/>
      <c r="H139" s="28"/>
      <c r="I139" s="32" t="str">
        <f aca="false">IF(A139="","",_xlfn.TEXTJOIN(", ",TRUE(),IF(AND(E139&lt;&gt;"",B139&lt;&gt;"Previous CBS Talks spend"),"Amount only allowed for Previous CBS Talks spend",""),IF(AND(B139="Previous CBS Talks spend",E139=""),"Add the amount received",""),IF(AND(D139="",LEFT(B139,8)&lt;&gt;"Previous",B139&lt;&gt;"None found (checked)"),"Source URL needed","")))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9"/>
      <c r="F140" s="27"/>
      <c r="G140" s="27"/>
      <c r="H140" s="28"/>
      <c r="I140" s="32" t="str">
        <f aca="false">IF(A140="","",_xlfn.TEXTJOIN(", ",TRUE(),IF(AND(E140&lt;&gt;"",B140&lt;&gt;"Previous CBS Talks spend"),"Amount only allowed for Previous CBS Talks spend",""),IF(AND(B140="Previous CBS Talks spend",E140=""),"Add the amount received",""),IF(AND(D140="",LEFT(B140,8)&lt;&gt;"Previous",B140&lt;&gt;"None found (checked)"),"Source URL needed","")))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9"/>
      <c r="F141" s="27"/>
      <c r="G141" s="27"/>
      <c r="H141" s="28"/>
      <c r="I141" s="32" t="str">
        <f aca="false">IF(A141="","",_xlfn.TEXTJOIN(", ",TRUE(),IF(AND(E141&lt;&gt;"",B141&lt;&gt;"Previous CBS Talks spend"),"Amount only allowed for Previous CBS Talks spend",""),IF(AND(B141="Previous CBS Talks spend",E141=""),"Add the amount received",""),IF(AND(D141="",LEFT(B141,8)&lt;&gt;"Previous",B141&lt;&gt;"None found (checked)"),"Source URL needed","")))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9"/>
      <c r="F142" s="27"/>
      <c r="G142" s="27"/>
      <c r="H142" s="28"/>
      <c r="I142" s="32" t="str">
        <f aca="false">IF(A142="","",_xlfn.TEXTJOIN(", ",TRUE(),IF(AND(E142&lt;&gt;"",B142&lt;&gt;"Previous CBS Talks spend"),"Amount only allowed for Previous CBS Talks spend",""),IF(AND(B142="Previous CBS Talks spend",E142=""),"Add the amount received",""),IF(AND(D142="",LEFT(B142,8)&lt;&gt;"Previous",B142&lt;&gt;"None found (checked)"),"Source URL needed","")))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9"/>
      <c r="F143" s="27"/>
      <c r="G143" s="27"/>
      <c r="H143" s="28"/>
      <c r="I143" s="32" t="str">
        <f aca="false">IF(A143="","",_xlfn.TEXTJOIN(", ",TRUE(),IF(AND(E143&lt;&gt;"",B143&lt;&gt;"Previous CBS Talks spend"),"Amount only allowed for Previous CBS Talks spend",""),IF(AND(B143="Previous CBS Talks spend",E143=""),"Add the amount received",""),IF(AND(D143="",LEFT(B143,8)&lt;&gt;"Previous",B143&lt;&gt;"None found (checked)"),"Source URL needed","")))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9"/>
      <c r="F144" s="27"/>
      <c r="G144" s="27"/>
      <c r="H144" s="28"/>
      <c r="I144" s="32" t="str">
        <f aca="false">IF(A144="","",_xlfn.TEXTJOIN(", ",TRUE(),IF(AND(E144&lt;&gt;"",B144&lt;&gt;"Previous CBS Talks spend"),"Amount only allowed for Previous CBS Talks spend",""),IF(AND(B144="Previous CBS Talks spend",E144=""),"Add the amount received",""),IF(AND(D144="",LEFT(B144,8)&lt;&gt;"Previous",B144&lt;&gt;"None found (checked)"),"Source URL needed","")))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9"/>
      <c r="F145" s="27"/>
      <c r="G145" s="27"/>
      <c r="H145" s="28"/>
      <c r="I145" s="32" t="str">
        <f aca="false">IF(A145="","",_xlfn.TEXTJOIN(", ",TRUE(),IF(AND(E145&lt;&gt;"",B145&lt;&gt;"Previous CBS Talks spend"),"Amount only allowed for Previous CBS Talks spend",""),IF(AND(B145="Previous CBS Talks spend",E145=""),"Add the amount received",""),IF(AND(D145="",LEFT(B145,8)&lt;&gt;"Previous",B145&lt;&gt;"None found (checked)"),"Source URL needed","")))</f>
        <v/>
      </c>
    </row>
    <row r="146" customFormat="false" ht="15" hidden="false" customHeight="false" outlineLevel="0" collapsed="false">
      <c r="A146" s="27"/>
      <c r="B146" s="27"/>
      <c r="C146" s="27"/>
      <c r="D146" s="27"/>
      <c r="E146" s="29"/>
      <c r="F146" s="27"/>
      <c r="G146" s="27"/>
      <c r="H146" s="28"/>
      <c r="I146" s="32" t="str">
        <f aca="false">IF(A146="","",_xlfn.TEXTJOIN(", ",TRUE(),IF(AND(E146&lt;&gt;"",B146&lt;&gt;"Previous CBS Talks spend"),"Amount only allowed for Previous CBS Talks spend",""),IF(AND(B146="Previous CBS Talks spend",E146=""),"Add the amount received",""),IF(AND(D146="",LEFT(B146,8)&lt;&gt;"Previous",B146&lt;&gt;"None found (checked)"),"Source URL needed","")))</f>
        <v/>
      </c>
    </row>
    <row r="147" customFormat="false" ht="15" hidden="false" customHeight="false" outlineLevel="0" collapsed="false">
      <c r="A147" s="27"/>
      <c r="B147" s="27"/>
      <c r="C147" s="27"/>
      <c r="D147" s="27"/>
      <c r="E147" s="29"/>
      <c r="F147" s="27"/>
      <c r="G147" s="27"/>
      <c r="H147" s="28"/>
      <c r="I147" s="32" t="str">
        <f aca="false">IF(A147="","",_xlfn.TEXTJOIN(", ",TRUE(),IF(AND(E147&lt;&gt;"",B147&lt;&gt;"Previous CBS Talks spend"),"Amount only allowed for Previous CBS Talks spend",""),IF(AND(B147="Previous CBS Talks spend",E147=""),"Add the amount received",""),IF(AND(D147="",LEFT(B147,8)&lt;&gt;"Previous",B147&lt;&gt;"None found (checked)"),"Source URL needed","")))</f>
        <v/>
      </c>
    </row>
    <row r="148" customFormat="false" ht="15" hidden="false" customHeight="false" outlineLevel="0" collapsed="false">
      <c r="A148" s="27"/>
      <c r="B148" s="27"/>
      <c r="C148" s="27"/>
      <c r="D148" s="27"/>
      <c r="E148" s="29"/>
      <c r="F148" s="27"/>
      <c r="G148" s="27"/>
      <c r="H148" s="28"/>
      <c r="I148" s="32" t="str">
        <f aca="false">IF(A148="","",_xlfn.TEXTJOIN(", ",TRUE(),IF(AND(E148&lt;&gt;"",B148&lt;&gt;"Previous CBS Talks spend"),"Amount only allowed for Previous CBS Talks spend",""),IF(AND(B148="Previous CBS Talks spend",E148=""),"Add the amount received",""),IF(AND(D148="",LEFT(B148,8)&lt;&gt;"Previous",B148&lt;&gt;"None found (checked)"),"Source URL needed","")))</f>
        <v/>
      </c>
    </row>
    <row r="149" customFormat="false" ht="15" hidden="false" customHeight="false" outlineLevel="0" collapsed="false">
      <c r="A149" s="27"/>
      <c r="B149" s="27"/>
      <c r="C149" s="27"/>
      <c r="D149" s="27"/>
      <c r="E149" s="29"/>
      <c r="F149" s="27"/>
      <c r="G149" s="27"/>
      <c r="H149" s="28"/>
      <c r="I149" s="32" t="str">
        <f aca="false">IF(A149="","",_xlfn.TEXTJOIN(", ",TRUE(),IF(AND(E149&lt;&gt;"",B149&lt;&gt;"Previous CBS Talks spend"),"Amount only allowed for Previous CBS Talks spend",""),IF(AND(B149="Previous CBS Talks spend",E149=""),"Add the amount received",""),IF(AND(D149="",LEFT(B149,8)&lt;&gt;"Previous",B149&lt;&gt;"None found (checked)"),"Source URL needed","")))</f>
        <v/>
      </c>
    </row>
    <row r="150" customFormat="false" ht="15" hidden="false" customHeight="false" outlineLevel="0" collapsed="false">
      <c r="A150" s="27"/>
      <c r="B150" s="27"/>
      <c r="C150" s="27"/>
      <c r="D150" s="27"/>
      <c r="E150" s="29"/>
      <c r="F150" s="27"/>
      <c r="G150" s="27"/>
      <c r="H150" s="28"/>
      <c r="I150" s="32" t="str">
        <f aca="false">IF(A150="","",_xlfn.TEXTJOIN(", ",TRUE(),IF(AND(E150&lt;&gt;"",B150&lt;&gt;"Previous CBS Talks spend"),"Amount only allowed for Previous CBS Talks spend",""),IF(AND(B150="Previous CBS Talks spend",E150=""),"Add the amount received",""),IF(AND(D150="",LEFT(B150,8)&lt;&gt;"Previous",B150&lt;&gt;"None found (checked)"),"Source URL needed","")))</f>
        <v/>
      </c>
    </row>
    <row r="151" customFormat="false" ht="15" hidden="false" customHeight="false" outlineLevel="0" collapsed="false">
      <c r="A151" s="27"/>
      <c r="B151" s="27"/>
      <c r="C151" s="27"/>
      <c r="D151" s="27"/>
      <c r="E151" s="29"/>
      <c r="F151" s="27"/>
      <c r="G151" s="27"/>
      <c r="H151" s="28"/>
      <c r="I151" s="32" t="str">
        <f aca="false">IF(A151="","",_xlfn.TEXTJOIN(", ",TRUE(),IF(AND(E151&lt;&gt;"",B151&lt;&gt;"Previous CBS Talks spend"),"Amount only allowed for Previous CBS Talks spend",""),IF(AND(B151="Previous CBS Talks spend",E151=""),"Add the amount received",""),IF(AND(D151="",LEFT(B151,8)&lt;&gt;"Previous",B151&lt;&gt;"None found (checked)"),"Source URL needed","")))</f>
        <v/>
      </c>
    </row>
    <row r="152" customFormat="false" ht="15" hidden="false" customHeight="false" outlineLevel="0" collapsed="false">
      <c r="A152" s="27"/>
      <c r="B152" s="27"/>
      <c r="C152" s="27"/>
      <c r="D152" s="27"/>
      <c r="E152" s="29"/>
      <c r="F152" s="27"/>
      <c r="G152" s="27"/>
      <c r="H152" s="28"/>
      <c r="I152" s="32" t="str">
        <f aca="false">IF(A152="","",_xlfn.TEXTJOIN(", ",TRUE(),IF(AND(E152&lt;&gt;"",B152&lt;&gt;"Previous CBS Talks spend"),"Amount only allowed for Previous CBS Talks spend",""),IF(AND(B152="Previous CBS Talks spend",E152=""),"Add the amount received",""),IF(AND(D152="",LEFT(B152,8)&lt;&gt;"Previous",B152&lt;&gt;"None found (checked)"),"Source URL needed","")))</f>
        <v/>
      </c>
    </row>
    <row r="153" customFormat="false" ht="15" hidden="false" customHeight="false" outlineLevel="0" collapsed="false">
      <c r="A153" s="27"/>
      <c r="B153" s="27"/>
      <c r="C153" s="27"/>
      <c r="D153" s="27"/>
      <c r="E153" s="29"/>
      <c r="F153" s="27"/>
      <c r="G153" s="27"/>
      <c r="H153" s="28"/>
      <c r="I153" s="32" t="str">
        <f aca="false">IF(A153="","",_xlfn.TEXTJOIN(", ",TRUE(),IF(AND(E153&lt;&gt;"",B153&lt;&gt;"Previous CBS Talks spend"),"Amount only allowed for Previous CBS Talks spend",""),IF(AND(B153="Previous CBS Talks spend",E153=""),"Add the amount received",""),IF(AND(D153="",LEFT(B153,8)&lt;&gt;"Previous",B153&lt;&gt;"None found (checked)"),"Source URL needed","")))</f>
        <v/>
      </c>
    </row>
    <row r="154" customFormat="false" ht="15" hidden="false" customHeight="false" outlineLevel="0" collapsed="false">
      <c r="A154" s="27"/>
      <c r="B154" s="27"/>
      <c r="C154" s="27"/>
      <c r="D154" s="27"/>
      <c r="E154" s="29"/>
      <c r="F154" s="27"/>
      <c r="G154" s="27"/>
      <c r="H154" s="28"/>
      <c r="I154" s="32" t="str">
        <f aca="false">IF(A154="","",_xlfn.TEXTJOIN(", ",TRUE(),IF(AND(E154&lt;&gt;"",B154&lt;&gt;"Previous CBS Talks spend"),"Amount only allowed for Previous CBS Talks spend",""),IF(AND(B154="Previous CBS Talks spend",E154=""),"Add the amount received",""),IF(AND(D154="",LEFT(B154,8)&lt;&gt;"Previous",B154&lt;&gt;"None found (checked)"),"Source URL needed","")))</f>
        <v/>
      </c>
    </row>
    <row r="155" customFormat="false" ht="15" hidden="false" customHeight="false" outlineLevel="0" collapsed="false">
      <c r="A155" s="27"/>
      <c r="B155" s="27"/>
      <c r="C155" s="27"/>
      <c r="D155" s="27"/>
      <c r="E155" s="29"/>
      <c r="F155" s="27"/>
      <c r="G155" s="27"/>
      <c r="H155" s="28"/>
      <c r="I155" s="32" t="str">
        <f aca="false">IF(A155="","",_xlfn.TEXTJOIN(", ",TRUE(),IF(AND(E155&lt;&gt;"",B155&lt;&gt;"Previous CBS Talks spend"),"Amount only allowed for Previous CBS Talks spend",""),IF(AND(B155="Previous CBS Talks spend",E155=""),"Add the amount received",""),IF(AND(D155="",LEFT(B155,8)&lt;&gt;"Previous",B155&lt;&gt;"None found (checked)"),"Source URL needed","")))</f>
        <v/>
      </c>
    </row>
    <row r="156" customFormat="false" ht="15" hidden="false" customHeight="false" outlineLevel="0" collapsed="false">
      <c r="A156" s="27"/>
      <c r="B156" s="27"/>
      <c r="C156" s="27"/>
      <c r="D156" s="27"/>
      <c r="E156" s="29"/>
      <c r="F156" s="27"/>
      <c r="G156" s="27"/>
      <c r="H156" s="28"/>
      <c r="I156" s="32" t="str">
        <f aca="false">IF(A156="","",_xlfn.TEXTJOIN(", ",TRUE(),IF(AND(E156&lt;&gt;"",B156&lt;&gt;"Previous CBS Talks spend"),"Amount only allowed for Previous CBS Talks spend",""),IF(AND(B156="Previous CBS Talks spend",E156=""),"Add the amount received",""),IF(AND(D156="",LEFT(B156,8)&lt;&gt;"Previous",B156&lt;&gt;"None found (checked)"),"Source URL needed","")))</f>
        <v/>
      </c>
    </row>
    <row r="157" customFormat="false" ht="15" hidden="false" customHeight="false" outlineLevel="0" collapsed="false">
      <c r="A157" s="27"/>
      <c r="B157" s="27"/>
      <c r="C157" s="27"/>
      <c r="D157" s="27"/>
      <c r="E157" s="29"/>
      <c r="F157" s="27"/>
      <c r="G157" s="27"/>
      <c r="H157" s="28"/>
      <c r="I157" s="32" t="str">
        <f aca="false">IF(A157="","",_xlfn.TEXTJOIN(", ",TRUE(),IF(AND(E157&lt;&gt;"",B157&lt;&gt;"Previous CBS Talks spend"),"Amount only allowed for Previous CBS Talks spend",""),IF(AND(B157="Previous CBS Talks spend",E157=""),"Add the amount received",""),IF(AND(D157="",LEFT(B157,8)&lt;&gt;"Previous",B157&lt;&gt;"None found (checked)"),"Source URL needed","")))</f>
        <v/>
      </c>
    </row>
    <row r="158" customFormat="false" ht="15" hidden="false" customHeight="false" outlineLevel="0" collapsed="false">
      <c r="A158" s="27"/>
      <c r="B158" s="27"/>
      <c r="C158" s="27"/>
      <c r="D158" s="27"/>
      <c r="E158" s="29"/>
      <c r="F158" s="27"/>
      <c r="G158" s="27"/>
      <c r="H158" s="28"/>
      <c r="I158" s="32" t="str">
        <f aca="false">IF(A158="","",_xlfn.TEXTJOIN(", ",TRUE(),IF(AND(E158&lt;&gt;"",B158&lt;&gt;"Previous CBS Talks spend"),"Amount only allowed for Previous CBS Talks spend",""),IF(AND(B158="Previous CBS Talks spend",E158=""),"Add the amount received",""),IF(AND(D158="",LEFT(B158,8)&lt;&gt;"Previous",B158&lt;&gt;"None found (checked)"),"Source URL needed","")))</f>
        <v/>
      </c>
    </row>
    <row r="159" customFormat="false" ht="15" hidden="false" customHeight="false" outlineLevel="0" collapsed="false">
      <c r="A159" s="27"/>
      <c r="B159" s="27"/>
      <c r="C159" s="27"/>
      <c r="D159" s="27"/>
      <c r="E159" s="29"/>
      <c r="F159" s="27"/>
      <c r="G159" s="27"/>
      <c r="H159" s="28"/>
      <c r="I159" s="32" t="str">
        <f aca="false">IF(A159="","",_xlfn.TEXTJOIN(", ",TRUE(),IF(AND(E159&lt;&gt;"",B159&lt;&gt;"Previous CBS Talks spend"),"Amount only allowed for Previous CBS Talks spend",""),IF(AND(B159="Previous CBS Talks spend",E159=""),"Add the amount received",""),IF(AND(D159="",LEFT(B159,8)&lt;&gt;"Previous",B159&lt;&gt;"None found (checked)"),"Source URL needed","")))</f>
        <v/>
      </c>
    </row>
    <row r="160" customFormat="false" ht="15" hidden="false" customHeight="false" outlineLevel="0" collapsed="false">
      <c r="A160" s="27"/>
      <c r="B160" s="27"/>
      <c r="C160" s="27"/>
      <c r="D160" s="27"/>
      <c r="E160" s="29"/>
      <c r="F160" s="27"/>
      <c r="G160" s="27"/>
      <c r="H160" s="28"/>
      <c r="I160" s="32" t="str">
        <f aca="false">IF(A160="","",_xlfn.TEXTJOIN(", ",TRUE(),IF(AND(E160&lt;&gt;"",B160&lt;&gt;"Previous CBS Talks spend"),"Amount only allowed for Previous CBS Talks spend",""),IF(AND(B160="Previous CBS Talks spend",E160=""),"Add the amount received",""),IF(AND(D160="",LEFT(B160,8)&lt;&gt;"Previous",B160&lt;&gt;"None found (checked)"),"Source URL needed","")))</f>
        <v/>
      </c>
    </row>
    <row r="161" customFormat="false" ht="15" hidden="false" customHeight="false" outlineLevel="0" collapsed="false">
      <c r="A161" s="27"/>
      <c r="B161" s="27"/>
      <c r="C161" s="27"/>
      <c r="D161" s="27"/>
      <c r="E161" s="29"/>
      <c r="F161" s="27"/>
      <c r="G161" s="27"/>
      <c r="H161" s="28"/>
      <c r="I161" s="32" t="str">
        <f aca="false">IF(A161="","",_xlfn.TEXTJOIN(", ",TRUE(),IF(AND(E161&lt;&gt;"",B161&lt;&gt;"Previous CBS Talks spend"),"Amount only allowed for Previous CBS Talks spend",""),IF(AND(B161="Previous CBS Talks spend",E161=""),"Add the amount received",""),IF(AND(D161="",LEFT(B161,8)&lt;&gt;"Previous",B161&lt;&gt;"None found (checked)"),"Source URL needed","")))</f>
        <v/>
      </c>
    </row>
    <row r="162" customFormat="false" ht="15" hidden="false" customHeight="false" outlineLevel="0" collapsed="false">
      <c r="A162" s="27"/>
      <c r="B162" s="27"/>
      <c r="C162" s="27"/>
      <c r="D162" s="27"/>
      <c r="E162" s="29"/>
      <c r="F162" s="27"/>
      <c r="G162" s="27"/>
      <c r="H162" s="28"/>
      <c r="I162" s="32" t="str">
        <f aca="false">IF(A162="","",_xlfn.TEXTJOIN(", ",TRUE(),IF(AND(E162&lt;&gt;"",B162&lt;&gt;"Previous CBS Talks spend"),"Amount only allowed for Previous CBS Talks spend",""),IF(AND(B162="Previous CBS Talks spend",E162=""),"Add the amount received",""),IF(AND(D162="",LEFT(B162,8)&lt;&gt;"Previous",B162&lt;&gt;"None found (checked)"),"Source URL needed","")))</f>
        <v/>
      </c>
    </row>
    <row r="163" customFormat="false" ht="15" hidden="false" customHeight="false" outlineLevel="0" collapsed="false">
      <c r="A163" s="27"/>
      <c r="B163" s="27"/>
      <c r="C163" s="27"/>
      <c r="D163" s="27"/>
      <c r="E163" s="29"/>
      <c r="F163" s="27"/>
      <c r="G163" s="27"/>
      <c r="H163" s="28"/>
      <c r="I163" s="32" t="str">
        <f aca="false">IF(A163="","",_xlfn.TEXTJOIN(", ",TRUE(),IF(AND(E163&lt;&gt;"",B163&lt;&gt;"Previous CBS Talks spend"),"Amount only allowed for Previous CBS Talks spend",""),IF(AND(B163="Previous CBS Talks spend",E163=""),"Add the amount received",""),IF(AND(D163="",LEFT(B163,8)&lt;&gt;"Previous",B163&lt;&gt;"None found (checked)"),"Source URL needed","")))</f>
        <v/>
      </c>
    </row>
    <row r="164" customFormat="false" ht="15" hidden="false" customHeight="false" outlineLevel="0" collapsed="false">
      <c r="A164" s="27"/>
      <c r="B164" s="27"/>
      <c r="C164" s="27"/>
      <c r="D164" s="27"/>
      <c r="E164" s="29"/>
      <c r="F164" s="27"/>
      <c r="G164" s="27"/>
      <c r="H164" s="28"/>
      <c r="I164" s="32" t="str">
        <f aca="false">IF(A164="","",_xlfn.TEXTJOIN(", ",TRUE(),IF(AND(E164&lt;&gt;"",B164&lt;&gt;"Previous CBS Talks spend"),"Amount only allowed for Previous CBS Talks spend",""),IF(AND(B164="Previous CBS Talks spend",E164=""),"Add the amount received",""),IF(AND(D164="",LEFT(B164,8)&lt;&gt;"Previous",B164&lt;&gt;"None found (checked)"),"Source URL needed","")))</f>
        <v/>
      </c>
    </row>
    <row r="165" customFormat="false" ht="15" hidden="false" customHeight="false" outlineLevel="0" collapsed="false">
      <c r="A165" s="27"/>
      <c r="B165" s="27"/>
      <c r="C165" s="27"/>
      <c r="D165" s="27"/>
      <c r="E165" s="29"/>
      <c r="F165" s="27"/>
      <c r="G165" s="27"/>
      <c r="H165" s="28"/>
      <c r="I165" s="32" t="str">
        <f aca="false">IF(A165="","",_xlfn.TEXTJOIN(", ",TRUE(),IF(AND(E165&lt;&gt;"",B165&lt;&gt;"Previous CBS Talks spend"),"Amount only allowed for Previous CBS Talks spend",""),IF(AND(B165="Previous CBS Talks spend",E165=""),"Add the amount received",""),IF(AND(D165="",LEFT(B165,8)&lt;&gt;"Previous",B165&lt;&gt;"None found (checked)"),"Source URL needed","")))</f>
        <v/>
      </c>
    </row>
    <row r="166" customFormat="false" ht="15" hidden="false" customHeight="false" outlineLevel="0" collapsed="false">
      <c r="A166" s="27"/>
      <c r="B166" s="27"/>
      <c r="C166" s="27"/>
      <c r="D166" s="27"/>
      <c r="E166" s="29"/>
      <c r="F166" s="27"/>
      <c r="G166" s="27"/>
      <c r="H166" s="28"/>
      <c r="I166" s="32" t="str">
        <f aca="false">IF(A166="","",_xlfn.TEXTJOIN(", ",TRUE(),IF(AND(E166&lt;&gt;"",B166&lt;&gt;"Previous CBS Talks spend"),"Amount only allowed for Previous CBS Talks spend",""),IF(AND(B166="Previous CBS Talks spend",E166=""),"Add the amount received",""),IF(AND(D166="",LEFT(B166,8)&lt;&gt;"Previous",B166&lt;&gt;"None found (checked)"),"Source URL needed","")))</f>
        <v/>
      </c>
    </row>
    <row r="167" customFormat="false" ht="15" hidden="false" customHeight="false" outlineLevel="0" collapsed="false">
      <c r="A167" s="27"/>
      <c r="B167" s="27"/>
      <c r="C167" s="27"/>
      <c r="D167" s="27"/>
      <c r="E167" s="29"/>
      <c r="F167" s="27"/>
      <c r="G167" s="27"/>
      <c r="H167" s="28"/>
      <c r="I167" s="32" t="str">
        <f aca="false">IF(A167="","",_xlfn.TEXTJOIN(", ",TRUE(),IF(AND(E167&lt;&gt;"",B167&lt;&gt;"Previous CBS Talks spend"),"Amount only allowed for Previous CBS Talks spend",""),IF(AND(B167="Previous CBS Talks spend",E167=""),"Add the amount received",""),IF(AND(D167="",LEFT(B167,8)&lt;&gt;"Previous",B167&lt;&gt;"None found (checked)"),"Source URL needed","")))</f>
        <v/>
      </c>
    </row>
    <row r="168" customFormat="false" ht="15" hidden="false" customHeight="false" outlineLevel="0" collapsed="false">
      <c r="A168" s="27"/>
      <c r="B168" s="27"/>
      <c r="C168" s="27"/>
      <c r="D168" s="27"/>
      <c r="E168" s="29"/>
      <c r="F168" s="27"/>
      <c r="G168" s="27"/>
      <c r="H168" s="28"/>
      <c r="I168" s="32" t="str">
        <f aca="false">IF(A168="","",_xlfn.TEXTJOIN(", ",TRUE(),IF(AND(E168&lt;&gt;"",B168&lt;&gt;"Previous CBS Talks spend"),"Amount only allowed for Previous CBS Talks spend",""),IF(AND(B168="Previous CBS Talks spend",E168=""),"Add the amount received",""),IF(AND(D168="",LEFT(B168,8)&lt;&gt;"Previous",B168&lt;&gt;"None found (checked)"),"Source URL needed","")))</f>
        <v/>
      </c>
    </row>
    <row r="169" customFormat="false" ht="15" hidden="false" customHeight="false" outlineLevel="0" collapsed="false">
      <c r="A169" s="27"/>
      <c r="B169" s="27"/>
      <c r="C169" s="27"/>
      <c r="D169" s="27"/>
      <c r="E169" s="29"/>
      <c r="F169" s="27"/>
      <c r="G169" s="27"/>
      <c r="H169" s="28"/>
      <c r="I169" s="32" t="str">
        <f aca="false">IF(A169="","",_xlfn.TEXTJOIN(", ",TRUE(),IF(AND(E169&lt;&gt;"",B169&lt;&gt;"Previous CBS Talks spend"),"Amount only allowed for Previous CBS Talks spend",""),IF(AND(B169="Previous CBS Talks spend",E169=""),"Add the amount received",""),IF(AND(D169="",LEFT(B169,8)&lt;&gt;"Previous",B169&lt;&gt;"None found (checked)"),"Source URL needed","")))</f>
        <v/>
      </c>
    </row>
    <row r="170" customFormat="false" ht="15" hidden="false" customHeight="false" outlineLevel="0" collapsed="false">
      <c r="A170" s="27"/>
      <c r="B170" s="27"/>
      <c r="C170" s="27"/>
      <c r="D170" s="27"/>
      <c r="E170" s="29"/>
      <c r="F170" s="27"/>
      <c r="G170" s="27"/>
      <c r="H170" s="28"/>
      <c r="I170" s="32" t="str">
        <f aca="false">IF(A170="","",_xlfn.TEXTJOIN(", ",TRUE(),IF(AND(E170&lt;&gt;"",B170&lt;&gt;"Previous CBS Talks spend"),"Amount only allowed for Previous CBS Talks spend",""),IF(AND(B170="Previous CBS Talks spend",E170=""),"Add the amount received",""),IF(AND(D170="",LEFT(B170,8)&lt;&gt;"Previous",B170&lt;&gt;"None found (checked)"),"Source URL needed","")))</f>
        <v/>
      </c>
    </row>
    <row r="171" customFormat="false" ht="15" hidden="false" customHeight="false" outlineLevel="0" collapsed="false">
      <c r="A171" s="27"/>
      <c r="B171" s="27"/>
      <c r="C171" s="27"/>
      <c r="D171" s="27"/>
      <c r="E171" s="29"/>
      <c r="F171" s="27"/>
      <c r="G171" s="27"/>
      <c r="H171" s="28"/>
      <c r="I171" s="32" t="str">
        <f aca="false">IF(A171="","",_xlfn.TEXTJOIN(", ",TRUE(),IF(AND(E171&lt;&gt;"",B171&lt;&gt;"Previous CBS Talks spend"),"Amount only allowed for Previous CBS Talks spend",""),IF(AND(B171="Previous CBS Talks spend",E171=""),"Add the amount received",""),IF(AND(D171="",LEFT(B171,8)&lt;&gt;"Previous",B171&lt;&gt;"None found (checked)"),"Source URL needed","")))</f>
        <v/>
      </c>
    </row>
    <row r="172" customFormat="false" ht="15" hidden="false" customHeight="false" outlineLevel="0" collapsed="false">
      <c r="A172" s="27"/>
      <c r="B172" s="27"/>
      <c r="C172" s="27"/>
      <c r="D172" s="27"/>
      <c r="E172" s="29"/>
      <c r="F172" s="27"/>
      <c r="G172" s="27"/>
      <c r="H172" s="28"/>
      <c r="I172" s="32" t="str">
        <f aca="false">IF(A172="","",_xlfn.TEXTJOIN(", ",TRUE(),IF(AND(E172&lt;&gt;"",B172&lt;&gt;"Previous CBS Talks spend"),"Amount only allowed for Previous CBS Talks spend",""),IF(AND(B172="Previous CBS Talks spend",E172=""),"Add the amount received",""),IF(AND(D172="",LEFT(B172,8)&lt;&gt;"Previous",B172&lt;&gt;"None found (checked)"),"Source URL needed","")))</f>
        <v/>
      </c>
    </row>
    <row r="173" customFormat="false" ht="15" hidden="false" customHeight="false" outlineLevel="0" collapsed="false">
      <c r="A173" s="27"/>
      <c r="B173" s="27"/>
      <c r="C173" s="27"/>
      <c r="D173" s="27"/>
      <c r="E173" s="29"/>
      <c r="F173" s="27"/>
      <c r="G173" s="27"/>
      <c r="H173" s="28"/>
      <c r="I173" s="32" t="str">
        <f aca="false">IF(A173="","",_xlfn.TEXTJOIN(", ",TRUE(),IF(AND(E173&lt;&gt;"",B173&lt;&gt;"Previous CBS Talks spend"),"Amount only allowed for Previous CBS Talks spend",""),IF(AND(B173="Previous CBS Talks spend",E173=""),"Add the amount received",""),IF(AND(D173="",LEFT(B173,8)&lt;&gt;"Previous",B173&lt;&gt;"None found (checked)"),"Source URL needed","")))</f>
        <v/>
      </c>
    </row>
    <row r="174" customFormat="false" ht="15" hidden="false" customHeight="false" outlineLevel="0" collapsed="false">
      <c r="A174" s="27"/>
      <c r="B174" s="27"/>
      <c r="C174" s="27"/>
      <c r="D174" s="27"/>
      <c r="E174" s="29"/>
      <c r="F174" s="27"/>
      <c r="G174" s="27"/>
      <c r="H174" s="28"/>
      <c r="I174" s="32" t="str">
        <f aca="false">IF(A174="","",_xlfn.TEXTJOIN(", ",TRUE(),IF(AND(E174&lt;&gt;"",B174&lt;&gt;"Previous CBS Talks spend"),"Amount only allowed for Previous CBS Talks spend",""),IF(AND(B174="Previous CBS Talks spend",E174=""),"Add the amount received",""),IF(AND(D174="",LEFT(B174,8)&lt;&gt;"Previous",B174&lt;&gt;"None found (checked)"),"Source URL needed","")))</f>
        <v/>
      </c>
    </row>
    <row r="175" customFormat="false" ht="15" hidden="false" customHeight="false" outlineLevel="0" collapsed="false">
      <c r="A175" s="27"/>
      <c r="B175" s="27"/>
      <c r="C175" s="27"/>
      <c r="D175" s="27"/>
      <c r="E175" s="29"/>
      <c r="F175" s="27"/>
      <c r="G175" s="27"/>
      <c r="H175" s="28"/>
      <c r="I175" s="32" t="str">
        <f aca="false">IF(A175="","",_xlfn.TEXTJOIN(", ",TRUE(),IF(AND(E175&lt;&gt;"",B175&lt;&gt;"Previous CBS Talks spend"),"Amount only allowed for Previous CBS Talks spend",""),IF(AND(B175="Previous CBS Talks spend",E175=""),"Add the amount received",""),IF(AND(D175="",LEFT(B175,8)&lt;&gt;"Previous",B175&lt;&gt;"None found (checked)"),"Source URL needed","")))</f>
        <v/>
      </c>
    </row>
    <row r="176" customFormat="false" ht="15" hidden="false" customHeight="false" outlineLevel="0" collapsed="false">
      <c r="A176" s="27"/>
      <c r="B176" s="27"/>
      <c r="C176" s="27"/>
      <c r="D176" s="27"/>
      <c r="E176" s="29"/>
      <c r="F176" s="27"/>
      <c r="G176" s="27"/>
      <c r="H176" s="28"/>
      <c r="I176" s="32" t="str">
        <f aca="false">IF(A176="","",_xlfn.TEXTJOIN(", ",TRUE(),IF(AND(E176&lt;&gt;"",B176&lt;&gt;"Previous CBS Talks spend"),"Amount only allowed for Previous CBS Talks spend",""),IF(AND(B176="Previous CBS Talks spend",E176=""),"Add the amount received",""),IF(AND(D176="",LEFT(B176,8)&lt;&gt;"Previous",B176&lt;&gt;"None found (checked)"),"Source URL needed","")))</f>
        <v/>
      </c>
    </row>
    <row r="177" customFormat="false" ht="15" hidden="false" customHeight="false" outlineLevel="0" collapsed="false">
      <c r="A177" s="27"/>
      <c r="B177" s="27"/>
      <c r="C177" s="27"/>
      <c r="D177" s="27"/>
      <c r="E177" s="29"/>
      <c r="F177" s="27"/>
      <c r="G177" s="27"/>
      <c r="H177" s="28"/>
      <c r="I177" s="32" t="str">
        <f aca="false">IF(A177="","",_xlfn.TEXTJOIN(", ",TRUE(),IF(AND(E177&lt;&gt;"",B177&lt;&gt;"Previous CBS Talks spend"),"Amount only allowed for Previous CBS Talks spend",""),IF(AND(B177="Previous CBS Talks spend",E177=""),"Add the amount received",""),IF(AND(D177="",LEFT(B177,8)&lt;&gt;"Previous",B177&lt;&gt;"None found (checked)"),"Source URL needed","")))</f>
        <v/>
      </c>
    </row>
    <row r="178" customFormat="false" ht="15" hidden="false" customHeight="false" outlineLevel="0" collapsed="false">
      <c r="A178" s="27"/>
      <c r="B178" s="27"/>
      <c r="C178" s="27"/>
      <c r="D178" s="27"/>
      <c r="E178" s="29"/>
      <c r="F178" s="27"/>
      <c r="G178" s="27"/>
      <c r="H178" s="28"/>
      <c r="I178" s="32" t="str">
        <f aca="false">IF(A178="","",_xlfn.TEXTJOIN(", ",TRUE(),IF(AND(E178&lt;&gt;"",B178&lt;&gt;"Previous CBS Talks spend"),"Amount only allowed for Previous CBS Talks spend",""),IF(AND(B178="Previous CBS Talks spend",E178=""),"Add the amount received",""),IF(AND(D178="",LEFT(B178,8)&lt;&gt;"Previous",B178&lt;&gt;"None found (checked)"),"Source URL needed","")))</f>
        <v/>
      </c>
    </row>
    <row r="179" customFormat="false" ht="15" hidden="false" customHeight="false" outlineLevel="0" collapsed="false">
      <c r="A179" s="27"/>
      <c r="B179" s="27"/>
      <c r="C179" s="27"/>
      <c r="D179" s="27"/>
      <c r="E179" s="29"/>
      <c r="F179" s="27"/>
      <c r="G179" s="27"/>
      <c r="H179" s="28"/>
      <c r="I179" s="32" t="str">
        <f aca="false">IF(A179="","",_xlfn.TEXTJOIN(", ",TRUE(),IF(AND(E179&lt;&gt;"",B179&lt;&gt;"Previous CBS Talks spend"),"Amount only allowed for Previous CBS Talks spend",""),IF(AND(B179="Previous CBS Talks spend",E179=""),"Add the amount received",""),IF(AND(D179="",LEFT(B179,8)&lt;&gt;"Previous",B179&lt;&gt;"None found (checked)"),"Source URL needed","")))</f>
        <v/>
      </c>
    </row>
    <row r="180" customFormat="false" ht="15" hidden="false" customHeight="false" outlineLevel="0" collapsed="false">
      <c r="A180" s="27"/>
      <c r="B180" s="27"/>
      <c r="C180" s="27"/>
      <c r="D180" s="27"/>
      <c r="E180" s="29"/>
      <c r="F180" s="27"/>
      <c r="G180" s="27"/>
      <c r="H180" s="28"/>
      <c r="I180" s="32" t="str">
        <f aca="false">IF(A180="","",_xlfn.TEXTJOIN(", ",TRUE(),IF(AND(E180&lt;&gt;"",B180&lt;&gt;"Previous CBS Talks spend"),"Amount only allowed for Previous CBS Talks spend",""),IF(AND(B180="Previous CBS Talks spend",E180=""),"Add the amount received",""),IF(AND(D180="",LEFT(B180,8)&lt;&gt;"Previous",B180&lt;&gt;"None found (checked)"),"Source URL needed","")))</f>
        <v/>
      </c>
    </row>
    <row r="181" customFormat="false" ht="15" hidden="false" customHeight="false" outlineLevel="0" collapsed="false">
      <c r="A181" s="27"/>
      <c r="B181" s="27"/>
      <c r="C181" s="27"/>
      <c r="D181" s="27"/>
      <c r="E181" s="29"/>
      <c r="F181" s="27"/>
      <c r="G181" s="27"/>
      <c r="H181" s="28"/>
      <c r="I181" s="32" t="str">
        <f aca="false">IF(A181="","",_xlfn.TEXTJOIN(", ",TRUE(),IF(AND(E181&lt;&gt;"",B181&lt;&gt;"Previous CBS Talks spend"),"Amount only allowed for Previous CBS Talks spend",""),IF(AND(B181="Previous CBS Talks spend",E181=""),"Add the amount received",""),IF(AND(D181="",LEFT(B181,8)&lt;&gt;"Previous",B181&lt;&gt;"None found (checked)"),"Source URL needed","")))</f>
        <v/>
      </c>
    </row>
    <row r="182" customFormat="false" ht="15" hidden="false" customHeight="false" outlineLevel="0" collapsed="false">
      <c r="A182" s="27"/>
      <c r="B182" s="27"/>
      <c r="C182" s="27"/>
      <c r="D182" s="27"/>
      <c r="E182" s="29"/>
      <c r="F182" s="27"/>
      <c r="G182" s="27"/>
      <c r="H182" s="28"/>
      <c r="I182" s="32" t="str">
        <f aca="false">IF(A182="","",_xlfn.TEXTJOIN(", ",TRUE(),IF(AND(E182&lt;&gt;"",B182&lt;&gt;"Previous CBS Talks spend"),"Amount only allowed for Previous CBS Talks spend",""),IF(AND(B182="Previous CBS Talks spend",E182=""),"Add the amount received",""),IF(AND(D182="",LEFT(B182,8)&lt;&gt;"Previous",B182&lt;&gt;"None found (checked)"),"Source URL needed","")))</f>
        <v/>
      </c>
    </row>
    <row r="183" customFormat="false" ht="15" hidden="false" customHeight="false" outlineLevel="0" collapsed="false">
      <c r="A183" s="27"/>
      <c r="B183" s="27"/>
      <c r="C183" s="27"/>
      <c r="D183" s="27"/>
      <c r="E183" s="29"/>
      <c r="F183" s="27"/>
      <c r="G183" s="27"/>
      <c r="H183" s="28"/>
      <c r="I183" s="32" t="str">
        <f aca="false">IF(A183="","",_xlfn.TEXTJOIN(", ",TRUE(),IF(AND(E183&lt;&gt;"",B183&lt;&gt;"Previous CBS Talks spend"),"Amount only allowed for Previous CBS Talks spend",""),IF(AND(B183="Previous CBS Talks spend",E183=""),"Add the amount received",""),IF(AND(D183="",LEFT(B183,8)&lt;&gt;"Previous",B183&lt;&gt;"None found (checked)"),"Source URL needed","")))</f>
        <v/>
      </c>
    </row>
    <row r="184" customFormat="false" ht="15" hidden="false" customHeight="false" outlineLevel="0" collapsed="false">
      <c r="A184" s="27"/>
      <c r="B184" s="27"/>
      <c r="C184" s="27"/>
      <c r="D184" s="27"/>
      <c r="E184" s="29"/>
      <c r="F184" s="27"/>
      <c r="G184" s="27"/>
      <c r="H184" s="28"/>
      <c r="I184" s="32" t="str">
        <f aca="false">IF(A184="","",_xlfn.TEXTJOIN(", ",TRUE(),IF(AND(E184&lt;&gt;"",B184&lt;&gt;"Previous CBS Talks spend"),"Amount only allowed for Previous CBS Talks spend",""),IF(AND(B184="Previous CBS Talks spend",E184=""),"Add the amount received",""),IF(AND(D184="",LEFT(B184,8)&lt;&gt;"Previous",B184&lt;&gt;"None found (checked)"),"Source URL needed","")))</f>
        <v/>
      </c>
    </row>
    <row r="185" customFormat="false" ht="15" hidden="false" customHeight="false" outlineLevel="0" collapsed="false">
      <c r="A185" s="27"/>
      <c r="B185" s="27"/>
      <c r="C185" s="27"/>
      <c r="D185" s="27"/>
      <c r="E185" s="29"/>
      <c r="F185" s="27"/>
      <c r="G185" s="27"/>
      <c r="H185" s="28"/>
      <c r="I185" s="32" t="str">
        <f aca="false">IF(A185="","",_xlfn.TEXTJOIN(", ",TRUE(),IF(AND(E185&lt;&gt;"",B185&lt;&gt;"Previous CBS Talks spend"),"Amount only allowed for Previous CBS Talks spend",""),IF(AND(B185="Previous CBS Talks spend",E185=""),"Add the amount received",""),IF(AND(D185="",LEFT(B185,8)&lt;&gt;"Previous",B185&lt;&gt;"None found (checked)"),"Source URL needed","")))</f>
        <v/>
      </c>
    </row>
    <row r="186" customFormat="false" ht="15" hidden="false" customHeight="false" outlineLevel="0" collapsed="false">
      <c r="A186" s="27"/>
      <c r="B186" s="27"/>
      <c r="C186" s="27"/>
      <c r="D186" s="27"/>
      <c r="E186" s="29"/>
      <c r="F186" s="27"/>
      <c r="G186" s="27"/>
      <c r="H186" s="28"/>
      <c r="I186" s="32" t="str">
        <f aca="false">IF(A186="","",_xlfn.TEXTJOIN(", ",TRUE(),IF(AND(E186&lt;&gt;"",B186&lt;&gt;"Previous CBS Talks spend"),"Amount only allowed for Previous CBS Talks spend",""),IF(AND(B186="Previous CBS Talks spend",E186=""),"Add the amount received",""),IF(AND(D186="",LEFT(B186,8)&lt;&gt;"Previous",B186&lt;&gt;"None found (checked)"),"Source URL needed","")))</f>
        <v/>
      </c>
    </row>
    <row r="187" customFormat="false" ht="15" hidden="false" customHeight="false" outlineLevel="0" collapsed="false">
      <c r="A187" s="27"/>
      <c r="B187" s="27"/>
      <c r="C187" s="27"/>
      <c r="D187" s="27"/>
      <c r="E187" s="29"/>
      <c r="F187" s="27"/>
      <c r="G187" s="27"/>
      <c r="H187" s="28"/>
      <c r="I187" s="32" t="str">
        <f aca="false">IF(A187="","",_xlfn.TEXTJOIN(", ",TRUE(),IF(AND(E187&lt;&gt;"",B187&lt;&gt;"Previous CBS Talks spend"),"Amount only allowed for Previous CBS Talks spend",""),IF(AND(B187="Previous CBS Talks spend",E187=""),"Add the amount received",""),IF(AND(D187="",LEFT(B187,8)&lt;&gt;"Previous",B187&lt;&gt;"None found (checked)"),"Source URL needed","")))</f>
        <v/>
      </c>
    </row>
    <row r="188" customFormat="false" ht="15" hidden="false" customHeight="false" outlineLevel="0" collapsed="false">
      <c r="A188" s="27"/>
      <c r="B188" s="27"/>
      <c r="C188" s="27"/>
      <c r="D188" s="27"/>
      <c r="E188" s="29"/>
      <c r="F188" s="27"/>
      <c r="G188" s="27"/>
      <c r="H188" s="28"/>
      <c r="I188" s="32" t="str">
        <f aca="false">IF(A188="","",_xlfn.TEXTJOIN(", ",TRUE(),IF(AND(E188&lt;&gt;"",B188&lt;&gt;"Previous CBS Talks spend"),"Amount only allowed for Previous CBS Talks spend",""),IF(AND(B188="Previous CBS Talks spend",E188=""),"Add the amount received",""),IF(AND(D188="",LEFT(B188,8)&lt;&gt;"Previous",B188&lt;&gt;"None found (checked)"),"Source URL needed","")))</f>
        <v/>
      </c>
    </row>
    <row r="189" customFormat="false" ht="15" hidden="false" customHeight="false" outlineLevel="0" collapsed="false">
      <c r="A189" s="27"/>
      <c r="B189" s="27"/>
      <c r="C189" s="27"/>
      <c r="D189" s="27"/>
      <c r="E189" s="29"/>
      <c r="F189" s="27"/>
      <c r="G189" s="27"/>
      <c r="H189" s="28"/>
      <c r="I189" s="32" t="str">
        <f aca="false">IF(A189="","",_xlfn.TEXTJOIN(", ",TRUE(),IF(AND(E189&lt;&gt;"",B189&lt;&gt;"Previous CBS Talks spend"),"Amount only allowed for Previous CBS Talks spend",""),IF(AND(B189="Previous CBS Talks spend",E189=""),"Add the amount received",""),IF(AND(D189="",LEFT(B189,8)&lt;&gt;"Previous",B189&lt;&gt;"None found (checked)"),"Source URL needed","")))</f>
        <v/>
      </c>
    </row>
    <row r="190" customFormat="false" ht="15" hidden="false" customHeight="false" outlineLevel="0" collapsed="false">
      <c r="A190" s="27"/>
      <c r="B190" s="27"/>
      <c r="C190" s="27"/>
      <c r="D190" s="27"/>
      <c r="E190" s="29"/>
      <c r="F190" s="27"/>
      <c r="G190" s="27"/>
      <c r="H190" s="28"/>
      <c r="I190" s="32" t="str">
        <f aca="false">IF(A190="","",_xlfn.TEXTJOIN(", ",TRUE(),IF(AND(E190&lt;&gt;"",B190&lt;&gt;"Previous CBS Talks spend"),"Amount only allowed for Previous CBS Talks spend",""),IF(AND(B190="Previous CBS Talks spend",E190=""),"Add the amount received",""),IF(AND(D190="",LEFT(B190,8)&lt;&gt;"Previous",B190&lt;&gt;"None found (checked)"),"Source URL needed","")))</f>
        <v/>
      </c>
    </row>
    <row r="191" customFormat="false" ht="15" hidden="false" customHeight="false" outlineLevel="0" collapsed="false">
      <c r="A191" s="27"/>
      <c r="B191" s="27"/>
      <c r="C191" s="27"/>
      <c r="D191" s="27"/>
      <c r="E191" s="29"/>
      <c r="F191" s="27"/>
      <c r="G191" s="27"/>
      <c r="H191" s="28"/>
      <c r="I191" s="32" t="str">
        <f aca="false">IF(A191="","",_xlfn.TEXTJOIN(", ",TRUE(),IF(AND(E191&lt;&gt;"",B191&lt;&gt;"Previous CBS Talks spend"),"Amount only allowed for Previous CBS Talks spend",""),IF(AND(B191="Previous CBS Talks spend",E191=""),"Add the amount received",""),IF(AND(D191="",LEFT(B191,8)&lt;&gt;"Previous",B191&lt;&gt;"None found (checked)"),"Source URL needed","")))</f>
        <v/>
      </c>
    </row>
    <row r="192" customFormat="false" ht="15" hidden="false" customHeight="false" outlineLevel="0" collapsed="false">
      <c r="A192" s="27"/>
      <c r="B192" s="27"/>
      <c r="C192" s="27"/>
      <c r="D192" s="27"/>
      <c r="E192" s="29"/>
      <c r="F192" s="27"/>
      <c r="G192" s="27"/>
      <c r="H192" s="28"/>
      <c r="I192" s="32" t="str">
        <f aca="false">IF(A192="","",_xlfn.TEXTJOIN(", ",TRUE(),IF(AND(E192&lt;&gt;"",B192&lt;&gt;"Previous CBS Talks spend"),"Amount only allowed for Previous CBS Talks spend",""),IF(AND(B192="Previous CBS Talks spend",E192=""),"Add the amount received",""),IF(AND(D192="",LEFT(B192,8)&lt;&gt;"Previous",B192&lt;&gt;"None found (checked)"),"Source URL needed","")))</f>
        <v/>
      </c>
    </row>
    <row r="193" customFormat="false" ht="15" hidden="false" customHeight="false" outlineLevel="0" collapsed="false">
      <c r="A193" s="27"/>
      <c r="B193" s="27"/>
      <c r="C193" s="27"/>
      <c r="D193" s="27"/>
      <c r="E193" s="29"/>
      <c r="F193" s="27"/>
      <c r="G193" s="27"/>
      <c r="H193" s="28"/>
      <c r="I193" s="32" t="str">
        <f aca="false">IF(A193="","",_xlfn.TEXTJOIN(", ",TRUE(),IF(AND(E193&lt;&gt;"",B193&lt;&gt;"Previous CBS Talks spend"),"Amount only allowed for Previous CBS Talks spend",""),IF(AND(B193="Previous CBS Talks spend",E193=""),"Add the amount received",""),IF(AND(D193="",LEFT(B193,8)&lt;&gt;"Previous",B193&lt;&gt;"None found (checked)"),"Source URL needed","")))</f>
        <v/>
      </c>
    </row>
    <row r="194" customFormat="false" ht="15" hidden="false" customHeight="false" outlineLevel="0" collapsed="false">
      <c r="A194" s="27"/>
      <c r="B194" s="27"/>
      <c r="C194" s="27"/>
      <c r="D194" s="27"/>
      <c r="E194" s="29"/>
      <c r="F194" s="27"/>
      <c r="G194" s="27"/>
      <c r="H194" s="28"/>
      <c r="I194" s="32" t="str">
        <f aca="false">IF(A194="","",_xlfn.TEXTJOIN(", ",TRUE(),IF(AND(E194&lt;&gt;"",B194&lt;&gt;"Previous CBS Talks spend"),"Amount only allowed for Previous CBS Talks spend",""),IF(AND(B194="Previous CBS Talks spend",E194=""),"Add the amount received",""),IF(AND(D194="",LEFT(B194,8)&lt;&gt;"Previous",B194&lt;&gt;"None found (checked)"),"Source URL needed","")))</f>
        <v/>
      </c>
    </row>
    <row r="195" customFormat="false" ht="15" hidden="false" customHeight="false" outlineLevel="0" collapsed="false">
      <c r="A195" s="27"/>
      <c r="B195" s="27"/>
      <c r="C195" s="27"/>
      <c r="D195" s="27"/>
      <c r="E195" s="29"/>
      <c r="F195" s="27"/>
      <c r="G195" s="27"/>
      <c r="H195" s="28"/>
      <c r="I195" s="32" t="str">
        <f aca="false">IF(A195="","",_xlfn.TEXTJOIN(", ",TRUE(),IF(AND(E195&lt;&gt;"",B195&lt;&gt;"Previous CBS Talks spend"),"Amount only allowed for Previous CBS Talks spend",""),IF(AND(B195="Previous CBS Talks spend",E195=""),"Add the amount received",""),IF(AND(D195="",LEFT(B195,8)&lt;&gt;"Previous",B195&lt;&gt;"None found (checked)"),"Source URL needed","")))</f>
        <v/>
      </c>
    </row>
    <row r="196" customFormat="false" ht="15" hidden="false" customHeight="false" outlineLevel="0" collapsed="false">
      <c r="A196" s="27"/>
      <c r="B196" s="27"/>
      <c r="C196" s="27"/>
      <c r="D196" s="27"/>
      <c r="E196" s="29"/>
      <c r="F196" s="27"/>
      <c r="G196" s="27"/>
      <c r="H196" s="28"/>
      <c r="I196" s="32" t="str">
        <f aca="false">IF(A196="","",_xlfn.TEXTJOIN(", ",TRUE(),IF(AND(E196&lt;&gt;"",B196&lt;&gt;"Previous CBS Talks spend"),"Amount only allowed for Previous CBS Talks spend",""),IF(AND(B196="Previous CBS Talks spend",E196=""),"Add the amount received",""),IF(AND(D196="",LEFT(B196,8)&lt;&gt;"Previous",B196&lt;&gt;"None found (checked)"),"Source URL needed","")))</f>
        <v/>
      </c>
    </row>
    <row r="197" customFormat="false" ht="15" hidden="false" customHeight="false" outlineLevel="0" collapsed="false">
      <c r="A197" s="27"/>
      <c r="B197" s="27"/>
      <c r="C197" s="27"/>
      <c r="D197" s="27"/>
      <c r="E197" s="29"/>
      <c r="F197" s="27"/>
      <c r="G197" s="27"/>
      <c r="H197" s="28"/>
      <c r="I197" s="32" t="str">
        <f aca="false">IF(A197="","",_xlfn.TEXTJOIN(", ",TRUE(),IF(AND(E197&lt;&gt;"",B197&lt;&gt;"Previous CBS Talks spend"),"Amount only allowed for Previous CBS Talks spend",""),IF(AND(B197="Previous CBS Talks spend",E197=""),"Add the amount received",""),IF(AND(D197="",LEFT(B197,8)&lt;&gt;"Previous",B197&lt;&gt;"None found (checked)"),"Source URL needed","")))</f>
        <v/>
      </c>
    </row>
    <row r="198" customFormat="false" ht="15" hidden="false" customHeight="false" outlineLevel="0" collapsed="false">
      <c r="A198" s="27"/>
      <c r="B198" s="27"/>
      <c r="C198" s="27"/>
      <c r="D198" s="27"/>
      <c r="E198" s="29"/>
      <c r="F198" s="27"/>
      <c r="G198" s="27"/>
      <c r="H198" s="28"/>
      <c r="I198" s="32" t="str">
        <f aca="false">IF(A198="","",_xlfn.TEXTJOIN(", ",TRUE(),IF(AND(E198&lt;&gt;"",B198&lt;&gt;"Previous CBS Talks spend"),"Amount only allowed for Previous CBS Talks spend",""),IF(AND(B198="Previous CBS Talks spend",E198=""),"Add the amount received",""),IF(AND(D198="",LEFT(B198,8)&lt;&gt;"Previous",B198&lt;&gt;"None found (checked)"),"Source URL needed","")))</f>
        <v/>
      </c>
    </row>
    <row r="199" customFormat="false" ht="15" hidden="false" customHeight="false" outlineLevel="0" collapsed="false">
      <c r="A199" s="27"/>
      <c r="B199" s="27"/>
      <c r="C199" s="27"/>
      <c r="D199" s="27"/>
      <c r="E199" s="29"/>
      <c r="F199" s="27"/>
      <c r="G199" s="27"/>
      <c r="H199" s="28"/>
      <c r="I199" s="32" t="str">
        <f aca="false">IF(A199="","",_xlfn.TEXTJOIN(", ",TRUE(),IF(AND(E199&lt;&gt;"",B199&lt;&gt;"Previous CBS Talks spend"),"Amount only allowed for Previous CBS Talks spend",""),IF(AND(B199="Previous CBS Talks spend",E199=""),"Add the amount received",""),IF(AND(D199="",LEFT(B199,8)&lt;&gt;"Previous",B199&lt;&gt;"None found (checked)"),"Source URL needed","")))</f>
        <v/>
      </c>
    </row>
    <row r="200" customFormat="false" ht="15" hidden="false" customHeight="false" outlineLevel="0" collapsed="false">
      <c r="A200" s="27"/>
      <c r="B200" s="27"/>
      <c r="C200" s="27"/>
      <c r="D200" s="27"/>
      <c r="E200" s="29"/>
      <c r="F200" s="27"/>
      <c r="G200" s="27"/>
      <c r="H200" s="28"/>
      <c r="I200" s="32" t="str">
        <f aca="false">IF(A200="","",_xlfn.TEXTJOIN(", ",TRUE(),IF(AND(E200&lt;&gt;"",B200&lt;&gt;"Previous CBS Talks spend"),"Amount only allowed for Previous CBS Talks spend",""),IF(AND(B200="Previous CBS Talks spend",E200=""),"Add the amount received",""),IF(AND(D200="",LEFT(B200,8)&lt;&gt;"Previous",B200&lt;&gt;"None found (checked)"),"Source URL needed","")))</f>
        <v/>
      </c>
    </row>
    <row r="201" customFormat="false" ht="15" hidden="false" customHeight="false" outlineLevel="0" collapsed="false">
      <c r="A201" s="27"/>
      <c r="B201" s="27"/>
      <c r="C201" s="27"/>
      <c r="D201" s="27"/>
      <c r="E201" s="29"/>
      <c r="F201" s="27"/>
      <c r="G201" s="27"/>
      <c r="H201" s="28"/>
      <c r="I201" s="32" t="str">
        <f aca="false">IF(A201="","",_xlfn.TEXTJOIN(", ",TRUE(),IF(AND(E201&lt;&gt;"",B201&lt;&gt;"Previous CBS Talks spend"),"Amount only allowed for Previous CBS Talks spend",""),IF(AND(B201="Previous CBS Talks spend",E201=""),"Add the amount received",""),IF(AND(D201="",LEFT(B201,8)&lt;&gt;"Previous",B201&lt;&gt;"None found (checked)"),"Source URL needed","")))</f>
        <v/>
      </c>
    </row>
    <row r="202" customFormat="false" ht="15" hidden="false" customHeight="false" outlineLevel="0" collapsed="false">
      <c r="A202" s="27"/>
      <c r="B202" s="27"/>
      <c r="C202" s="27"/>
      <c r="D202" s="27"/>
      <c r="E202" s="29"/>
      <c r="F202" s="27"/>
      <c r="G202" s="27"/>
      <c r="H202" s="28"/>
      <c r="I202" s="32" t="str">
        <f aca="false">IF(A202="","",_xlfn.TEXTJOIN(", ",TRUE(),IF(AND(E202&lt;&gt;"",B202&lt;&gt;"Previous CBS Talks spend"),"Amount only allowed for Previous CBS Talks spend",""),IF(AND(B202="Previous CBS Talks spend",E202=""),"Add the amount received",""),IF(AND(D202="",LEFT(B202,8)&lt;&gt;"Previous",B202&lt;&gt;"None found (checked)"),"Source URL needed","")))</f>
        <v/>
      </c>
    </row>
    <row r="203" customFormat="false" ht="15" hidden="false" customHeight="false" outlineLevel="0" collapsed="false">
      <c r="A203" s="27"/>
      <c r="B203" s="27"/>
      <c r="C203" s="27"/>
      <c r="D203" s="27"/>
      <c r="E203" s="29"/>
      <c r="F203" s="27"/>
      <c r="G203" s="27"/>
      <c r="H203" s="28"/>
      <c r="I203" s="32" t="str">
        <f aca="false">IF(A203="","",_xlfn.TEXTJOIN(", ",TRUE(),IF(AND(E203&lt;&gt;"",B203&lt;&gt;"Previous CBS Talks spend"),"Amount only allowed for Previous CBS Talks spend",""),IF(AND(B203="Previous CBS Talks spend",E203=""),"Add the amount received",""),IF(AND(D203="",LEFT(B203,8)&lt;&gt;"Previous",B203&lt;&gt;"None found (checked)"),"Source URL needed","")))</f>
        <v/>
      </c>
    </row>
    <row r="204" customFormat="false" ht="15" hidden="false" customHeight="false" outlineLevel="0" collapsed="false">
      <c r="A204" s="27"/>
      <c r="B204" s="27"/>
      <c r="C204" s="27"/>
      <c r="D204" s="27"/>
      <c r="E204" s="29"/>
      <c r="F204" s="27"/>
      <c r="G204" s="27"/>
      <c r="H204" s="28"/>
      <c r="I204" s="32" t="str">
        <f aca="false">IF(A204="","",_xlfn.TEXTJOIN(", ",TRUE(),IF(AND(E204&lt;&gt;"",B204&lt;&gt;"Previous CBS Talks spend"),"Amount only allowed for Previous CBS Talks spend",""),IF(AND(B204="Previous CBS Talks spend",E204=""),"Add the amount received",""),IF(AND(D204="",LEFT(B204,8)&lt;&gt;"Previous",B204&lt;&gt;"None found (checked)"),"Source URL needed","")))</f>
        <v/>
      </c>
    </row>
    <row r="205" customFormat="false" ht="15" hidden="false" customHeight="false" outlineLevel="0" collapsed="false">
      <c r="A205" s="27"/>
      <c r="B205" s="27"/>
      <c r="C205" s="27"/>
      <c r="D205" s="27"/>
      <c r="E205" s="29"/>
      <c r="F205" s="27"/>
      <c r="G205" s="27"/>
      <c r="H205" s="28"/>
      <c r="I205" s="32" t="str">
        <f aca="false">IF(A205="","",_xlfn.TEXTJOIN(", ",TRUE(),IF(AND(E205&lt;&gt;"",B205&lt;&gt;"Previous CBS Talks spend"),"Amount only allowed for Previous CBS Talks spend",""),IF(AND(B205="Previous CBS Talks spend",E205=""),"Add the amount received",""),IF(AND(D205="",LEFT(B205,8)&lt;&gt;"Previous",B205&lt;&gt;"None found (checked)"),"Source URL needed","")))</f>
        <v/>
      </c>
    </row>
    <row r="206" customFormat="false" ht="15" hidden="false" customHeight="false" outlineLevel="0" collapsed="false">
      <c r="A206" s="27"/>
      <c r="B206" s="27"/>
      <c r="C206" s="27"/>
      <c r="D206" s="27"/>
      <c r="E206" s="29"/>
      <c r="F206" s="27"/>
      <c r="G206" s="27"/>
      <c r="H206" s="28"/>
      <c r="I206" s="32" t="str">
        <f aca="false">IF(A206="","",_xlfn.TEXTJOIN(", ",TRUE(),IF(AND(E206&lt;&gt;"",B206&lt;&gt;"Previous CBS Talks spend"),"Amount only allowed for Previous CBS Talks spend",""),IF(AND(B206="Previous CBS Talks spend",E206=""),"Add the amount received",""),IF(AND(D206="",LEFT(B206,8)&lt;&gt;"Previous",B206&lt;&gt;"None found (checked)"),"Source URL needed","")))</f>
        <v/>
      </c>
    </row>
    <row r="207" customFormat="false" ht="15" hidden="false" customHeight="false" outlineLevel="0" collapsed="false">
      <c r="A207" s="27"/>
      <c r="B207" s="27"/>
      <c r="C207" s="27"/>
      <c r="D207" s="27"/>
      <c r="E207" s="29"/>
      <c r="F207" s="27"/>
      <c r="G207" s="27"/>
      <c r="H207" s="28"/>
      <c r="I207" s="32" t="str">
        <f aca="false">IF(A207="","",_xlfn.TEXTJOIN(", ",TRUE(),IF(AND(E207&lt;&gt;"",B207&lt;&gt;"Previous CBS Talks spend"),"Amount only allowed for Previous CBS Talks spend",""),IF(AND(B207="Previous CBS Talks spend",E207=""),"Add the amount received",""),IF(AND(D207="",LEFT(B207,8)&lt;&gt;"Previous",B207&lt;&gt;"None found (checked)"),"Source URL needed","")))</f>
        <v/>
      </c>
    </row>
    <row r="208" customFormat="false" ht="15" hidden="false" customHeight="false" outlineLevel="0" collapsed="false">
      <c r="A208" s="27"/>
      <c r="B208" s="27"/>
      <c r="C208" s="27"/>
      <c r="D208" s="27"/>
      <c r="E208" s="29"/>
      <c r="F208" s="27"/>
      <c r="G208" s="27"/>
      <c r="H208" s="28"/>
      <c r="I208" s="32" t="str">
        <f aca="false">IF(A208="","",_xlfn.TEXTJOIN(", ",TRUE(),IF(AND(E208&lt;&gt;"",B208&lt;&gt;"Previous CBS Talks spend"),"Amount only allowed for Previous CBS Talks spend",""),IF(AND(B208="Previous CBS Talks spend",E208=""),"Add the amount received",""),IF(AND(D208="",LEFT(B208,8)&lt;&gt;"Previous",B208&lt;&gt;"None found (checked)"),"Source URL needed","")))</f>
        <v/>
      </c>
    </row>
    <row r="209" customFormat="false" ht="15" hidden="false" customHeight="false" outlineLevel="0" collapsed="false">
      <c r="A209" s="27"/>
      <c r="B209" s="27"/>
      <c r="C209" s="27"/>
      <c r="D209" s="27"/>
      <c r="E209" s="29"/>
      <c r="F209" s="27"/>
      <c r="G209" s="27"/>
      <c r="H209" s="28"/>
      <c r="I209" s="32" t="str">
        <f aca="false">IF(A209="","",_xlfn.TEXTJOIN(", ",TRUE(),IF(AND(E209&lt;&gt;"",B209&lt;&gt;"Previous CBS Talks spend"),"Amount only allowed for Previous CBS Talks spend",""),IF(AND(B209="Previous CBS Talks spend",E209=""),"Add the amount received",""),IF(AND(D209="",LEFT(B209,8)&lt;&gt;"Previous",B209&lt;&gt;"None found (checked)"),"Source URL needed","")))</f>
        <v/>
      </c>
    </row>
    <row r="210" customFormat="false" ht="15" hidden="false" customHeight="false" outlineLevel="0" collapsed="false">
      <c r="A210" s="27"/>
      <c r="B210" s="27"/>
      <c r="C210" s="27"/>
      <c r="D210" s="27"/>
      <c r="E210" s="29"/>
      <c r="F210" s="27"/>
      <c r="G210" s="27"/>
      <c r="H210" s="28"/>
      <c r="I210" s="32" t="str">
        <f aca="false">IF(A210="","",_xlfn.TEXTJOIN(", ",TRUE(),IF(AND(E210&lt;&gt;"",B210&lt;&gt;"Previous CBS Talks spend"),"Amount only allowed for Previous CBS Talks spend",""),IF(AND(B210="Previous CBS Talks spend",E210=""),"Add the amount received",""),IF(AND(D210="",LEFT(B210,8)&lt;&gt;"Previous",B210&lt;&gt;"None found (checked)"),"Source URL needed","")))</f>
        <v/>
      </c>
    </row>
    <row r="211" customFormat="false" ht="15" hidden="false" customHeight="false" outlineLevel="0" collapsed="false">
      <c r="A211" s="27"/>
      <c r="B211" s="27"/>
      <c r="C211" s="27"/>
      <c r="D211" s="27"/>
      <c r="E211" s="29"/>
      <c r="F211" s="27"/>
      <c r="G211" s="27"/>
      <c r="H211" s="28"/>
      <c r="I211" s="32" t="str">
        <f aca="false">IF(A211="","",_xlfn.TEXTJOIN(", ",TRUE(),IF(AND(E211&lt;&gt;"",B211&lt;&gt;"Previous CBS Talks spend"),"Amount only allowed for Previous CBS Talks spend",""),IF(AND(B211="Previous CBS Talks spend",E211=""),"Add the amount received",""),IF(AND(D211="",LEFT(B211,8)&lt;&gt;"Previous",B211&lt;&gt;"None found (checked)"),"Source URL needed","")))</f>
        <v/>
      </c>
    </row>
    <row r="212" customFormat="false" ht="15" hidden="false" customHeight="false" outlineLevel="0" collapsed="false">
      <c r="A212" s="27"/>
      <c r="B212" s="27"/>
      <c r="C212" s="27"/>
      <c r="D212" s="27"/>
      <c r="E212" s="29"/>
      <c r="F212" s="27"/>
      <c r="G212" s="27"/>
      <c r="H212" s="28"/>
      <c r="I212" s="32" t="str">
        <f aca="false">IF(A212="","",_xlfn.TEXTJOIN(", ",TRUE(),IF(AND(E212&lt;&gt;"",B212&lt;&gt;"Previous CBS Talks spend"),"Amount only allowed for Previous CBS Talks spend",""),IF(AND(B212="Previous CBS Talks spend",E212=""),"Add the amount received",""),IF(AND(D212="",LEFT(B212,8)&lt;&gt;"Previous",B212&lt;&gt;"None found (checked)"),"Source URL needed","")))</f>
        <v/>
      </c>
    </row>
    <row r="213" customFormat="false" ht="15" hidden="false" customHeight="false" outlineLevel="0" collapsed="false">
      <c r="A213" s="27"/>
      <c r="B213" s="27"/>
      <c r="C213" s="27"/>
      <c r="D213" s="27"/>
      <c r="E213" s="29"/>
      <c r="F213" s="27"/>
      <c r="G213" s="27"/>
      <c r="H213" s="28"/>
      <c r="I213" s="32" t="str">
        <f aca="false">IF(A213="","",_xlfn.TEXTJOIN(", ",TRUE(),IF(AND(E213&lt;&gt;"",B213&lt;&gt;"Previous CBS Talks spend"),"Amount only allowed for Previous CBS Talks spend",""),IF(AND(B213="Previous CBS Talks spend",E213=""),"Add the amount received",""),IF(AND(D213="",LEFT(B213,8)&lt;&gt;"Previous",B213&lt;&gt;"None found (checked)"),"Source URL needed","")))</f>
        <v/>
      </c>
    </row>
    <row r="214" customFormat="false" ht="15" hidden="false" customHeight="false" outlineLevel="0" collapsed="false">
      <c r="A214" s="27"/>
      <c r="B214" s="27"/>
      <c r="C214" s="27"/>
      <c r="D214" s="27"/>
      <c r="E214" s="29"/>
      <c r="F214" s="27"/>
      <c r="G214" s="27"/>
      <c r="H214" s="28"/>
      <c r="I214" s="32" t="str">
        <f aca="false">IF(A214="","",_xlfn.TEXTJOIN(", ",TRUE(),IF(AND(E214&lt;&gt;"",B214&lt;&gt;"Previous CBS Talks spend"),"Amount only allowed for Previous CBS Talks spend",""),IF(AND(B214="Previous CBS Talks spend",E214=""),"Add the amount received",""),IF(AND(D214="",LEFT(B214,8)&lt;&gt;"Previous",B214&lt;&gt;"None found (checked)"),"Source URL needed","")))</f>
        <v/>
      </c>
    </row>
    <row r="215" customFormat="false" ht="15" hidden="false" customHeight="false" outlineLevel="0" collapsed="false">
      <c r="A215" s="27"/>
      <c r="B215" s="27"/>
      <c r="C215" s="27"/>
      <c r="D215" s="27"/>
      <c r="E215" s="29"/>
      <c r="F215" s="27"/>
      <c r="G215" s="27"/>
      <c r="H215" s="28"/>
      <c r="I215" s="32" t="str">
        <f aca="false">IF(A215="","",_xlfn.TEXTJOIN(", ",TRUE(),IF(AND(E215&lt;&gt;"",B215&lt;&gt;"Previous CBS Talks spend"),"Amount only allowed for Previous CBS Talks spend",""),IF(AND(B215="Previous CBS Talks spend",E215=""),"Add the amount received",""),IF(AND(D215="",LEFT(B215,8)&lt;&gt;"Previous",B215&lt;&gt;"None found (checked)"),"Source URL needed","")))</f>
        <v/>
      </c>
    </row>
    <row r="216" customFormat="false" ht="15" hidden="false" customHeight="false" outlineLevel="0" collapsed="false">
      <c r="A216" s="27"/>
      <c r="B216" s="27"/>
      <c r="C216" s="27"/>
      <c r="D216" s="27"/>
      <c r="E216" s="29"/>
      <c r="F216" s="27"/>
      <c r="G216" s="27"/>
      <c r="H216" s="28"/>
      <c r="I216" s="32" t="str">
        <f aca="false">IF(A216="","",_xlfn.TEXTJOIN(", ",TRUE(),IF(AND(E216&lt;&gt;"",B216&lt;&gt;"Previous CBS Talks spend"),"Amount only allowed for Previous CBS Talks spend",""),IF(AND(B216="Previous CBS Talks spend",E216=""),"Add the amount received",""),IF(AND(D216="",LEFT(B216,8)&lt;&gt;"Previous",B216&lt;&gt;"None found (checked)"),"Source URL needed","")))</f>
        <v/>
      </c>
    </row>
    <row r="217" customFormat="false" ht="15" hidden="false" customHeight="false" outlineLevel="0" collapsed="false">
      <c r="A217" s="27"/>
      <c r="B217" s="27"/>
      <c r="C217" s="27"/>
      <c r="D217" s="27"/>
      <c r="E217" s="29"/>
      <c r="F217" s="27"/>
      <c r="G217" s="27"/>
      <c r="H217" s="28"/>
      <c r="I217" s="32" t="str">
        <f aca="false">IF(A217="","",_xlfn.TEXTJOIN(", ",TRUE(),IF(AND(E217&lt;&gt;"",B217&lt;&gt;"Previous CBS Talks spend"),"Amount only allowed for Previous CBS Talks spend",""),IF(AND(B217="Previous CBS Talks spend",E217=""),"Add the amount received",""),IF(AND(D217="",LEFT(B217,8)&lt;&gt;"Previous",B217&lt;&gt;"None found (checked)"),"Source URL needed","")))</f>
        <v/>
      </c>
    </row>
    <row r="218" customFormat="false" ht="15" hidden="false" customHeight="false" outlineLevel="0" collapsed="false">
      <c r="A218" s="27"/>
      <c r="B218" s="27"/>
      <c r="C218" s="27"/>
      <c r="D218" s="27"/>
      <c r="E218" s="29"/>
      <c r="F218" s="27"/>
      <c r="G218" s="27"/>
      <c r="H218" s="28"/>
      <c r="I218" s="32" t="str">
        <f aca="false">IF(A218="","",_xlfn.TEXTJOIN(", ",TRUE(),IF(AND(E218&lt;&gt;"",B218&lt;&gt;"Previous CBS Talks spend"),"Amount only allowed for Previous CBS Talks spend",""),IF(AND(B218="Previous CBS Talks spend",E218=""),"Add the amount received",""),IF(AND(D218="",LEFT(B218,8)&lt;&gt;"Previous",B218&lt;&gt;"None found (checked)"),"Source URL needed","")))</f>
        <v/>
      </c>
    </row>
    <row r="219" customFormat="false" ht="15" hidden="false" customHeight="false" outlineLevel="0" collapsed="false">
      <c r="A219" s="27"/>
      <c r="B219" s="27"/>
      <c r="C219" s="27"/>
      <c r="D219" s="27"/>
      <c r="E219" s="29"/>
      <c r="F219" s="27"/>
      <c r="G219" s="27"/>
      <c r="H219" s="28"/>
      <c r="I219" s="32" t="str">
        <f aca="false">IF(A219="","",_xlfn.TEXTJOIN(", ",TRUE(),IF(AND(E219&lt;&gt;"",B219&lt;&gt;"Previous CBS Talks spend"),"Amount only allowed for Previous CBS Talks spend",""),IF(AND(B219="Previous CBS Talks spend",E219=""),"Add the amount received",""),IF(AND(D219="",LEFT(B219,8)&lt;&gt;"Previous",B219&lt;&gt;"None found (checked)"),"Source URL needed","")))</f>
        <v/>
      </c>
    </row>
    <row r="220" customFormat="false" ht="15" hidden="false" customHeight="false" outlineLevel="0" collapsed="false">
      <c r="A220" s="27"/>
      <c r="B220" s="27"/>
      <c r="C220" s="27"/>
      <c r="D220" s="27"/>
      <c r="E220" s="29"/>
      <c r="F220" s="27"/>
      <c r="G220" s="27"/>
      <c r="H220" s="28"/>
      <c r="I220" s="32" t="str">
        <f aca="false">IF(A220="","",_xlfn.TEXTJOIN(", ",TRUE(),IF(AND(E220&lt;&gt;"",B220&lt;&gt;"Previous CBS Talks spend"),"Amount only allowed for Previous CBS Talks spend",""),IF(AND(B220="Previous CBS Talks spend",E220=""),"Add the amount received",""),IF(AND(D220="",LEFT(B220,8)&lt;&gt;"Previous",B220&lt;&gt;"None found (checked)"),"Source URL needed","")))</f>
        <v/>
      </c>
    </row>
    <row r="221" customFormat="false" ht="15" hidden="false" customHeight="false" outlineLevel="0" collapsed="false">
      <c r="A221" s="27"/>
      <c r="B221" s="27"/>
      <c r="C221" s="27"/>
      <c r="D221" s="27"/>
      <c r="E221" s="29"/>
      <c r="F221" s="27"/>
      <c r="G221" s="27"/>
      <c r="H221" s="28"/>
      <c r="I221" s="32" t="str">
        <f aca="false">IF(A221="","",_xlfn.TEXTJOIN(", ",TRUE(),IF(AND(E221&lt;&gt;"",B221&lt;&gt;"Previous CBS Talks spend"),"Amount only allowed for Previous CBS Talks spend",""),IF(AND(B221="Previous CBS Talks spend",E221=""),"Add the amount received",""),IF(AND(D221="",LEFT(B221,8)&lt;&gt;"Previous",B221&lt;&gt;"None found (checked)"),"Source URL needed","")))</f>
        <v/>
      </c>
    </row>
    <row r="222" customFormat="false" ht="15" hidden="false" customHeight="false" outlineLevel="0" collapsed="false">
      <c r="A222" s="27"/>
      <c r="B222" s="27"/>
      <c r="C222" s="27"/>
      <c r="D222" s="27"/>
      <c r="E222" s="29"/>
      <c r="F222" s="27"/>
      <c r="G222" s="27"/>
      <c r="H222" s="28"/>
      <c r="I222" s="32" t="str">
        <f aca="false">IF(A222="","",_xlfn.TEXTJOIN(", ",TRUE(),IF(AND(E222&lt;&gt;"",B222&lt;&gt;"Previous CBS Talks spend"),"Amount only allowed for Previous CBS Talks spend",""),IF(AND(B222="Previous CBS Talks spend",E222=""),"Add the amount received",""),IF(AND(D222="",LEFT(B222,8)&lt;&gt;"Previous",B222&lt;&gt;"None found (checked)"),"Source URL needed","")))</f>
        <v/>
      </c>
    </row>
    <row r="223" customFormat="false" ht="15" hidden="false" customHeight="false" outlineLevel="0" collapsed="false">
      <c r="A223" s="27"/>
      <c r="B223" s="27"/>
      <c r="C223" s="27"/>
      <c r="D223" s="27"/>
      <c r="E223" s="29"/>
      <c r="F223" s="27"/>
      <c r="G223" s="27"/>
      <c r="H223" s="28"/>
      <c r="I223" s="32" t="str">
        <f aca="false">IF(A223="","",_xlfn.TEXTJOIN(", ",TRUE(),IF(AND(E223&lt;&gt;"",B223&lt;&gt;"Previous CBS Talks spend"),"Amount only allowed for Previous CBS Talks spend",""),IF(AND(B223="Previous CBS Talks spend",E223=""),"Add the amount received",""),IF(AND(D223="",LEFT(B223,8)&lt;&gt;"Previous",B223&lt;&gt;"None found (checked)"),"Source URL needed","")))</f>
        <v/>
      </c>
    </row>
    <row r="224" customFormat="false" ht="15" hidden="false" customHeight="false" outlineLevel="0" collapsed="false">
      <c r="A224" s="27"/>
      <c r="B224" s="27"/>
      <c r="C224" s="27"/>
      <c r="D224" s="27"/>
      <c r="E224" s="29"/>
      <c r="F224" s="27"/>
      <c r="G224" s="27"/>
      <c r="H224" s="28"/>
      <c r="I224" s="32" t="str">
        <f aca="false">IF(A224="","",_xlfn.TEXTJOIN(", ",TRUE(),IF(AND(E224&lt;&gt;"",B224&lt;&gt;"Previous CBS Talks spend"),"Amount only allowed for Previous CBS Talks spend",""),IF(AND(B224="Previous CBS Talks spend",E224=""),"Add the amount received",""),IF(AND(D224="",LEFT(B224,8)&lt;&gt;"Previous",B224&lt;&gt;"None found (checked)"),"Source URL needed","")))</f>
        <v/>
      </c>
    </row>
    <row r="225" customFormat="false" ht="15" hidden="false" customHeight="false" outlineLevel="0" collapsed="false">
      <c r="A225" s="27"/>
      <c r="B225" s="27"/>
      <c r="C225" s="27"/>
      <c r="D225" s="27"/>
      <c r="E225" s="29"/>
      <c r="F225" s="27"/>
      <c r="G225" s="27"/>
      <c r="H225" s="28"/>
      <c r="I225" s="32" t="str">
        <f aca="false">IF(A225="","",_xlfn.TEXTJOIN(", ",TRUE(),IF(AND(E225&lt;&gt;"",B225&lt;&gt;"Previous CBS Talks spend"),"Amount only allowed for Previous CBS Talks spend",""),IF(AND(B225="Previous CBS Talks spend",E225=""),"Add the amount received",""),IF(AND(D225="",LEFT(B225,8)&lt;&gt;"Previous",B225&lt;&gt;"None found (checked)"),"Source URL needed","")))</f>
        <v/>
      </c>
    </row>
    <row r="226" customFormat="false" ht="15" hidden="false" customHeight="false" outlineLevel="0" collapsed="false">
      <c r="A226" s="27"/>
      <c r="B226" s="27"/>
      <c r="C226" s="27"/>
      <c r="D226" s="27"/>
      <c r="E226" s="29"/>
      <c r="F226" s="27"/>
      <c r="G226" s="27"/>
      <c r="H226" s="28"/>
      <c r="I226" s="32" t="str">
        <f aca="false">IF(A226="","",_xlfn.TEXTJOIN(", ",TRUE(),IF(AND(E226&lt;&gt;"",B226&lt;&gt;"Previous CBS Talks spend"),"Amount only allowed for Previous CBS Talks spend",""),IF(AND(B226="Previous CBS Talks spend",E226=""),"Add the amount received",""),IF(AND(D226="",LEFT(B226,8)&lt;&gt;"Previous",B226&lt;&gt;"None found (checked)"),"Source URL needed","")))</f>
        <v/>
      </c>
    </row>
    <row r="227" customFormat="false" ht="15" hidden="false" customHeight="false" outlineLevel="0" collapsed="false">
      <c r="A227" s="27"/>
      <c r="B227" s="27"/>
      <c r="C227" s="27"/>
      <c r="D227" s="27"/>
      <c r="E227" s="29"/>
      <c r="F227" s="27"/>
      <c r="G227" s="27"/>
      <c r="H227" s="28"/>
      <c r="I227" s="32" t="str">
        <f aca="false">IF(A227="","",_xlfn.TEXTJOIN(", ",TRUE(),IF(AND(E227&lt;&gt;"",B227&lt;&gt;"Previous CBS Talks spend"),"Amount only allowed for Previous CBS Talks spend",""),IF(AND(B227="Previous CBS Talks spend",E227=""),"Add the amount received",""),IF(AND(D227="",LEFT(B227,8)&lt;&gt;"Previous",B227&lt;&gt;"None found (checked)"),"Source URL needed","")))</f>
        <v/>
      </c>
    </row>
    <row r="228" customFormat="false" ht="15" hidden="false" customHeight="false" outlineLevel="0" collapsed="false">
      <c r="A228" s="27"/>
      <c r="B228" s="27"/>
      <c r="C228" s="27"/>
      <c r="D228" s="27"/>
      <c r="E228" s="29"/>
      <c r="F228" s="27"/>
      <c r="G228" s="27"/>
      <c r="H228" s="28"/>
      <c r="I228" s="32" t="str">
        <f aca="false">IF(A228="","",_xlfn.TEXTJOIN(", ",TRUE(),IF(AND(E228&lt;&gt;"",B228&lt;&gt;"Previous CBS Talks spend"),"Amount only allowed for Previous CBS Talks spend",""),IF(AND(B228="Previous CBS Talks spend",E228=""),"Add the amount received",""),IF(AND(D228="",LEFT(B228,8)&lt;&gt;"Previous",B228&lt;&gt;"None found (checked)"),"Source URL needed","")))</f>
        <v/>
      </c>
    </row>
    <row r="229" customFormat="false" ht="15" hidden="false" customHeight="false" outlineLevel="0" collapsed="false">
      <c r="A229" s="27"/>
      <c r="B229" s="27"/>
      <c r="C229" s="27"/>
      <c r="D229" s="27"/>
      <c r="E229" s="29"/>
      <c r="F229" s="27"/>
      <c r="G229" s="27"/>
      <c r="H229" s="28"/>
      <c r="I229" s="32" t="str">
        <f aca="false">IF(A229="","",_xlfn.TEXTJOIN(", ",TRUE(),IF(AND(E229&lt;&gt;"",B229&lt;&gt;"Previous CBS Talks spend"),"Amount only allowed for Previous CBS Talks spend",""),IF(AND(B229="Previous CBS Talks spend",E229=""),"Add the amount received",""),IF(AND(D229="",LEFT(B229,8)&lt;&gt;"Previous",B229&lt;&gt;"None found (checked)"),"Source URL needed","")))</f>
        <v/>
      </c>
    </row>
    <row r="230" customFormat="false" ht="15" hidden="false" customHeight="false" outlineLevel="0" collapsed="false">
      <c r="A230" s="27"/>
      <c r="B230" s="27"/>
      <c r="C230" s="27"/>
      <c r="D230" s="27"/>
      <c r="E230" s="29"/>
      <c r="F230" s="27"/>
      <c r="G230" s="27"/>
      <c r="H230" s="28"/>
      <c r="I230" s="32" t="str">
        <f aca="false">IF(A230="","",_xlfn.TEXTJOIN(", ",TRUE(),IF(AND(E230&lt;&gt;"",B230&lt;&gt;"Previous CBS Talks spend"),"Amount only allowed for Previous CBS Talks spend",""),IF(AND(B230="Previous CBS Talks spend",E230=""),"Add the amount received",""),IF(AND(D230="",LEFT(B230,8)&lt;&gt;"Previous",B230&lt;&gt;"None found (checked)"),"Source URL needed","")))</f>
        <v/>
      </c>
    </row>
    <row r="231" customFormat="false" ht="15" hidden="false" customHeight="false" outlineLevel="0" collapsed="false">
      <c r="A231" s="27"/>
      <c r="B231" s="27"/>
      <c r="C231" s="27"/>
      <c r="D231" s="27"/>
      <c r="E231" s="29"/>
      <c r="F231" s="27"/>
      <c r="G231" s="27"/>
      <c r="H231" s="28"/>
      <c r="I231" s="32" t="str">
        <f aca="false">IF(A231="","",_xlfn.TEXTJOIN(", ",TRUE(),IF(AND(E231&lt;&gt;"",B231&lt;&gt;"Previous CBS Talks spend"),"Amount only allowed for Previous CBS Talks spend",""),IF(AND(B231="Previous CBS Talks spend",E231=""),"Add the amount received",""),IF(AND(D231="",LEFT(B231,8)&lt;&gt;"Previous",B231&lt;&gt;"None found (checked)"),"Source URL needed","")))</f>
        <v/>
      </c>
    </row>
    <row r="232" customFormat="false" ht="15" hidden="false" customHeight="false" outlineLevel="0" collapsed="false">
      <c r="A232" s="27"/>
      <c r="B232" s="27"/>
      <c r="C232" s="27"/>
      <c r="D232" s="27"/>
      <c r="E232" s="29"/>
      <c r="F232" s="27"/>
      <c r="G232" s="27"/>
      <c r="H232" s="28"/>
      <c r="I232" s="32" t="str">
        <f aca="false">IF(A232="","",_xlfn.TEXTJOIN(", ",TRUE(),IF(AND(E232&lt;&gt;"",B232&lt;&gt;"Previous CBS Talks spend"),"Amount only allowed for Previous CBS Talks spend",""),IF(AND(B232="Previous CBS Talks spend",E232=""),"Add the amount received",""),IF(AND(D232="",LEFT(B232,8)&lt;&gt;"Previous",B232&lt;&gt;"None found (checked)"),"Source URL needed","")))</f>
        <v/>
      </c>
    </row>
    <row r="233" customFormat="false" ht="15" hidden="false" customHeight="false" outlineLevel="0" collapsed="false">
      <c r="A233" s="27"/>
      <c r="B233" s="27"/>
      <c r="C233" s="27"/>
      <c r="D233" s="27"/>
      <c r="E233" s="29"/>
      <c r="F233" s="27"/>
      <c r="G233" s="27"/>
      <c r="H233" s="28"/>
      <c r="I233" s="32" t="str">
        <f aca="false">IF(A233="","",_xlfn.TEXTJOIN(", ",TRUE(),IF(AND(E233&lt;&gt;"",B233&lt;&gt;"Previous CBS Talks spend"),"Amount only allowed for Previous CBS Talks spend",""),IF(AND(B233="Previous CBS Talks spend",E233=""),"Add the amount received",""),IF(AND(D233="",LEFT(B233,8)&lt;&gt;"Previous",B233&lt;&gt;"None found (checked)"),"Source URL needed","")))</f>
        <v/>
      </c>
    </row>
    <row r="234" customFormat="false" ht="15" hidden="false" customHeight="false" outlineLevel="0" collapsed="false">
      <c r="A234" s="27"/>
      <c r="B234" s="27"/>
      <c r="C234" s="27"/>
      <c r="D234" s="27"/>
      <c r="E234" s="29"/>
      <c r="F234" s="27"/>
      <c r="G234" s="27"/>
      <c r="H234" s="28"/>
      <c r="I234" s="32" t="str">
        <f aca="false">IF(A234="","",_xlfn.TEXTJOIN(", ",TRUE(),IF(AND(E234&lt;&gt;"",B234&lt;&gt;"Previous CBS Talks spend"),"Amount only allowed for Previous CBS Talks spend",""),IF(AND(B234="Previous CBS Talks spend",E234=""),"Add the amount received",""),IF(AND(D234="",LEFT(B234,8)&lt;&gt;"Previous",B234&lt;&gt;"None found (checked)"),"Source URL needed","")))</f>
        <v/>
      </c>
    </row>
    <row r="235" customFormat="false" ht="15" hidden="false" customHeight="false" outlineLevel="0" collapsed="false">
      <c r="A235" s="27"/>
      <c r="B235" s="27"/>
      <c r="C235" s="27"/>
      <c r="D235" s="27"/>
      <c r="E235" s="29"/>
      <c r="F235" s="27"/>
      <c r="G235" s="27"/>
      <c r="H235" s="28"/>
      <c r="I235" s="32" t="str">
        <f aca="false">IF(A235="","",_xlfn.TEXTJOIN(", ",TRUE(),IF(AND(E235&lt;&gt;"",B235&lt;&gt;"Previous CBS Talks spend"),"Amount only allowed for Previous CBS Talks spend",""),IF(AND(B235="Previous CBS Talks spend",E235=""),"Add the amount received",""),IF(AND(D235="",LEFT(B235,8)&lt;&gt;"Previous",B235&lt;&gt;"None found (checked)"),"Source URL needed","")))</f>
        <v/>
      </c>
    </row>
    <row r="236" customFormat="false" ht="15" hidden="false" customHeight="false" outlineLevel="0" collapsed="false">
      <c r="A236" s="27"/>
      <c r="B236" s="27"/>
      <c r="C236" s="27"/>
      <c r="D236" s="27"/>
      <c r="E236" s="29"/>
      <c r="F236" s="27"/>
      <c r="G236" s="27"/>
      <c r="H236" s="28"/>
      <c r="I236" s="32" t="str">
        <f aca="false">IF(A236="","",_xlfn.TEXTJOIN(", ",TRUE(),IF(AND(E236&lt;&gt;"",B236&lt;&gt;"Previous CBS Talks spend"),"Amount only allowed for Previous CBS Talks spend",""),IF(AND(B236="Previous CBS Talks spend",E236=""),"Add the amount received",""),IF(AND(D236="",LEFT(B236,8)&lt;&gt;"Previous",B236&lt;&gt;"None found (checked)"),"Source URL needed","")))</f>
        <v/>
      </c>
    </row>
    <row r="237" customFormat="false" ht="15" hidden="false" customHeight="false" outlineLevel="0" collapsed="false">
      <c r="A237" s="27"/>
      <c r="B237" s="27"/>
      <c r="C237" s="27"/>
      <c r="D237" s="27"/>
      <c r="E237" s="29"/>
      <c r="F237" s="27"/>
      <c r="G237" s="27"/>
      <c r="H237" s="28"/>
      <c r="I237" s="32" t="str">
        <f aca="false">IF(A237="","",_xlfn.TEXTJOIN(", ",TRUE(),IF(AND(E237&lt;&gt;"",B237&lt;&gt;"Previous CBS Talks spend"),"Amount only allowed for Previous CBS Talks spend",""),IF(AND(B237="Previous CBS Talks spend",E237=""),"Add the amount received",""),IF(AND(D237="",LEFT(B237,8)&lt;&gt;"Previous",B237&lt;&gt;"None found (checked)"),"Source URL needed","")))</f>
        <v/>
      </c>
    </row>
    <row r="238" customFormat="false" ht="15" hidden="false" customHeight="false" outlineLevel="0" collapsed="false">
      <c r="A238" s="27"/>
      <c r="B238" s="27"/>
      <c r="C238" s="27"/>
      <c r="D238" s="27"/>
      <c r="E238" s="29"/>
      <c r="F238" s="27"/>
      <c r="G238" s="27"/>
      <c r="H238" s="28"/>
      <c r="I238" s="32" t="str">
        <f aca="false">IF(A238="","",_xlfn.TEXTJOIN(", ",TRUE(),IF(AND(E238&lt;&gt;"",B238&lt;&gt;"Previous CBS Talks spend"),"Amount only allowed for Previous CBS Talks spend",""),IF(AND(B238="Previous CBS Talks spend",E238=""),"Add the amount received",""),IF(AND(D238="",LEFT(B238,8)&lt;&gt;"Previous",B238&lt;&gt;"None found (checked)"),"Source URL needed","")))</f>
        <v/>
      </c>
    </row>
    <row r="239" customFormat="false" ht="15" hidden="false" customHeight="false" outlineLevel="0" collapsed="false">
      <c r="A239" s="27"/>
      <c r="B239" s="27"/>
      <c r="C239" s="27"/>
      <c r="D239" s="27"/>
      <c r="E239" s="29"/>
      <c r="F239" s="27"/>
      <c r="G239" s="27"/>
      <c r="H239" s="28"/>
      <c r="I239" s="32" t="str">
        <f aca="false">IF(A239="","",_xlfn.TEXTJOIN(", ",TRUE(),IF(AND(E239&lt;&gt;"",B239&lt;&gt;"Previous CBS Talks spend"),"Amount only allowed for Previous CBS Talks spend",""),IF(AND(B239="Previous CBS Talks spend",E239=""),"Add the amount received",""),IF(AND(D239="",LEFT(B239,8)&lt;&gt;"Previous",B239&lt;&gt;"None found (checked)"),"Source URL needed","")))</f>
        <v/>
      </c>
    </row>
    <row r="240" customFormat="false" ht="15" hidden="false" customHeight="false" outlineLevel="0" collapsed="false">
      <c r="A240" s="27"/>
      <c r="B240" s="27"/>
      <c r="C240" s="27"/>
      <c r="D240" s="27"/>
      <c r="E240" s="29"/>
      <c r="F240" s="27"/>
      <c r="G240" s="27"/>
      <c r="H240" s="28"/>
      <c r="I240" s="32" t="str">
        <f aca="false">IF(A240="","",_xlfn.TEXTJOIN(", ",TRUE(),IF(AND(E240&lt;&gt;"",B240&lt;&gt;"Previous CBS Talks spend"),"Amount only allowed for Previous CBS Talks spend",""),IF(AND(B240="Previous CBS Talks spend",E240=""),"Add the amount received",""),IF(AND(D240="",LEFT(B240,8)&lt;&gt;"Previous",B240&lt;&gt;"None found (checked)"),"Source URL needed","")))</f>
        <v/>
      </c>
    </row>
    <row r="241" customFormat="false" ht="15" hidden="false" customHeight="false" outlineLevel="0" collapsed="false">
      <c r="A241" s="27"/>
      <c r="B241" s="27"/>
      <c r="C241" s="27"/>
      <c r="D241" s="27"/>
      <c r="E241" s="29"/>
      <c r="F241" s="27"/>
      <c r="G241" s="27"/>
      <c r="H241" s="28"/>
      <c r="I241" s="32" t="str">
        <f aca="false">IF(A241="","",_xlfn.TEXTJOIN(", ",TRUE(),IF(AND(E241&lt;&gt;"",B241&lt;&gt;"Previous CBS Talks spend"),"Amount only allowed for Previous CBS Talks spend",""),IF(AND(B241="Previous CBS Talks spend",E241=""),"Add the amount received",""),IF(AND(D241="",LEFT(B241,8)&lt;&gt;"Previous",B241&lt;&gt;"None found (checked)"),"Source URL needed","")))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9"/>
      <c r="F242" s="27"/>
      <c r="G242" s="27"/>
      <c r="H242" s="28"/>
      <c r="I242" s="32" t="str">
        <f aca="false">IF(A242="","",_xlfn.TEXTJOIN(", ",TRUE(),IF(AND(E242&lt;&gt;"",B242&lt;&gt;"Previous CBS Talks spend"),"Amount only allowed for Previous CBS Talks spend",""),IF(AND(B242="Previous CBS Talks spend",E242=""),"Add the amount received",""),IF(AND(D242="",LEFT(B242,8)&lt;&gt;"Previous",B242&lt;&gt;"None found (checked)"),"Source URL needed","")))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9"/>
      <c r="F243" s="27"/>
      <c r="G243" s="27"/>
      <c r="H243" s="28"/>
      <c r="I243" s="32" t="str">
        <f aca="false">IF(A243="","",_xlfn.TEXTJOIN(", ",TRUE(),IF(AND(E243&lt;&gt;"",B243&lt;&gt;"Previous CBS Talks spend"),"Amount only allowed for Previous CBS Talks spend",""),IF(AND(B243="Previous CBS Talks spend",E243=""),"Add the amount received",""),IF(AND(D243="",LEFT(B243,8)&lt;&gt;"Previous",B243&lt;&gt;"None found (checked)"),"Source URL needed","")))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9"/>
      <c r="F244" s="27"/>
      <c r="G244" s="27"/>
      <c r="H244" s="28"/>
      <c r="I244" s="32" t="str">
        <f aca="false">IF(A244="","",_xlfn.TEXTJOIN(", ",TRUE(),IF(AND(E244&lt;&gt;"",B244&lt;&gt;"Previous CBS Talks spend"),"Amount only allowed for Previous CBS Talks spend",""),IF(AND(B244="Previous CBS Talks spend",E244=""),"Add the amount received",""),IF(AND(D244="",LEFT(B244,8)&lt;&gt;"Previous",B244&lt;&gt;"None found (checked)"),"Source URL needed","")))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9"/>
      <c r="F245" s="27"/>
      <c r="G245" s="27"/>
      <c r="H245" s="28"/>
      <c r="I245" s="32" t="str">
        <f aca="false">IF(A245="","",_xlfn.TEXTJOIN(", ",TRUE(),IF(AND(E245&lt;&gt;"",B245&lt;&gt;"Previous CBS Talks spend"),"Amount only allowed for Previous CBS Talks spend",""),IF(AND(B245="Previous CBS Talks spend",E245=""),"Add the amount received",""),IF(AND(D245="",LEFT(B245,8)&lt;&gt;"Previous",B245&lt;&gt;"None found (checked)"),"Source URL needed","")))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9"/>
      <c r="F246" s="27"/>
      <c r="G246" s="27"/>
      <c r="H246" s="28"/>
      <c r="I246" s="32" t="str">
        <f aca="false">IF(A246="","",_xlfn.TEXTJOIN(", ",TRUE(),IF(AND(E246&lt;&gt;"",B246&lt;&gt;"Previous CBS Talks spend"),"Amount only allowed for Previous CBS Talks spend",""),IF(AND(B246="Previous CBS Talks spend",E246=""),"Add the amount received",""),IF(AND(D246="",LEFT(B246,8)&lt;&gt;"Previous",B246&lt;&gt;"None found (checked)"),"Source URL needed","")))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9"/>
      <c r="F247" s="27"/>
      <c r="G247" s="27"/>
      <c r="H247" s="28"/>
      <c r="I247" s="32" t="str">
        <f aca="false">IF(A247="","",_xlfn.TEXTJOIN(", ",TRUE(),IF(AND(E247&lt;&gt;"",B247&lt;&gt;"Previous CBS Talks spend"),"Amount only allowed for Previous CBS Talks spend",""),IF(AND(B247="Previous CBS Talks spend",E247=""),"Add the amount received",""),IF(AND(D247="",LEFT(B247,8)&lt;&gt;"Previous",B247&lt;&gt;"None found (checked)"),"Source URL needed","")))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9"/>
      <c r="F248" s="27"/>
      <c r="G248" s="27"/>
      <c r="H248" s="28"/>
      <c r="I248" s="32" t="str">
        <f aca="false">IF(A248="","",_xlfn.TEXTJOIN(", ",TRUE(),IF(AND(E248&lt;&gt;"",B248&lt;&gt;"Previous CBS Talks spend"),"Amount only allowed for Previous CBS Talks spend",""),IF(AND(B248="Previous CBS Talks spend",E248=""),"Add the amount received",""),IF(AND(D248="",LEFT(B248,8)&lt;&gt;"Previous",B248&lt;&gt;"None found (checked)"),"Source URL needed","")))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9"/>
      <c r="F249" s="27"/>
      <c r="G249" s="27"/>
      <c r="H249" s="28"/>
      <c r="I249" s="32" t="str">
        <f aca="false">IF(A249="","",_xlfn.TEXTJOIN(", ",TRUE(),IF(AND(E249&lt;&gt;"",B249&lt;&gt;"Previous CBS Talks spend"),"Amount only allowed for Previous CBS Talks spend",""),IF(AND(B249="Previous CBS Talks spend",E249=""),"Add the amount received",""),IF(AND(D249="",LEFT(B249,8)&lt;&gt;"Previous",B249&lt;&gt;"None found (checked)"),"Source URL needed","")))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9"/>
      <c r="F250" s="27"/>
      <c r="G250" s="27"/>
      <c r="H250" s="28"/>
      <c r="I250" s="32" t="str">
        <f aca="false">IF(A250="","",_xlfn.TEXTJOIN(", ",TRUE(),IF(AND(E250&lt;&gt;"",B250&lt;&gt;"Previous CBS Talks spend"),"Amount only allowed for Previous CBS Talks spend",""),IF(AND(B250="Previous CBS Talks spend",E250=""),"Add the amount received",""),IF(AND(D250="",LEFT(B250,8)&lt;&gt;"Previous",B250&lt;&gt;"None found (checked)"),"Source URL needed","")))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9"/>
      <c r="F251" s="27"/>
      <c r="G251" s="27"/>
      <c r="H251" s="28"/>
      <c r="I251" s="32" t="str">
        <f aca="false">IF(A251="","",_xlfn.TEXTJOIN(", ",TRUE(),IF(AND(E251&lt;&gt;"",B251&lt;&gt;"Previous CBS Talks spend"),"Amount only allowed for Previous CBS Talks spend",""),IF(AND(B251="Previous CBS Talks spend",E251=""),"Add the amount received",""),IF(AND(D251="",LEFT(B251,8)&lt;&gt;"Previous",B251&lt;&gt;"None found (checked)"),"Source URL needed","")))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9"/>
      <c r="F252" s="27"/>
      <c r="G252" s="27"/>
      <c r="H252" s="28"/>
      <c r="I252" s="32" t="str">
        <f aca="false">IF(A252="","",_xlfn.TEXTJOIN(", ",TRUE(),IF(AND(E252&lt;&gt;"",B252&lt;&gt;"Previous CBS Talks spend"),"Amount only allowed for Previous CBS Talks spend",""),IF(AND(B252="Previous CBS Talks spend",E252=""),"Add the amount received",""),IF(AND(D252="",LEFT(B252,8)&lt;&gt;"Previous",B252&lt;&gt;"None found (checked)"),"Source URL needed","")))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9"/>
      <c r="F253" s="27"/>
      <c r="G253" s="27"/>
      <c r="H253" s="28"/>
      <c r="I253" s="32" t="str">
        <f aca="false">IF(A253="","",_xlfn.TEXTJOIN(", ",TRUE(),IF(AND(E253&lt;&gt;"",B253&lt;&gt;"Previous CBS Talks spend"),"Amount only allowed for Previous CBS Talks spend",""),IF(AND(B253="Previous CBS Talks spend",E253=""),"Add the amount received",""),IF(AND(D253="",LEFT(B253,8)&lt;&gt;"Previous",B253&lt;&gt;"None found (checked)"),"Source URL needed","")))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9"/>
      <c r="F254" s="27"/>
      <c r="G254" s="27"/>
      <c r="H254" s="28"/>
      <c r="I254" s="32" t="str">
        <f aca="false">IF(A254="","",_xlfn.TEXTJOIN(", ",TRUE(),IF(AND(E254&lt;&gt;"",B254&lt;&gt;"Previous CBS Talks spend"),"Amount only allowed for Previous CBS Talks spend",""),IF(AND(B254="Previous CBS Talks spend",E254=""),"Add the amount received",""),IF(AND(D254="",LEFT(B254,8)&lt;&gt;"Previous",B254&lt;&gt;"None found (checked)"),"Source URL needed","")))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9"/>
      <c r="F255" s="27"/>
      <c r="G255" s="27"/>
      <c r="H255" s="28"/>
      <c r="I255" s="32" t="str">
        <f aca="false">IF(A255="","",_xlfn.TEXTJOIN(", ",TRUE(),IF(AND(E255&lt;&gt;"",B255&lt;&gt;"Previous CBS Talks spend"),"Amount only allowed for Previous CBS Talks spend",""),IF(AND(B255="Previous CBS Talks spend",E255=""),"Add the amount received",""),IF(AND(D255="",LEFT(B255,8)&lt;&gt;"Previous",B255&lt;&gt;"None found (checked)"),"Source URL needed","")))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9"/>
      <c r="F256" s="27"/>
      <c r="G256" s="27"/>
      <c r="H256" s="28"/>
      <c r="I256" s="32" t="str">
        <f aca="false">IF(A256="","",_xlfn.TEXTJOIN(", ",TRUE(),IF(AND(E256&lt;&gt;"",B256&lt;&gt;"Previous CBS Talks spend"),"Amount only allowed for Previous CBS Talks spend",""),IF(AND(B256="Previous CBS Talks spend",E256=""),"Add the amount received",""),IF(AND(D256="",LEFT(B256,8)&lt;&gt;"Previous",B256&lt;&gt;"None found (checked)"),"Source URL needed","")))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9"/>
      <c r="F257" s="27"/>
      <c r="G257" s="27"/>
      <c r="H257" s="28"/>
      <c r="I257" s="32" t="str">
        <f aca="false">IF(A257="","",_xlfn.TEXTJOIN(", ",TRUE(),IF(AND(E257&lt;&gt;"",B257&lt;&gt;"Previous CBS Talks spend"),"Amount only allowed for Previous CBS Talks spend",""),IF(AND(B257="Previous CBS Talks spend",E257=""),"Add the amount received",""),IF(AND(D257="",LEFT(B257,8)&lt;&gt;"Previous",B257&lt;&gt;"None found (checked)"),"Source URL needed","")))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9"/>
      <c r="F258" s="27"/>
      <c r="G258" s="27"/>
      <c r="H258" s="28"/>
      <c r="I258" s="32" t="str">
        <f aca="false">IF(A258="","",_xlfn.TEXTJOIN(", ",TRUE(),IF(AND(E258&lt;&gt;"",B258&lt;&gt;"Previous CBS Talks spend"),"Amount only allowed for Previous CBS Talks spend",""),IF(AND(B258="Previous CBS Talks spend",E258=""),"Add the amount received",""),IF(AND(D258="",LEFT(B258,8)&lt;&gt;"Previous",B258&lt;&gt;"None found (checked)"),"Source URL needed","")))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9"/>
      <c r="F259" s="27"/>
      <c r="G259" s="27"/>
      <c r="H259" s="28"/>
      <c r="I259" s="32" t="str">
        <f aca="false">IF(A259="","",_xlfn.TEXTJOIN(", ",TRUE(),IF(AND(E259&lt;&gt;"",B259&lt;&gt;"Previous CBS Talks spend"),"Amount only allowed for Previous CBS Talks spend",""),IF(AND(B259="Previous CBS Talks spend",E259=""),"Add the amount received",""),IF(AND(D259="",LEFT(B259,8)&lt;&gt;"Previous",B259&lt;&gt;"None found (checked)"),"Source URL needed","")))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9"/>
      <c r="F260" s="27"/>
      <c r="G260" s="27"/>
      <c r="H260" s="28"/>
      <c r="I260" s="32" t="str">
        <f aca="false">IF(A260="","",_xlfn.TEXTJOIN(", ",TRUE(),IF(AND(E260&lt;&gt;"",B260&lt;&gt;"Previous CBS Talks spend"),"Amount only allowed for Previous CBS Talks spend",""),IF(AND(B260="Previous CBS Talks spend",E260=""),"Add the amount received",""),IF(AND(D260="",LEFT(B260,8)&lt;&gt;"Previous",B260&lt;&gt;"None found (checked)"),"Source URL needed","")))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9"/>
      <c r="F261" s="27"/>
      <c r="G261" s="27"/>
      <c r="H261" s="28"/>
      <c r="I261" s="32" t="str">
        <f aca="false">IF(A261="","",_xlfn.TEXTJOIN(", ",TRUE(),IF(AND(E261&lt;&gt;"",B261&lt;&gt;"Previous CBS Talks spend"),"Amount only allowed for Previous CBS Talks spend",""),IF(AND(B261="Previous CBS Talks spend",E261=""),"Add the amount received",""),IF(AND(D261="",LEFT(B261,8)&lt;&gt;"Previous",B261&lt;&gt;"None found (checked)"),"Source URL needed","")))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9"/>
      <c r="F262" s="27"/>
      <c r="G262" s="27"/>
      <c r="H262" s="28"/>
      <c r="I262" s="32" t="str">
        <f aca="false">IF(A262="","",_xlfn.TEXTJOIN(", ",TRUE(),IF(AND(E262&lt;&gt;"",B262&lt;&gt;"Previous CBS Talks spend"),"Amount only allowed for Previous CBS Talks spend",""),IF(AND(B262="Previous CBS Talks spend",E262=""),"Add the amount received",""),IF(AND(D262="",LEFT(B262,8)&lt;&gt;"Previous",B262&lt;&gt;"None found (checked)"),"Source URL needed","")))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9"/>
      <c r="F263" s="27"/>
      <c r="G263" s="27"/>
      <c r="H263" s="28"/>
      <c r="I263" s="32" t="str">
        <f aca="false">IF(A263="","",_xlfn.TEXTJOIN(", ",TRUE(),IF(AND(E263&lt;&gt;"",B263&lt;&gt;"Previous CBS Talks spend"),"Amount only allowed for Previous CBS Talks spend",""),IF(AND(B263="Previous CBS Talks spend",E263=""),"Add the amount received",""),IF(AND(D263="",LEFT(B263,8)&lt;&gt;"Previous",B263&lt;&gt;"None found (checked)"),"Source URL needed","")))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9"/>
      <c r="F264" s="27"/>
      <c r="G264" s="27"/>
      <c r="H264" s="28"/>
      <c r="I264" s="32" t="str">
        <f aca="false">IF(A264="","",_xlfn.TEXTJOIN(", ",TRUE(),IF(AND(E264&lt;&gt;"",B264&lt;&gt;"Previous CBS Talks spend"),"Amount only allowed for Previous CBS Talks spend",""),IF(AND(B264="Previous CBS Talks spend",E264=""),"Add the amount received",""),IF(AND(D264="",LEFT(B264,8)&lt;&gt;"Previous",B264&lt;&gt;"None found (checked)"),"Source URL needed","")))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9"/>
      <c r="F265" s="27"/>
      <c r="G265" s="27"/>
      <c r="H265" s="28"/>
      <c r="I265" s="32" t="str">
        <f aca="false">IF(A265="","",_xlfn.TEXTJOIN(", ",TRUE(),IF(AND(E265&lt;&gt;"",B265&lt;&gt;"Previous CBS Talks spend"),"Amount only allowed for Previous CBS Talks spend",""),IF(AND(B265="Previous CBS Talks spend",E265=""),"Add the amount received",""),IF(AND(D265="",LEFT(B265,8)&lt;&gt;"Previous",B265&lt;&gt;"None found (checked)"),"Source URL needed","")))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9"/>
      <c r="F266" s="27"/>
      <c r="G266" s="27"/>
      <c r="H266" s="28"/>
      <c r="I266" s="32" t="str">
        <f aca="false">IF(A266="","",_xlfn.TEXTJOIN(", ",TRUE(),IF(AND(E266&lt;&gt;"",B266&lt;&gt;"Previous CBS Talks spend"),"Amount only allowed for Previous CBS Talks spend",""),IF(AND(B266="Previous CBS Talks spend",E266=""),"Add the amount received",""),IF(AND(D266="",LEFT(B266,8)&lt;&gt;"Previous",B266&lt;&gt;"None found (checked)"),"Source URL needed","")))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9"/>
      <c r="F267" s="27"/>
      <c r="G267" s="27"/>
      <c r="H267" s="28"/>
      <c r="I267" s="32" t="str">
        <f aca="false">IF(A267="","",_xlfn.TEXTJOIN(", ",TRUE(),IF(AND(E267&lt;&gt;"",B267&lt;&gt;"Previous CBS Talks spend"),"Amount only allowed for Previous CBS Talks spend",""),IF(AND(B267="Previous CBS Talks spend",E267=""),"Add the amount received",""),IF(AND(D267="",LEFT(B267,8)&lt;&gt;"Previous",B267&lt;&gt;"None found (checked)"),"Source URL needed","")))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9"/>
      <c r="F268" s="27"/>
      <c r="G268" s="27"/>
      <c r="H268" s="28"/>
      <c r="I268" s="32" t="str">
        <f aca="false">IF(A268="","",_xlfn.TEXTJOIN(", ",TRUE(),IF(AND(E268&lt;&gt;"",B268&lt;&gt;"Previous CBS Talks spend"),"Amount only allowed for Previous CBS Talks spend",""),IF(AND(B268="Previous CBS Talks spend",E268=""),"Add the amount received",""),IF(AND(D268="",LEFT(B268,8)&lt;&gt;"Previous",B268&lt;&gt;"None found (checked)"),"Source URL needed","")))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9"/>
      <c r="F269" s="27"/>
      <c r="G269" s="27"/>
      <c r="H269" s="28"/>
      <c r="I269" s="32" t="str">
        <f aca="false">IF(A269="","",_xlfn.TEXTJOIN(", ",TRUE(),IF(AND(E269&lt;&gt;"",B269&lt;&gt;"Previous CBS Talks spend"),"Amount only allowed for Previous CBS Talks spend",""),IF(AND(B269="Previous CBS Talks spend",E269=""),"Add the amount received",""),IF(AND(D269="",LEFT(B269,8)&lt;&gt;"Previous",B269&lt;&gt;"None found (checked)"),"Source URL needed","")))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9"/>
      <c r="F270" s="27"/>
      <c r="G270" s="27"/>
      <c r="H270" s="28"/>
      <c r="I270" s="32" t="str">
        <f aca="false">IF(A270="","",_xlfn.TEXTJOIN(", ",TRUE(),IF(AND(E270&lt;&gt;"",B270&lt;&gt;"Previous CBS Talks spend"),"Amount only allowed for Previous CBS Talks spend",""),IF(AND(B270="Previous CBS Talks spend",E270=""),"Add the amount received",""),IF(AND(D270="",LEFT(B270,8)&lt;&gt;"Previous",B270&lt;&gt;"None found (checked)"),"Source URL needed","")))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9"/>
      <c r="F271" s="27"/>
      <c r="G271" s="27"/>
      <c r="H271" s="28"/>
      <c r="I271" s="32" t="str">
        <f aca="false">IF(A271="","",_xlfn.TEXTJOIN(", ",TRUE(),IF(AND(E271&lt;&gt;"",B271&lt;&gt;"Previous CBS Talks spend"),"Amount only allowed for Previous CBS Talks spend",""),IF(AND(B271="Previous CBS Talks spend",E271=""),"Add the amount received",""),IF(AND(D271="",LEFT(B271,8)&lt;&gt;"Previous",B271&lt;&gt;"None found (checked)"),"Source URL needed","")))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9"/>
      <c r="F272" s="27"/>
      <c r="G272" s="27"/>
      <c r="H272" s="28"/>
      <c r="I272" s="32" t="str">
        <f aca="false">IF(A272="","",_xlfn.TEXTJOIN(", ",TRUE(),IF(AND(E272&lt;&gt;"",B272&lt;&gt;"Previous CBS Talks spend"),"Amount only allowed for Previous CBS Talks spend",""),IF(AND(B272="Previous CBS Talks spend",E272=""),"Add the amount received",""),IF(AND(D272="",LEFT(B272,8)&lt;&gt;"Previous",B272&lt;&gt;"None found (checked)"),"Source URL needed","")))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9"/>
      <c r="F273" s="27"/>
      <c r="G273" s="27"/>
      <c r="H273" s="28"/>
      <c r="I273" s="32" t="str">
        <f aca="false">IF(A273="","",_xlfn.TEXTJOIN(", ",TRUE(),IF(AND(E273&lt;&gt;"",B273&lt;&gt;"Previous CBS Talks spend"),"Amount only allowed for Previous CBS Talks spend",""),IF(AND(B273="Previous CBS Talks spend",E273=""),"Add the amount received",""),IF(AND(D273="",LEFT(B273,8)&lt;&gt;"Previous",B273&lt;&gt;"None found (checked)"),"Source URL needed","")))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9"/>
      <c r="F274" s="27"/>
      <c r="G274" s="27"/>
      <c r="H274" s="28"/>
      <c r="I274" s="32" t="str">
        <f aca="false">IF(A274="","",_xlfn.TEXTJOIN(", ",TRUE(),IF(AND(E274&lt;&gt;"",B274&lt;&gt;"Previous CBS Talks spend"),"Amount only allowed for Previous CBS Talks spend",""),IF(AND(B274="Previous CBS Talks spend",E274=""),"Add the amount received",""),IF(AND(D274="",LEFT(B274,8)&lt;&gt;"Previous",B274&lt;&gt;"None found (checked)"),"Source URL needed","")))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9"/>
      <c r="F275" s="27"/>
      <c r="G275" s="27"/>
      <c r="H275" s="28"/>
      <c r="I275" s="32" t="str">
        <f aca="false">IF(A275="","",_xlfn.TEXTJOIN(", ",TRUE(),IF(AND(E275&lt;&gt;"",B275&lt;&gt;"Previous CBS Talks spend"),"Amount only allowed for Previous CBS Talks spend",""),IF(AND(B275="Previous CBS Talks spend",E275=""),"Add the amount received",""),IF(AND(D275="",LEFT(B275,8)&lt;&gt;"Previous",B275&lt;&gt;"None found (checked)"),"Source URL needed","")))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9"/>
      <c r="F276" s="27"/>
      <c r="G276" s="27"/>
      <c r="H276" s="28"/>
      <c r="I276" s="32" t="str">
        <f aca="false">IF(A276="","",_xlfn.TEXTJOIN(", ",TRUE(),IF(AND(E276&lt;&gt;"",B276&lt;&gt;"Previous CBS Talks spend"),"Amount only allowed for Previous CBS Talks spend",""),IF(AND(B276="Previous CBS Talks spend",E276=""),"Add the amount received",""),IF(AND(D276="",LEFT(B276,8)&lt;&gt;"Previous",B276&lt;&gt;"None found (checked)"),"Source URL needed","")))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9"/>
      <c r="F277" s="27"/>
      <c r="G277" s="27"/>
      <c r="H277" s="28"/>
      <c r="I277" s="32" t="str">
        <f aca="false">IF(A277="","",_xlfn.TEXTJOIN(", ",TRUE(),IF(AND(E277&lt;&gt;"",B277&lt;&gt;"Previous CBS Talks spend"),"Amount only allowed for Previous CBS Talks spend",""),IF(AND(B277="Previous CBS Talks spend",E277=""),"Add the amount received",""),IF(AND(D277="",LEFT(B277,8)&lt;&gt;"Previous",B277&lt;&gt;"None found (checked)"),"Source URL needed","")))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9"/>
      <c r="F278" s="27"/>
      <c r="G278" s="27"/>
      <c r="H278" s="28"/>
      <c r="I278" s="32" t="str">
        <f aca="false">IF(A278="","",_xlfn.TEXTJOIN(", ",TRUE(),IF(AND(E278&lt;&gt;"",B278&lt;&gt;"Previous CBS Talks spend"),"Amount only allowed for Previous CBS Talks spend",""),IF(AND(B278="Previous CBS Talks spend",E278=""),"Add the amount received",""),IF(AND(D278="",LEFT(B278,8)&lt;&gt;"Previous",B278&lt;&gt;"None found (checked)"),"Source URL needed","")))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9"/>
      <c r="F279" s="27"/>
      <c r="G279" s="27"/>
      <c r="H279" s="28"/>
      <c r="I279" s="32" t="str">
        <f aca="false">IF(A279="","",_xlfn.TEXTJOIN(", ",TRUE(),IF(AND(E279&lt;&gt;"",B279&lt;&gt;"Previous CBS Talks spend"),"Amount only allowed for Previous CBS Talks spend",""),IF(AND(B279="Previous CBS Talks spend",E279=""),"Add the amount received",""),IF(AND(D279="",LEFT(B279,8)&lt;&gt;"Previous",B279&lt;&gt;"None found (checked)"),"Source URL needed","")))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9"/>
      <c r="F280" s="27"/>
      <c r="G280" s="27"/>
      <c r="H280" s="28"/>
      <c r="I280" s="32" t="str">
        <f aca="false">IF(A280="","",_xlfn.TEXTJOIN(", ",TRUE(),IF(AND(E280&lt;&gt;"",B280&lt;&gt;"Previous CBS Talks spend"),"Amount only allowed for Previous CBS Talks spend",""),IF(AND(B280="Previous CBS Talks spend",E280=""),"Add the amount received",""),IF(AND(D280="",LEFT(B280,8)&lt;&gt;"Previous",B280&lt;&gt;"None found (checked)"),"Source URL needed","")))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9"/>
      <c r="F281" s="27"/>
      <c r="G281" s="27"/>
      <c r="H281" s="28"/>
      <c r="I281" s="32" t="str">
        <f aca="false">IF(A281="","",_xlfn.TEXTJOIN(", ",TRUE(),IF(AND(E281&lt;&gt;"",B281&lt;&gt;"Previous CBS Talks spend"),"Amount only allowed for Previous CBS Talks spend",""),IF(AND(B281="Previous CBS Talks spend",E281=""),"Add the amount received",""),IF(AND(D281="",LEFT(B281,8)&lt;&gt;"Previous",B281&lt;&gt;"None found (checked)"),"Source URL needed","")))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9"/>
      <c r="F282" s="27"/>
      <c r="G282" s="27"/>
      <c r="H282" s="28"/>
      <c r="I282" s="32" t="str">
        <f aca="false">IF(A282="","",_xlfn.TEXTJOIN(", ",TRUE(),IF(AND(E282&lt;&gt;"",B282&lt;&gt;"Previous CBS Talks spend"),"Amount only allowed for Previous CBS Talks spend",""),IF(AND(B282="Previous CBS Talks spend",E282=""),"Add the amount received",""),IF(AND(D282="",LEFT(B282,8)&lt;&gt;"Previous",B282&lt;&gt;"None found (checked)"),"Source URL needed","")))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9"/>
      <c r="F283" s="27"/>
      <c r="G283" s="27"/>
      <c r="H283" s="28"/>
      <c r="I283" s="32" t="str">
        <f aca="false">IF(A283="","",_xlfn.TEXTJOIN(", ",TRUE(),IF(AND(E283&lt;&gt;"",B283&lt;&gt;"Previous CBS Talks spend"),"Amount only allowed for Previous CBS Talks spend",""),IF(AND(B283="Previous CBS Talks spend",E283=""),"Add the amount received",""),IF(AND(D283="",LEFT(B283,8)&lt;&gt;"Previous",B283&lt;&gt;"None found (checked)"),"Source URL needed","")))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9"/>
      <c r="F284" s="27"/>
      <c r="G284" s="27"/>
      <c r="H284" s="28"/>
      <c r="I284" s="32" t="str">
        <f aca="false">IF(A284="","",_xlfn.TEXTJOIN(", ",TRUE(),IF(AND(E284&lt;&gt;"",B284&lt;&gt;"Previous CBS Talks spend"),"Amount only allowed for Previous CBS Talks spend",""),IF(AND(B284="Previous CBS Talks spend",E284=""),"Add the amount received",""),IF(AND(D284="",LEFT(B284,8)&lt;&gt;"Previous",B284&lt;&gt;"None found (checked)"),"Source URL needed","")))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9"/>
      <c r="F285" s="27"/>
      <c r="G285" s="27"/>
      <c r="H285" s="28"/>
      <c r="I285" s="32" t="str">
        <f aca="false">IF(A285="","",_xlfn.TEXTJOIN(", ",TRUE(),IF(AND(E285&lt;&gt;"",B285&lt;&gt;"Previous CBS Talks spend"),"Amount only allowed for Previous CBS Talks spend",""),IF(AND(B285="Previous CBS Talks spend",E285=""),"Add the amount received",""),IF(AND(D285="",LEFT(B285,8)&lt;&gt;"Previous",B285&lt;&gt;"None found (checked)"),"Source URL needed","")))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9"/>
      <c r="F286" s="27"/>
      <c r="G286" s="27"/>
      <c r="H286" s="28"/>
      <c r="I286" s="32" t="str">
        <f aca="false">IF(A286="","",_xlfn.TEXTJOIN(", ",TRUE(),IF(AND(E286&lt;&gt;"",B286&lt;&gt;"Previous CBS Talks spend"),"Amount only allowed for Previous CBS Talks spend",""),IF(AND(B286="Previous CBS Talks spend",E286=""),"Add the amount received",""),IF(AND(D286="",LEFT(B286,8)&lt;&gt;"Previous",B286&lt;&gt;"None found (checked)"),"Source URL needed","")))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9"/>
      <c r="F287" s="27"/>
      <c r="G287" s="27"/>
      <c r="H287" s="28"/>
      <c r="I287" s="32" t="str">
        <f aca="false">IF(A287="","",_xlfn.TEXTJOIN(", ",TRUE(),IF(AND(E287&lt;&gt;"",B287&lt;&gt;"Previous CBS Talks spend"),"Amount only allowed for Previous CBS Talks spend",""),IF(AND(B287="Previous CBS Talks spend",E287=""),"Add the amount received",""),IF(AND(D287="",LEFT(B287,8)&lt;&gt;"Previous",B287&lt;&gt;"None found (checked)"),"Source URL needed","")))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9"/>
      <c r="F288" s="27"/>
      <c r="G288" s="27"/>
      <c r="H288" s="28"/>
      <c r="I288" s="32" t="str">
        <f aca="false">IF(A288="","",_xlfn.TEXTJOIN(", ",TRUE(),IF(AND(E288&lt;&gt;"",B288&lt;&gt;"Previous CBS Talks spend"),"Amount only allowed for Previous CBS Talks spend",""),IF(AND(B288="Previous CBS Talks spend",E288=""),"Add the amount received",""),IF(AND(D288="",LEFT(B288,8)&lt;&gt;"Previous",B288&lt;&gt;"None found (checked)"),"Source URL needed","")))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9"/>
      <c r="F289" s="27"/>
      <c r="G289" s="27"/>
      <c r="H289" s="28"/>
      <c r="I289" s="32" t="str">
        <f aca="false">IF(A289="","",_xlfn.TEXTJOIN(", ",TRUE(),IF(AND(E289&lt;&gt;"",B289&lt;&gt;"Previous CBS Talks spend"),"Amount only allowed for Previous CBS Talks spend",""),IF(AND(B289="Previous CBS Talks spend",E289=""),"Add the amount received",""),IF(AND(D289="",LEFT(B289,8)&lt;&gt;"Previous",B289&lt;&gt;"None found (checked)"),"Source URL needed","")))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9"/>
      <c r="F290" s="27"/>
      <c r="G290" s="27"/>
      <c r="H290" s="28"/>
      <c r="I290" s="32" t="str">
        <f aca="false">IF(A290="","",_xlfn.TEXTJOIN(", ",TRUE(),IF(AND(E290&lt;&gt;"",B290&lt;&gt;"Previous CBS Talks spend"),"Amount only allowed for Previous CBS Talks spend",""),IF(AND(B290="Previous CBS Talks spend",E290=""),"Add the amount received",""),IF(AND(D290="",LEFT(B290,8)&lt;&gt;"Previous",B290&lt;&gt;"None found (checked)"),"Source URL needed","")))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9"/>
      <c r="F291" s="27"/>
      <c r="G291" s="27"/>
      <c r="H291" s="28"/>
      <c r="I291" s="32" t="str">
        <f aca="false">IF(A291="","",_xlfn.TEXTJOIN(", ",TRUE(),IF(AND(E291&lt;&gt;"",B291&lt;&gt;"Previous CBS Talks spend"),"Amount only allowed for Previous CBS Talks spend",""),IF(AND(B291="Previous CBS Talks spend",E291=""),"Add the amount received",""),IF(AND(D291="",LEFT(B291,8)&lt;&gt;"Previous",B291&lt;&gt;"None found (checked)"),"Source URL needed","")))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9"/>
      <c r="F292" s="27"/>
      <c r="G292" s="27"/>
      <c r="H292" s="28"/>
      <c r="I292" s="32" t="str">
        <f aca="false">IF(A292="","",_xlfn.TEXTJOIN(", ",TRUE(),IF(AND(E292&lt;&gt;"",B292&lt;&gt;"Previous CBS Talks spend"),"Amount only allowed for Previous CBS Talks spend",""),IF(AND(B292="Previous CBS Talks spend",E292=""),"Add the amount received",""),IF(AND(D292="",LEFT(B292,8)&lt;&gt;"Previous",B292&lt;&gt;"None found (checked)"),"Source URL needed","")))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9"/>
      <c r="F293" s="27"/>
      <c r="G293" s="27"/>
      <c r="H293" s="28"/>
      <c r="I293" s="32" t="str">
        <f aca="false">IF(A293="","",_xlfn.TEXTJOIN(", ",TRUE(),IF(AND(E293&lt;&gt;"",B293&lt;&gt;"Previous CBS Talks spend"),"Amount only allowed for Previous CBS Talks spend",""),IF(AND(B293="Previous CBS Talks spend",E293=""),"Add the amount received",""),IF(AND(D293="",LEFT(B293,8)&lt;&gt;"Previous",B293&lt;&gt;"None found (checked)"),"Source URL needed","")))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9"/>
      <c r="F294" s="27"/>
      <c r="G294" s="27"/>
      <c r="H294" s="28"/>
      <c r="I294" s="32" t="str">
        <f aca="false">IF(A294="","",_xlfn.TEXTJOIN(", ",TRUE(),IF(AND(E294&lt;&gt;"",B294&lt;&gt;"Previous CBS Talks spend"),"Amount only allowed for Previous CBS Talks spend",""),IF(AND(B294="Previous CBS Talks spend",E294=""),"Add the amount received",""),IF(AND(D294="",LEFT(B294,8)&lt;&gt;"Previous",B294&lt;&gt;"None found (checked)"),"Source URL needed","")))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9"/>
      <c r="F295" s="27"/>
      <c r="G295" s="27"/>
      <c r="H295" s="28"/>
      <c r="I295" s="32" t="str">
        <f aca="false">IF(A295="","",_xlfn.TEXTJOIN(", ",TRUE(),IF(AND(E295&lt;&gt;"",B295&lt;&gt;"Previous CBS Talks spend"),"Amount only allowed for Previous CBS Talks spend",""),IF(AND(B295="Previous CBS Talks spend",E295=""),"Add the amount received",""),IF(AND(D295="",LEFT(B295,8)&lt;&gt;"Previous",B295&lt;&gt;"None found (checked)"),"Source URL needed","")))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9"/>
      <c r="F296" s="27"/>
      <c r="G296" s="27"/>
      <c r="H296" s="28"/>
      <c r="I296" s="32" t="str">
        <f aca="false">IF(A296="","",_xlfn.TEXTJOIN(", ",TRUE(),IF(AND(E296&lt;&gt;"",B296&lt;&gt;"Previous CBS Talks spend"),"Amount only allowed for Previous CBS Talks spend",""),IF(AND(B296="Previous CBS Talks spend",E296=""),"Add the amount received",""),IF(AND(D296="",LEFT(B296,8)&lt;&gt;"Previous",B296&lt;&gt;"None found (checked)"),"Source URL needed","")))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9"/>
      <c r="F297" s="27"/>
      <c r="G297" s="27"/>
      <c r="H297" s="28"/>
      <c r="I297" s="32" t="str">
        <f aca="false">IF(A297="","",_xlfn.TEXTJOIN(", ",TRUE(),IF(AND(E297&lt;&gt;"",B297&lt;&gt;"Previous CBS Talks spend"),"Amount only allowed for Previous CBS Talks spend",""),IF(AND(B297="Previous CBS Talks spend",E297=""),"Add the amount received",""),IF(AND(D297="",LEFT(B297,8)&lt;&gt;"Previous",B297&lt;&gt;"None found (checked)"),"Source URL needed","")))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9"/>
      <c r="F298" s="27"/>
      <c r="G298" s="27"/>
      <c r="H298" s="28"/>
      <c r="I298" s="32" t="str">
        <f aca="false">IF(A298="","",_xlfn.TEXTJOIN(", ",TRUE(),IF(AND(E298&lt;&gt;"",B298&lt;&gt;"Previous CBS Talks spend"),"Amount only allowed for Previous CBS Talks spend",""),IF(AND(B298="Previous CBS Talks spend",E298=""),"Add the amount received",""),IF(AND(D298="",LEFT(B298,8)&lt;&gt;"Previous",B298&lt;&gt;"None found (checked)"),"Source URL needed","")))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9"/>
      <c r="F299" s="27"/>
      <c r="G299" s="27"/>
      <c r="H299" s="28"/>
      <c r="I299" s="32" t="str">
        <f aca="false">IF(A299="","",_xlfn.TEXTJOIN(", ",TRUE(),IF(AND(E299&lt;&gt;"",B299&lt;&gt;"Previous CBS Talks spend"),"Amount only allowed for Previous CBS Talks spend",""),IF(AND(B299="Previous CBS Talks spend",E299=""),"Add the amount received",""),IF(AND(D299="",LEFT(B299,8)&lt;&gt;"Previous",B299&lt;&gt;"None found (checked)"),"Source URL needed","")))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9"/>
      <c r="F300" s="27"/>
      <c r="G300" s="27"/>
      <c r="H300" s="28"/>
      <c r="I300" s="32" t="str">
        <f aca="false">IF(A300="","",_xlfn.TEXTJOIN(", ",TRUE(),IF(AND(E300&lt;&gt;"",B300&lt;&gt;"Previous CBS Talks spend"),"Amount only allowed for Previous CBS Talks spend",""),IF(AND(B300="Previous CBS Talks spend",E300=""),"Add the amount received",""),IF(AND(D300="",LEFT(B300,8)&lt;&gt;"Previous",B300&lt;&gt;"None found (checked)"),"Source URL needed","")))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9"/>
      <c r="F301" s="27"/>
      <c r="G301" s="27"/>
      <c r="H301" s="28"/>
      <c r="I301" s="32" t="str">
        <f aca="false">IF(A301="","",_xlfn.TEXTJOIN(", ",TRUE(),IF(AND(E301&lt;&gt;"",B301&lt;&gt;"Previous CBS Talks spend"),"Amount only allowed for Previous CBS Talks spend",""),IF(AND(B301="Previous CBS Talks spend",E301=""),"Add the amount received",""),IF(AND(D301="",LEFT(B301,8)&lt;&gt;"Previous",B301&lt;&gt;"None found (checked)"),"Source URL needed","")))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9"/>
      <c r="F302" s="27"/>
      <c r="G302" s="27"/>
      <c r="H302" s="28"/>
      <c r="I302" s="32" t="str">
        <f aca="false">IF(A302="","",_xlfn.TEXTJOIN(", ",TRUE(),IF(AND(E302&lt;&gt;"",B302&lt;&gt;"Previous CBS Talks spend"),"Amount only allowed for Previous CBS Talks spend",""),IF(AND(B302="Previous CBS Talks spend",E302=""),"Add the amount received",""),IF(AND(D302="",LEFT(B302,8)&lt;&gt;"Previous",B302&lt;&gt;"None found (checked)"),"Source URL needed","")))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9"/>
      <c r="F303" s="27"/>
      <c r="G303" s="27"/>
      <c r="H303" s="28"/>
      <c r="I303" s="32" t="str">
        <f aca="false">IF(A303="","",_xlfn.TEXTJOIN(", ",TRUE(),IF(AND(E303&lt;&gt;"",B303&lt;&gt;"Previous CBS Talks spend"),"Amount only allowed for Previous CBS Talks spend",""),IF(AND(B303="Previous CBS Talks spend",E303=""),"Add the amount received",""),IF(AND(D303="",LEFT(B303,8)&lt;&gt;"Previous",B303&lt;&gt;"None found (checked)"),"Source URL needed","")))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9"/>
      <c r="F304" s="27"/>
      <c r="G304" s="27"/>
      <c r="H304" s="28"/>
      <c r="I304" s="32" t="str">
        <f aca="false">IF(A304="","",_xlfn.TEXTJOIN(", ",TRUE(),IF(AND(E304&lt;&gt;"",B304&lt;&gt;"Previous CBS Talks spend"),"Amount only allowed for Previous CBS Talks spend",""),IF(AND(B304="Previous CBS Talks spend",E304=""),"Add the amount received",""),IF(AND(D304="",LEFT(B304,8)&lt;&gt;"Previous",B304&lt;&gt;"None found (checked)"),"Source URL needed","")))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9"/>
      <c r="F305" s="27"/>
      <c r="G305" s="27"/>
      <c r="H305" s="28"/>
      <c r="I305" s="32" t="str">
        <f aca="false">IF(A305="","",_xlfn.TEXTJOIN(", ",TRUE(),IF(AND(E305&lt;&gt;"",B305&lt;&gt;"Previous CBS Talks spend"),"Amount only allowed for Previous CBS Talks spend",""),IF(AND(B305="Previous CBS Talks spend",E305=""),"Add the amount received",""),IF(AND(D305="",LEFT(B305,8)&lt;&gt;"Previous",B305&lt;&gt;"None found (checked)"),"Source URL needed","")))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9"/>
      <c r="F306" s="27"/>
      <c r="G306" s="27"/>
      <c r="H306" s="28"/>
      <c r="I306" s="32" t="str">
        <f aca="false">IF(A306="","",_xlfn.TEXTJOIN(", ",TRUE(),IF(AND(E306&lt;&gt;"",B306&lt;&gt;"Previous CBS Talks spend"),"Amount only allowed for Previous CBS Talks spend",""),IF(AND(B306="Previous CBS Talks spend",E306=""),"Add the amount received",""),IF(AND(D306="",LEFT(B306,8)&lt;&gt;"Previous",B306&lt;&gt;"None found (checked)"),"Source URL needed","")))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9"/>
      <c r="F307" s="27"/>
      <c r="G307" s="27"/>
      <c r="H307" s="28"/>
      <c r="I307" s="32" t="str">
        <f aca="false">IF(A307="","",_xlfn.TEXTJOIN(", ",TRUE(),IF(AND(E307&lt;&gt;"",B307&lt;&gt;"Previous CBS Talks spend"),"Amount only allowed for Previous CBS Talks spend",""),IF(AND(B307="Previous CBS Talks spend",E307=""),"Add the amount received",""),IF(AND(D307="",LEFT(B307,8)&lt;&gt;"Previous",B307&lt;&gt;"None found (checked)"),"Source URL needed","")))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9"/>
      <c r="F308" s="27"/>
      <c r="G308" s="27"/>
      <c r="H308" s="28"/>
      <c r="I308" s="32" t="str">
        <f aca="false">IF(A308="","",_xlfn.TEXTJOIN(", ",TRUE(),IF(AND(E308&lt;&gt;"",B308&lt;&gt;"Previous CBS Talks spend"),"Amount only allowed for Previous CBS Talks spend",""),IF(AND(B308="Previous CBS Talks spend",E308=""),"Add the amount received",""),IF(AND(D308="",LEFT(B308,8)&lt;&gt;"Previous",B308&lt;&gt;"None found (checked)"),"Source URL needed","")))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9"/>
      <c r="F309" s="27"/>
      <c r="G309" s="27"/>
      <c r="H309" s="28"/>
      <c r="I309" s="32" t="str">
        <f aca="false">IF(A309="","",_xlfn.TEXTJOIN(", ",TRUE(),IF(AND(E309&lt;&gt;"",B309&lt;&gt;"Previous CBS Talks spend"),"Amount only allowed for Previous CBS Talks spend",""),IF(AND(B309="Previous CBS Talks spend",E309=""),"Add the amount received",""),IF(AND(D309="",LEFT(B309,8)&lt;&gt;"Previous",B309&lt;&gt;"None found (checked)"),"Source URL needed","")))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9"/>
      <c r="F310" s="27"/>
      <c r="G310" s="27"/>
      <c r="H310" s="28"/>
      <c r="I310" s="32" t="str">
        <f aca="false">IF(A310="","",_xlfn.TEXTJOIN(", ",TRUE(),IF(AND(E310&lt;&gt;"",B310&lt;&gt;"Previous CBS Talks spend"),"Amount only allowed for Previous CBS Talks spend",""),IF(AND(B310="Previous CBS Talks spend",E310=""),"Add the amount received",""),IF(AND(D310="",LEFT(B310,8)&lt;&gt;"Previous",B310&lt;&gt;"None found (checked)"),"Source URL needed","")))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9"/>
      <c r="F311" s="27"/>
      <c r="G311" s="27"/>
      <c r="H311" s="28"/>
      <c r="I311" s="32" t="str">
        <f aca="false">IF(A311="","",_xlfn.TEXTJOIN(", ",TRUE(),IF(AND(E311&lt;&gt;"",B311&lt;&gt;"Previous CBS Talks spend"),"Amount only allowed for Previous CBS Talks spend",""),IF(AND(B311="Previous CBS Talks spend",E311=""),"Add the amount received",""),IF(AND(D311="",LEFT(B311,8)&lt;&gt;"Previous",B311&lt;&gt;"None found (checked)"),"Source URL needed","")))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9"/>
      <c r="F312" s="27"/>
      <c r="G312" s="27"/>
      <c r="H312" s="28"/>
      <c r="I312" s="32" t="str">
        <f aca="false">IF(A312="","",_xlfn.TEXTJOIN(", ",TRUE(),IF(AND(E312&lt;&gt;"",B312&lt;&gt;"Previous CBS Talks spend"),"Amount only allowed for Previous CBS Talks spend",""),IF(AND(B312="Previous CBS Talks spend",E312=""),"Add the amount received",""),IF(AND(D312="",LEFT(B312,8)&lt;&gt;"Previous",B312&lt;&gt;"None found (checked)"),"Source URL needed","")))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9"/>
      <c r="F313" s="27"/>
      <c r="G313" s="27"/>
      <c r="H313" s="28"/>
      <c r="I313" s="32" t="str">
        <f aca="false">IF(A313="","",_xlfn.TEXTJOIN(", ",TRUE(),IF(AND(E313&lt;&gt;"",B313&lt;&gt;"Previous CBS Talks spend"),"Amount only allowed for Previous CBS Talks spend",""),IF(AND(B313="Previous CBS Talks spend",E313=""),"Add the amount received",""),IF(AND(D313="",LEFT(B313,8)&lt;&gt;"Previous",B313&lt;&gt;"None found (checked)"),"Source URL needed","")))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9"/>
      <c r="F314" s="27"/>
      <c r="G314" s="27"/>
      <c r="H314" s="28"/>
      <c r="I314" s="32" t="str">
        <f aca="false">IF(A314="","",_xlfn.TEXTJOIN(", ",TRUE(),IF(AND(E314&lt;&gt;"",B314&lt;&gt;"Previous CBS Talks spend"),"Amount only allowed for Previous CBS Talks spend",""),IF(AND(B314="Previous CBS Talks spend",E314=""),"Add the amount received",""),IF(AND(D314="",LEFT(B314,8)&lt;&gt;"Previous",B314&lt;&gt;"None found (checked)"),"Source URL needed","")))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9"/>
      <c r="F315" s="27"/>
      <c r="G315" s="27"/>
      <c r="H315" s="28"/>
      <c r="I315" s="32" t="str">
        <f aca="false">IF(A315="","",_xlfn.TEXTJOIN(", ",TRUE(),IF(AND(E315&lt;&gt;"",B315&lt;&gt;"Previous CBS Talks spend"),"Amount only allowed for Previous CBS Talks spend",""),IF(AND(B315="Previous CBS Talks spend",E315=""),"Add the amount received",""),IF(AND(D315="",LEFT(B315,8)&lt;&gt;"Previous",B315&lt;&gt;"None found (checked)"),"Source URL needed","")))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9"/>
      <c r="F316" s="27"/>
      <c r="G316" s="27"/>
      <c r="H316" s="28"/>
      <c r="I316" s="32" t="str">
        <f aca="false">IF(A316="","",_xlfn.TEXTJOIN(", ",TRUE(),IF(AND(E316&lt;&gt;"",B316&lt;&gt;"Previous CBS Talks spend"),"Amount only allowed for Previous CBS Talks spend",""),IF(AND(B316="Previous CBS Talks spend",E316=""),"Add the amount received",""),IF(AND(D316="",LEFT(B316,8)&lt;&gt;"Previous",B316&lt;&gt;"None found (checked)"),"Source URL needed","")))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9"/>
      <c r="F317" s="27"/>
      <c r="G317" s="27"/>
      <c r="H317" s="28"/>
      <c r="I317" s="32" t="str">
        <f aca="false">IF(A317="","",_xlfn.TEXTJOIN(", ",TRUE(),IF(AND(E317&lt;&gt;"",B317&lt;&gt;"Previous CBS Talks spend"),"Amount only allowed for Previous CBS Talks spend",""),IF(AND(B317="Previous CBS Talks spend",E317=""),"Add the amount received",""),IF(AND(D317="",LEFT(B317,8)&lt;&gt;"Previous",B317&lt;&gt;"None found (checked)"),"Source URL needed","")))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9"/>
      <c r="F318" s="27"/>
      <c r="G318" s="27"/>
      <c r="H318" s="28"/>
      <c r="I318" s="32" t="str">
        <f aca="false">IF(A318="","",_xlfn.TEXTJOIN(", ",TRUE(),IF(AND(E318&lt;&gt;"",B318&lt;&gt;"Previous CBS Talks spend"),"Amount only allowed for Previous CBS Talks spend",""),IF(AND(B318="Previous CBS Talks spend",E318=""),"Add the amount received",""),IF(AND(D318="",LEFT(B318,8)&lt;&gt;"Previous",B318&lt;&gt;"None found (checked)"),"Source URL needed","")))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9"/>
      <c r="F319" s="27"/>
      <c r="G319" s="27"/>
      <c r="H319" s="28"/>
      <c r="I319" s="32" t="str">
        <f aca="false">IF(A319="","",_xlfn.TEXTJOIN(", ",TRUE(),IF(AND(E319&lt;&gt;"",B319&lt;&gt;"Previous CBS Talks spend"),"Amount only allowed for Previous CBS Talks spend",""),IF(AND(B319="Previous CBS Talks spend",E319=""),"Add the amount received",""),IF(AND(D319="",LEFT(B319,8)&lt;&gt;"Previous",B319&lt;&gt;"None found (checked)"),"Source URL needed","")))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9"/>
      <c r="F320" s="27"/>
      <c r="G320" s="27"/>
      <c r="H320" s="28"/>
      <c r="I320" s="32" t="str">
        <f aca="false">IF(A320="","",_xlfn.TEXTJOIN(", ",TRUE(),IF(AND(E320&lt;&gt;"",B320&lt;&gt;"Previous CBS Talks spend"),"Amount only allowed for Previous CBS Talks spend",""),IF(AND(B320="Previous CBS Talks spend",E320=""),"Add the amount received",""),IF(AND(D320="",LEFT(B320,8)&lt;&gt;"Previous",B320&lt;&gt;"None found (checked)"),"Source URL needed","")))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9"/>
      <c r="F321" s="27"/>
      <c r="G321" s="27"/>
      <c r="H321" s="28"/>
      <c r="I321" s="32" t="str">
        <f aca="false">IF(A321="","",_xlfn.TEXTJOIN(", ",TRUE(),IF(AND(E321&lt;&gt;"",B321&lt;&gt;"Previous CBS Talks spend"),"Amount only allowed for Previous CBS Talks spend",""),IF(AND(B321="Previous CBS Talks spend",E321=""),"Add the amount received",""),IF(AND(D321="",LEFT(B321,8)&lt;&gt;"Previous",B321&lt;&gt;"None found (checked)"),"Source URL needed","")))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9"/>
      <c r="F322" s="27"/>
      <c r="G322" s="27"/>
      <c r="H322" s="28"/>
      <c r="I322" s="32" t="str">
        <f aca="false">IF(A322="","",_xlfn.TEXTJOIN(", ",TRUE(),IF(AND(E322&lt;&gt;"",B322&lt;&gt;"Previous CBS Talks spend"),"Amount only allowed for Previous CBS Talks spend",""),IF(AND(B322="Previous CBS Talks spend",E322=""),"Add the amount received",""),IF(AND(D322="",LEFT(B322,8)&lt;&gt;"Previous",B322&lt;&gt;"None found (checked)"),"Source URL needed","")))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9"/>
      <c r="F323" s="27"/>
      <c r="G323" s="27"/>
      <c r="H323" s="28"/>
      <c r="I323" s="32" t="str">
        <f aca="false">IF(A323="","",_xlfn.TEXTJOIN(", ",TRUE(),IF(AND(E323&lt;&gt;"",B323&lt;&gt;"Previous CBS Talks spend"),"Amount only allowed for Previous CBS Talks spend",""),IF(AND(B323="Previous CBS Talks spend",E323=""),"Add the amount received",""),IF(AND(D323="",LEFT(B323,8)&lt;&gt;"Previous",B323&lt;&gt;"None found (checked)"),"Source URL needed","")))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9"/>
      <c r="F324" s="27"/>
      <c r="G324" s="27"/>
      <c r="H324" s="28"/>
      <c r="I324" s="32" t="str">
        <f aca="false">IF(A324="","",_xlfn.TEXTJOIN(", ",TRUE(),IF(AND(E324&lt;&gt;"",B324&lt;&gt;"Previous CBS Talks spend"),"Amount only allowed for Previous CBS Talks spend",""),IF(AND(B324="Previous CBS Talks spend",E324=""),"Add the amount received",""),IF(AND(D324="",LEFT(B324,8)&lt;&gt;"Previous",B324&lt;&gt;"None found (checked)"),"Source URL needed","")))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9"/>
      <c r="F325" s="27"/>
      <c r="G325" s="27"/>
      <c r="H325" s="28"/>
      <c r="I325" s="32" t="str">
        <f aca="false">IF(A325="","",_xlfn.TEXTJOIN(", ",TRUE(),IF(AND(E325&lt;&gt;"",B325&lt;&gt;"Previous CBS Talks spend"),"Amount only allowed for Previous CBS Talks spend",""),IF(AND(B325="Previous CBS Talks spend",E325=""),"Add the amount received",""),IF(AND(D325="",LEFT(B325,8)&lt;&gt;"Previous",B325&lt;&gt;"None found (checked)"),"Source URL needed","")))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9"/>
      <c r="F326" s="27"/>
      <c r="G326" s="27"/>
      <c r="H326" s="28"/>
      <c r="I326" s="32" t="str">
        <f aca="false">IF(A326="","",_xlfn.TEXTJOIN(", ",TRUE(),IF(AND(E326&lt;&gt;"",B326&lt;&gt;"Previous CBS Talks spend"),"Amount only allowed for Previous CBS Talks spend",""),IF(AND(B326="Previous CBS Talks spend",E326=""),"Add the amount received",""),IF(AND(D326="",LEFT(B326,8)&lt;&gt;"Previous",B326&lt;&gt;"None found (checked)"),"Source URL needed","")))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9"/>
      <c r="F327" s="27"/>
      <c r="G327" s="27"/>
      <c r="H327" s="28"/>
      <c r="I327" s="32" t="str">
        <f aca="false">IF(A327="","",_xlfn.TEXTJOIN(", ",TRUE(),IF(AND(E327&lt;&gt;"",B327&lt;&gt;"Previous CBS Talks spend"),"Amount only allowed for Previous CBS Talks spend",""),IF(AND(B327="Previous CBS Talks spend",E327=""),"Add the amount received",""),IF(AND(D327="",LEFT(B327,8)&lt;&gt;"Previous",B327&lt;&gt;"None found (checked)"),"Source URL needed","")))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9"/>
      <c r="F328" s="27"/>
      <c r="G328" s="27"/>
      <c r="H328" s="28"/>
      <c r="I328" s="32" t="str">
        <f aca="false">IF(A328="","",_xlfn.TEXTJOIN(", ",TRUE(),IF(AND(E328&lt;&gt;"",B328&lt;&gt;"Previous CBS Talks spend"),"Amount only allowed for Previous CBS Talks spend",""),IF(AND(B328="Previous CBS Talks spend",E328=""),"Add the amount received",""),IF(AND(D328="",LEFT(B328,8)&lt;&gt;"Previous",B328&lt;&gt;"None found (checked)"),"Source URL needed","")))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9"/>
      <c r="F329" s="27"/>
      <c r="G329" s="27"/>
      <c r="H329" s="28"/>
      <c r="I329" s="32" t="str">
        <f aca="false">IF(A329="","",_xlfn.TEXTJOIN(", ",TRUE(),IF(AND(E329&lt;&gt;"",B329&lt;&gt;"Previous CBS Talks spend"),"Amount only allowed for Previous CBS Talks spend",""),IF(AND(B329="Previous CBS Talks spend",E329=""),"Add the amount received",""),IF(AND(D329="",LEFT(B329,8)&lt;&gt;"Previous",B329&lt;&gt;"None found (checked)"),"Source URL needed","")))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9"/>
      <c r="F330" s="27"/>
      <c r="G330" s="27"/>
      <c r="H330" s="28"/>
      <c r="I330" s="32" t="str">
        <f aca="false">IF(A330="","",_xlfn.TEXTJOIN(", ",TRUE(),IF(AND(E330&lt;&gt;"",B330&lt;&gt;"Previous CBS Talks spend"),"Amount only allowed for Previous CBS Talks spend",""),IF(AND(B330="Previous CBS Talks spend",E330=""),"Add the amount received",""),IF(AND(D330="",LEFT(B330,8)&lt;&gt;"Previous",B330&lt;&gt;"None found (checked)"),"Source URL needed","")))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9"/>
      <c r="F331" s="27"/>
      <c r="G331" s="27"/>
      <c r="H331" s="28"/>
      <c r="I331" s="32" t="str">
        <f aca="false">IF(A331="","",_xlfn.TEXTJOIN(", ",TRUE(),IF(AND(E331&lt;&gt;"",B331&lt;&gt;"Previous CBS Talks spend"),"Amount only allowed for Previous CBS Talks spend",""),IF(AND(B331="Previous CBS Talks spend",E331=""),"Add the amount received",""),IF(AND(D331="",LEFT(B331,8)&lt;&gt;"Previous",B331&lt;&gt;"None found (checked)"),"Source URL needed","")))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9"/>
      <c r="F332" s="27"/>
      <c r="G332" s="27"/>
      <c r="H332" s="28"/>
      <c r="I332" s="32" t="str">
        <f aca="false">IF(A332="","",_xlfn.TEXTJOIN(", ",TRUE(),IF(AND(E332&lt;&gt;"",B332&lt;&gt;"Previous CBS Talks spend"),"Amount only allowed for Previous CBS Talks spend",""),IF(AND(B332="Previous CBS Talks spend",E332=""),"Add the amount received",""),IF(AND(D332="",LEFT(B332,8)&lt;&gt;"Previous",B332&lt;&gt;"None found (checked)"),"Source URL needed","")))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9"/>
      <c r="F333" s="27"/>
      <c r="G333" s="27"/>
      <c r="H333" s="28"/>
      <c r="I333" s="32" t="str">
        <f aca="false">IF(A333="","",_xlfn.TEXTJOIN(", ",TRUE(),IF(AND(E333&lt;&gt;"",B333&lt;&gt;"Previous CBS Talks spend"),"Amount only allowed for Previous CBS Talks spend",""),IF(AND(B333="Previous CBS Talks spend",E333=""),"Add the amount received",""),IF(AND(D333="",LEFT(B333,8)&lt;&gt;"Previous",B333&lt;&gt;"None found (checked)"),"Source URL needed","")))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9"/>
      <c r="F334" s="27"/>
      <c r="G334" s="27"/>
      <c r="H334" s="28"/>
      <c r="I334" s="32" t="str">
        <f aca="false">IF(A334="","",_xlfn.TEXTJOIN(", ",TRUE(),IF(AND(E334&lt;&gt;"",B334&lt;&gt;"Previous CBS Talks spend"),"Amount only allowed for Previous CBS Talks spend",""),IF(AND(B334="Previous CBS Talks spend",E334=""),"Add the amount received",""),IF(AND(D334="",LEFT(B334,8)&lt;&gt;"Previous",B334&lt;&gt;"None found (checked)"),"Source URL needed","")))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9"/>
      <c r="F335" s="27"/>
      <c r="G335" s="27"/>
      <c r="H335" s="28"/>
      <c r="I335" s="32" t="str">
        <f aca="false">IF(A335="","",_xlfn.TEXTJOIN(", ",TRUE(),IF(AND(E335&lt;&gt;"",B335&lt;&gt;"Previous CBS Talks spend"),"Amount only allowed for Previous CBS Talks spend",""),IF(AND(B335="Previous CBS Talks spend",E335=""),"Add the amount received",""),IF(AND(D335="",LEFT(B335,8)&lt;&gt;"Previous",B335&lt;&gt;"None found (checked)"),"Source URL needed","")))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9"/>
      <c r="F336" s="27"/>
      <c r="G336" s="27"/>
      <c r="H336" s="28"/>
      <c r="I336" s="32" t="str">
        <f aca="false">IF(A336="","",_xlfn.TEXTJOIN(", ",TRUE(),IF(AND(E336&lt;&gt;"",B336&lt;&gt;"Previous CBS Talks spend"),"Amount only allowed for Previous CBS Talks spend",""),IF(AND(B336="Previous CBS Talks spend",E336=""),"Add the amount received",""),IF(AND(D336="",LEFT(B336,8)&lt;&gt;"Previous",B336&lt;&gt;"None found (checked)"),"Source URL needed","")))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9"/>
      <c r="F337" s="27"/>
      <c r="G337" s="27"/>
      <c r="H337" s="28"/>
      <c r="I337" s="32" t="str">
        <f aca="false">IF(A337="","",_xlfn.TEXTJOIN(", ",TRUE(),IF(AND(E337&lt;&gt;"",B337&lt;&gt;"Previous CBS Talks spend"),"Amount only allowed for Previous CBS Talks spend",""),IF(AND(B337="Previous CBS Talks spend",E337=""),"Add the amount received",""),IF(AND(D337="",LEFT(B337,8)&lt;&gt;"Previous",B337&lt;&gt;"None found (checked)"),"Source URL needed","")))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9"/>
      <c r="F338" s="27"/>
      <c r="G338" s="27"/>
      <c r="H338" s="28"/>
      <c r="I338" s="32" t="str">
        <f aca="false">IF(A338="","",_xlfn.TEXTJOIN(", ",TRUE(),IF(AND(E338&lt;&gt;"",B338&lt;&gt;"Previous CBS Talks spend"),"Amount only allowed for Previous CBS Talks spend",""),IF(AND(B338="Previous CBS Talks spend",E338=""),"Add the amount received",""),IF(AND(D338="",LEFT(B338,8)&lt;&gt;"Previous",B338&lt;&gt;"None found (checked)"),"Source URL needed","")))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9"/>
      <c r="F339" s="27"/>
      <c r="G339" s="27"/>
      <c r="H339" s="28"/>
      <c r="I339" s="32" t="str">
        <f aca="false">IF(A339="","",_xlfn.TEXTJOIN(", ",TRUE(),IF(AND(E339&lt;&gt;"",B339&lt;&gt;"Previous CBS Talks spend"),"Amount only allowed for Previous CBS Talks spend",""),IF(AND(B339="Previous CBS Talks spend",E339=""),"Add the amount received",""),IF(AND(D339="",LEFT(B339,8)&lt;&gt;"Previous",B339&lt;&gt;"None found (checked)"),"Source URL needed","")))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9"/>
      <c r="F340" s="27"/>
      <c r="G340" s="27"/>
      <c r="H340" s="28"/>
      <c r="I340" s="32" t="str">
        <f aca="false">IF(A340="","",_xlfn.TEXTJOIN(", ",TRUE(),IF(AND(E340&lt;&gt;"",B340&lt;&gt;"Previous CBS Talks spend"),"Amount only allowed for Previous CBS Talks spend",""),IF(AND(B340="Previous CBS Talks spend",E340=""),"Add the amount received",""),IF(AND(D340="",LEFT(B340,8)&lt;&gt;"Previous",B340&lt;&gt;"None found (checked)"),"Source URL needed","")))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9"/>
      <c r="F341" s="27"/>
      <c r="G341" s="27"/>
      <c r="H341" s="28"/>
      <c r="I341" s="32" t="str">
        <f aca="false">IF(A341="","",_xlfn.TEXTJOIN(", ",TRUE(),IF(AND(E341&lt;&gt;"",B341&lt;&gt;"Previous CBS Talks spend"),"Amount only allowed for Previous CBS Talks spend",""),IF(AND(B341="Previous CBS Talks spend",E341=""),"Add the amount received",""),IF(AND(D341="",LEFT(B341,8)&lt;&gt;"Previous",B341&lt;&gt;"None found (checked)"),"Source URL needed","")))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9"/>
      <c r="F342" s="27"/>
      <c r="G342" s="27"/>
      <c r="H342" s="28"/>
      <c r="I342" s="32" t="str">
        <f aca="false">IF(A342="","",_xlfn.TEXTJOIN(", ",TRUE(),IF(AND(E342&lt;&gt;"",B342&lt;&gt;"Previous CBS Talks spend"),"Amount only allowed for Previous CBS Talks spend",""),IF(AND(B342="Previous CBS Talks spend",E342=""),"Add the amount received",""),IF(AND(D342="",LEFT(B342,8)&lt;&gt;"Previous",B342&lt;&gt;"None found (checked)"),"Source URL needed","")))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9"/>
      <c r="F343" s="27"/>
      <c r="G343" s="27"/>
      <c r="H343" s="28"/>
      <c r="I343" s="32" t="str">
        <f aca="false">IF(A343="","",_xlfn.TEXTJOIN(", ",TRUE(),IF(AND(E343&lt;&gt;"",B343&lt;&gt;"Previous CBS Talks spend"),"Amount only allowed for Previous CBS Talks spend",""),IF(AND(B343="Previous CBS Talks spend",E343=""),"Add the amount received",""),IF(AND(D343="",LEFT(B343,8)&lt;&gt;"Previous",B343&lt;&gt;"None found (checked)"),"Source URL needed","")))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9"/>
      <c r="F344" s="27"/>
      <c r="G344" s="27"/>
      <c r="H344" s="28"/>
      <c r="I344" s="32" t="str">
        <f aca="false">IF(A344="","",_xlfn.TEXTJOIN(", ",TRUE(),IF(AND(E344&lt;&gt;"",B344&lt;&gt;"Previous CBS Talks spend"),"Amount only allowed for Previous CBS Talks spend",""),IF(AND(B344="Previous CBS Talks spend",E344=""),"Add the amount received",""),IF(AND(D344="",LEFT(B344,8)&lt;&gt;"Previous",B344&lt;&gt;"None found (checked)"),"Source URL needed","")))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9"/>
      <c r="F345" s="27"/>
      <c r="G345" s="27"/>
      <c r="H345" s="28"/>
      <c r="I345" s="32" t="str">
        <f aca="false">IF(A345="","",_xlfn.TEXTJOIN(", ",TRUE(),IF(AND(E345&lt;&gt;"",B345&lt;&gt;"Previous CBS Talks spend"),"Amount only allowed for Previous CBS Talks spend",""),IF(AND(B345="Previous CBS Talks spend",E345=""),"Add the amount received",""),IF(AND(D345="",LEFT(B345,8)&lt;&gt;"Previous",B345&lt;&gt;"None found (checked)"),"Source URL needed","")))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9"/>
      <c r="F346" s="27"/>
      <c r="G346" s="27"/>
      <c r="H346" s="28"/>
      <c r="I346" s="32" t="str">
        <f aca="false">IF(A346="","",_xlfn.TEXTJOIN(", ",TRUE(),IF(AND(E346&lt;&gt;"",B346&lt;&gt;"Previous CBS Talks spend"),"Amount only allowed for Previous CBS Talks spend",""),IF(AND(B346="Previous CBS Talks spend",E346=""),"Add the amount received",""),IF(AND(D346="",LEFT(B346,8)&lt;&gt;"Previous",B346&lt;&gt;"None found (checked)"),"Source URL needed","")))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9"/>
      <c r="F347" s="27"/>
      <c r="G347" s="27"/>
      <c r="H347" s="28"/>
      <c r="I347" s="32" t="str">
        <f aca="false">IF(A347="","",_xlfn.TEXTJOIN(", ",TRUE(),IF(AND(E347&lt;&gt;"",B347&lt;&gt;"Previous CBS Talks spend"),"Amount only allowed for Previous CBS Talks spend",""),IF(AND(B347="Previous CBS Talks spend",E347=""),"Add the amount received",""),IF(AND(D347="",LEFT(B347,8)&lt;&gt;"Previous",B347&lt;&gt;"None found (checked)"),"Source URL needed","")))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9"/>
      <c r="F348" s="27"/>
      <c r="G348" s="27"/>
      <c r="H348" s="28"/>
      <c r="I348" s="32" t="str">
        <f aca="false">IF(A348="","",_xlfn.TEXTJOIN(", ",TRUE(),IF(AND(E348&lt;&gt;"",B348&lt;&gt;"Previous CBS Talks spend"),"Amount only allowed for Previous CBS Talks spend",""),IF(AND(B348="Previous CBS Talks spend",E348=""),"Add the amount received",""),IF(AND(D348="",LEFT(B348,8)&lt;&gt;"Previous",B348&lt;&gt;"None found (checked)"),"Source URL needed","")))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9"/>
      <c r="F349" s="27"/>
      <c r="G349" s="27"/>
      <c r="H349" s="28"/>
      <c r="I349" s="32" t="str">
        <f aca="false">IF(A349="","",_xlfn.TEXTJOIN(", ",TRUE(),IF(AND(E349&lt;&gt;"",B349&lt;&gt;"Previous CBS Talks spend"),"Amount only allowed for Previous CBS Talks spend",""),IF(AND(B349="Previous CBS Talks spend",E349=""),"Add the amount received",""),IF(AND(D349="",LEFT(B349,8)&lt;&gt;"Previous",B349&lt;&gt;"None found (checked)"),"Source URL needed","")))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9"/>
      <c r="F350" s="27"/>
      <c r="G350" s="27"/>
      <c r="H350" s="28"/>
      <c r="I350" s="32" t="str">
        <f aca="false">IF(A350="","",_xlfn.TEXTJOIN(", ",TRUE(),IF(AND(E350&lt;&gt;"",B350&lt;&gt;"Previous CBS Talks spend"),"Amount only allowed for Previous CBS Talks spend",""),IF(AND(B350="Previous CBS Talks spend",E350=""),"Add the amount received",""),IF(AND(D350="",LEFT(B350,8)&lt;&gt;"Previous",B350&lt;&gt;"None found (checked)"),"Source URL needed","")))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9"/>
      <c r="F351" s="27"/>
      <c r="G351" s="27"/>
      <c r="H351" s="28"/>
      <c r="I351" s="32" t="str">
        <f aca="false">IF(A351="","",_xlfn.TEXTJOIN(", ",TRUE(),IF(AND(E351&lt;&gt;"",B351&lt;&gt;"Previous CBS Talks spend"),"Amount only allowed for Previous CBS Talks spend",""),IF(AND(B351="Previous CBS Talks spend",E351=""),"Add the amount received",""),IF(AND(D351="",LEFT(B351,8)&lt;&gt;"Previous",B351&lt;&gt;"None found (checked)"),"Source URL needed","")))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9"/>
      <c r="F352" s="27"/>
      <c r="G352" s="27"/>
      <c r="H352" s="28"/>
      <c r="I352" s="32" t="str">
        <f aca="false">IF(A352="","",_xlfn.TEXTJOIN(", ",TRUE(),IF(AND(E352&lt;&gt;"",B352&lt;&gt;"Previous CBS Talks spend"),"Amount only allowed for Previous CBS Talks spend",""),IF(AND(B352="Previous CBS Talks spend",E352=""),"Add the amount received",""),IF(AND(D352="",LEFT(B352,8)&lt;&gt;"Previous",B352&lt;&gt;"None found (checked)"),"Source URL needed","")))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9"/>
      <c r="F353" s="27"/>
      <c r="G353" s="27"/>
      <c r="H353" s="28"/>
      <c r="I353" s="32" t="str">
        <f aca="false">IF(A353="","",_xlfn.TEXTJOIN(", ",TRUE(),IF(AND(E353&lt;&gt;"",B353&lt;&gt;"Previous CBS Talks spend"),"Amount only allowed for Previous CBS Talks spend",""),IF(AND(B353="Previous CBS Talks spend",E353=""),"Add the amount received",""),IF(AND(D353="",LEFT(B353,8)&lt;&gt;"Previous",B353&lt;&gt;"None found (checked)"),"Source URL needed","")))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9"/>
      <c r="F354" s="27"/>
      <c r="G354" s="27"/>
      <c r="H354" s="28"/>
      <c r="I354" s="32" t="str">
        <f aca="false">IF(A354="","",_xlfn.TEXTJOIN(", ",TRUE(),IF(AND(E354&lt;&gt;"",B354&lt;&gt;"Previous CBS Talks spend"),"Amount only allowed for Previous CBS Talks spend",""),IF(AND(B354="Previous CBS Talks spend",E354=""),"Add the amount received",""),IF(AND(D354="",LEFT(B354,8)&lt;&gt;"Previous",B354&lt;&gt;"None found (checked)"),"Source URL needed","")))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9"/>
      <c r="F355" s="27"/>
      <c r="G355" s="27"/>
      <c r="H355" s="28"/>
      <c r="I355" s="32" t="str">
        <f aca="false">IF(A355="","",_xlfn.TEXTJOIN(", ",TRUE(),IF(AND(E355&lt;&gt;"",B355&lt;&gt;"Previous CBS Talks spend"),"Amount only allowed for Previous CBS Talks spend",""),IF(AND(B355="Previous CBS Talks spend",E355=""),"Add the amount received",""),IF(AND(D355="",LEFT(B355,8)&lt;&gt;"Previous",B355&lt;&gt;"None found (checked)"),"Source URL needed","")))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9"/>
      <c r="F356" s="27"/>
      <c r="G356" s="27"/>
      <c r="H356" s="28"/>
      <c r="I356" s="32" t="str">
        <f aca="false">IF(A356="","",_xlfn.TEXTJOIN(", ",TRUE(),IF(AND(E356&lt;&gt;"",B356&lt;&gt;"Previous CBS Talks spend"),"Amount only allowed for Previous CBS Talks spend",""),IF(AND(B356="Previous CBS Talks spend",E356=""),"Add the amount received",""),IF(AND(D356="",LEFT(B356,8)&lt;&gt;"Previous",B356&lt;&gt;"None found (checked)"),"Source URL needed","")))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9"/>
      <c r="F357" s="27"/>
      <c r="G357" s="27"/>
      <c r="H357" s="28"/>
      <c r="I357" s="32" t="str">
        <f aca="false">IF(A357="","",_xlfn.TEXTJOIN(", ",TRUE(),IF(AND(E357&lt;&gt;"",B357&lt;&gt;"Previous CBS Talks spend"),"Amount only allowed for Previous CBS Talks spend",""),IF(AND(B357="Previous CBS Talks spend",E357=""),"Add the amount received",""),IF(AND(D357="",LEFT(B357,8)&lt;&gt;"Previous",B357&lt;&gt;"None found (checked)"),"Source URL needed","")))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9"/>
      <c r="F358" s="27"/>
      <c r="G358" s="27"/>
      <c r="H358" s="28"/>
      <c r="I358" s="32" t="str">
        <f aca="false">IF(A358="","",_xlfn.TEXTJOIN(", ",TRUE(),IF(AND(E358&lt;&gt;"",B358&lt;&gt;"Previous CBS Talks spend"),"Amount only allowed for Previous CBS Talks spend",""),IF(AND(B358="Previous CBS Talks spend",E358=""),"Add the amount received",""),IF(AND(D358="",LEFT(B358,8)&lt;&gt;"Previous",B358&lt;&gt;"None found (checked)"),"Source URL needed","")))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9"/>
      <c r="F359" s="27"/>
      <c r="G359" s="27"/>
      <c r="H359" s="28"/>
      <c r="I359" s="32" t="str">
        <f aca="false">IF(A359="","",_xlfn.TEXTJOIN(", ",TRUE(),IF(AND(E359&lt;&gt;"",B359&lt;&gt;"Previous CBS Talks spend"),"Amount only allowed for Previous CBS Talks spend",""),IF(AND(B359="Previous CBS Talks spend",E359=""),"Add the amount received",""),IF(AND(D359="",LEFT(B359,8)&lt;&gt;"Previous",B359&lt;&gt;"None found (checked)"),"Source URL needed","")))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9"/>
      <c r="F360" s="27"/>
      <c r="G360" s="27"/>
      <c r="H360" s="28"/>
      <c r="I360" s="32" t="str">
        <f aca="false">IF(A360="","",_xlfn.TEXTJOIN(", ",TRUE(),IF(AND(E360&lt;&gt;"",B360&lt;&gt;"Previous CBS Talks spend"),"Amount only allowed for Previous CBS Talks spend",""),IF(AND(B360="Previous CBS Talks spend",E360=""),"Add the amount received",""),IF(AND(D360="",LEFT(B360,8)&lt;&gt;"Previous",B360&lt;&gt;"None found (checked)"),"Source URL needed","")))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9"/>
      <c r="F361" s="27"/>
      <c r="G361" s="27"/>
      <c r="H361" s="28"/>
      <c r="I361" s="32" t="str">
        <f aca="false">IF(A361="","",_xlfn.TEXTJOIN(", ",TRUE(),IF(AND(E361&lt;&gt;"",B361&lt;&gt;"Previous CBS Talks spend"),"Amount only allowed for Previous CBS Talks spend",""),IF(AND(B361="Previous CBS Talks spend",E361=""),"Add the amount received",""),IF(AND(D361="",LEFT(B361,8)&lt;&gt;"Previous",B361&lt;&gt;"None found (checked)"),"Source URL needed","")))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9"/>
      <c r="F362" s="27"/>
      <c r="G362" s="27"/>
      <c r="H362" s="28"/>
      <c r="I362" s="32" t="str">
        <f aca="false">IF(A362="","",_xlfn.TEXTJOIN(", ",TRUE(),IF(AND(E362&lt;&gt;"",B362&lt;&gt;"Previous CBS Talks spend"),"Amount only allowed for Previous CBS Talks spend",""),IF(AND(B362="Previous CBS Talks spend",E362=""),"Add the amount received",""),IF(AND(D362="",LEFT(B362,8)&lt;&gt;"Previous",B362&lt;&gt;"None found (checked)"),"Source URL needed","")))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9"/>
      <c r="F363" s="27"/>
      <c r="G363" s="27"/>
      <c r="H363" s="28"/>
      <c r="I363" s="32" t="str">
        <f aca="false">IF(A363="","",_xlfn.TEXTJOIN(", ",TRUE(),IF(AND(E363&lt;&gt;"",B363&lt;&gt;"Previous CBS Talks spend"),"Amount only allowed for Previous CBS Talks spend",""),IF(AND(B363="Previous CBS Talks spend",E363=""),"Add the amount received",""),IF(AND(D363="",LEFT(B363,8)&lt;&gt;"Previous",B363&lt;&gt;"None found (checked)"),"Source URL needed","")))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9"/>
      <c r="F364" s="27"/>
      <c r="G364" s="27"/>
      <c r="H364" s="28"/>
      <c r="I364" s="32" t="str">
        <f aca="false">IF(A364="","",_xlfn.TEXTJOIN(", ",TRUE(),IF(AND(E364&lt;&gt;"",B364&lt;&gt;"Previous CBS Talks spend"),"Amount only allowed for Previous CBS Talks spend",""),IF(AND(B364="Previous CBS Talks spend",E364=""),"Add the amount received",""),IF(AND(D364="",LEFT(B364,8)&lt;&gt;"Previous",B364&lt;&gt;"None found (checked)"),"Source URL needed","")))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9"/>
      <c r="F365" s="27"/>
      <c r="G365" s="27"/>
      <c r="H365" s="28"/>
      <c r="I365" s="32" t="str">
        <f aca="false">IF(A365="","",_xlfn.TEXTJOIN(", ",TRUE(),IF(AND(E365&lt;&gt;"",B365&lt;&gt;"Previous CBS Talks spend"),"Amount only allowed for Previous CBS Talks spend",""),IF(AND(B365="Previous CBS Talks spend",E365=""),"Add the amount received",""),IF(AND(D365="",LEFT(B365,8)&lt;&gt;"Previous",B365&lt;&gt;"None found (checked)"),"Source URL needed","")))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9"/>
      <c r="F366" s="27"/>
      <c r="G366" s="27"/>
      <c r="H366" s="28"/>
      <c r="I366" s="32" t="str">
        <f aca="false">IF(A366="","",_xlfn.TEXTJOIN(", ",TRUE(),IF(AND(E366&lt;&gt;"",B366&lt;&gt;"Previous CBS Talks spend"),"Amount only allowed for Previous CBS Talks spend",""),IF(AND(B366="Previous CBS Talks spend",E366=""),"Add the amount received",""),IF(AND(D366="",LEFT(B366,8)&lt;&gt;"Previous",B366&lt;&gt;"None found (checked)"),"Source URL needed","")))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9"/>
      <c r="F367" s="27"/>
      <c r="G367" s="27"/>
      <c r="H367" s="28"/>
      <c r="I367" s="32" t="str">
        <f aca="false">IF(A367="","",_xlfn.TEXTJOIN(", ",TRUE(),IF(AND(E367&lt;&gt;"",B367&lt;&gt;"Previous CBS Talks spend"),"Amount only allowed for Previous CBS Talks spend",""),IF(AND(B367="Previous CBS Talks spend",E367=""),"Add the amount received",""),IF(AND(D367="",LEFT(B367,8)&lt;&gt;"Previous",B367&lt;&gt;"None found (checked)"),"Source URL needed","")))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9"/>
      <c r="F368" s="27"/>
      <c r="G368" s="27"/>
      <c r="H368" s="28"/>
      <c r="I368" s="32" t="str">
        <f aca="false">IF(A368="","",_xlfn.TEXTJOIN(", ",TRUE(),IF(AND(E368&lt;&gt;"",B368&lt;&gt;"Previous CBS Talks spend"),"Amount only allowed for Previous CBS Talks spend",""),IF(AND(B368="Previous CBS Talks spend",E368=""),"Add the amount received",""),IF(AND(D368="",LEFT(B368,8)&lt;&gt;"Previous",B368&lt;&gt;"None found (checked)"),"Source URL needed","")))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9"/>
      <c r="F369" s="27"/>
      <c r="G369" s="27"/>
      <c r="H369" s="28"/>
      <c r="I369" s="32" t="str">
        <f aca="false">IF(A369="","",_xlfn.TEXTJOIN(", ",TRUE(),IF(AND(E369&lt;&gt;"",B369&lt;&gt;"Previous CBS Talks spend"),"Amount only allowed for Previous CBS Talks spend",""),IF(AND(B369="Previous CBS Talks spend",E369=""),"Add the amount received",""),IF(AND(D369="",LEFT(B369,8)&lt;&gt;"Previous",B369&lt;&gt;"None found (checked)"),"Source URL needed","")))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9"/>
      <c r="F370" s="27"/>
      <c r="G370" s="27"/>
      <c r="H370" s="28"/>
      <c r="I370" s="32" t="str">
        <f aca="false">IF(A370="","",_xlfn.TEXTJOIN(", ",TRUE(),IF(AND(E370&lt;&gt;"",B370&lt;&gt;"Previous CBS Talks spend"),"Amount only allowed for Previous CBS Talks spend",""),IF(AND(B370="Previous CBS Talks spend",E370=""),"Add the amount received",""),IF(AND(D370="",LEFT(B370,8)&lt;&gt;"Previous",B370&lt;&gt;"None found (checked)"),"Source URL needed","")))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9"/>
      <c r="F371" s="27"/>
      <c r="G371" s="27"/>
      <c r="H371" s="28"/>
      <c r="I371" s="32" t="str">
        <f aca="false">IF(A371="","",_xlfn.TEXTJOIN(", ",TRUE(),IF(AND(E371&lt;&gt;"",B371&lt;&gt;"Previous CBS Talks spend"),"Amount only allowed for Previous CBS Talks spend",""),IF(AND(B371="Previous CBS Talks spend",E371=""),"Add the amount received",""),IF(AND(D371="",LEFT(B371,8)&lt;&gt;"Previous",B371&lt;&gt;"None found (checked)"),"Source URL needed","")))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9"/>
      <c r="F372" s="27"/>
      <c r="G372" s="27"/>
      <c r="H372" s="28"/>
      <c r="I372" s="32" t="str">
        <f aca="false">IF(A372="","",_xlfn.TEXTJOIN(", ",TRUE(),IF(AND(E372&lt;&gt;"",B372&lt;&gt;"Previous CBS Talks spend"),"Amount only allowed for Previous CBS Talks spend",""),IF(AND(B372="Previous CBS Talks spend",E372=""),"Add the amount received",""),IF(AND(D372="",LEFT(B372,8)&lt;&gt;"Previous",B372&lt;&gt;"None found (checked)"),"Source URL needed","")))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9"/>
      <c r="F373" s="27"/>
      <c r="G373" s="27"/>
      <c r="H373" s="28"/>
      <c r="I373" s="32" t="str">
        <f aca="false">IF(A373="","",_xlfn.TEXTJOIN(", ",TRUE(),IF(AND(E373&lt;&gt;"",B373&lt;&gt;"Previous CBS Talks spend"),"Amount only allowed for Previous CBS Talks spend",""),IF(AND(B373="Previous CBS Talks spend",E373=""),"Add the amount received",""),IF(AND(D373="",LEFT(B373,8)&lt;&gt;"Previous",B373&lt;&gt;"None found (checked)"),"Source URL needed","")))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9"/>
      <c r="F374" s="27"/>
      <c r="G374" s="27"/>
      <c r="H374" s="28"/>
      <c r="I374" s="32" t="str">
        <f aca="false">IF(A374="","",_xlfn.TEXTJOIN(", ",TRUE(),IF(AND(E374&lt;&gt;"",B374&lt;&gt;"Previous CBS Talks spend"),"Amount only allowed for Previous CBS Talks spend",""),IF(AND(B374="Previous CBS Talks spend",E374=""),"Add the amount received",""),IF(AND(D374="",LEFT(B374,8)&lt;&gt;"Previous",B374&lt;&gt;"None found (checked)"),"Source URL needed","")))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9"/>
      <c r="F375" s="27"/>
      <c r="G375" s="27"/>
      <c r="H375" s="28"/>
      <c r="I375" s="32" t="str">
        <f aca="false">IF(A375="","",_xlfn.TEXTJOIN(", ",TRUE(),IF(AND(E375&lt;&gt;"",B375&lt;&gt;"Previous CBS Talks spend"),"Amount only allowed for Previous CBS Talks spend",""),IF(AND(B375="Previous CBS Talks spend",E375=""),"Add the amount received",""),IF(AND(D375="",LEFT(B375,8)&lt;&gt;"Previous",B375&lt;&gt;"None found (checked)"),"Source URL needed","")))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9"/>
      <c r="F376" s="27"/>
      <c r="G376" s="27"/>
      <c r="H376" s="28"/>
      <c r="I376" s="32" t="str">
        <f aca="false">IF(A376="","",_xlfn.TEXTJOIN(", ",TRUE(),IF(AND(E376&lt;&gt;"",B376&lt;&gt;"Previous CBS Talks spend"),"Amount only allowed for Previous CBS Talks spend",""),IF(AND(B376="Previous CBS Talks spend",E376=""),"Add the amount received",""),IF(AND(D376="",LEFT(B376,8)&lt;&gt;"Previous",B376&lt;&gt;"None found (checked)"),"Source URL needed","")))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9"/>
      <c r="F377" s="27"/>
      <c r="G377" s="27"/>
      <c r="H377" s="28"/>
      <c r="I377" s="32" t="str">
        <f aca="false">IF(A377="","",_xlfn.TEXTJOIN(", ",TRUE(),IF(AND(E377&lt;&gt;"",B377&lt;&gt;"Previous CBS Talks spend"),"Amount only allowed for Previous CBS Talks spend",""),IF(AND(B377="Previous CBS Talks spend",E377=""),"Add the amount received",""),IF(AND(D377="",LEFT(B377,8)&lt;&gt;"Previous",B377&lt;&gt;"None found (checked)"),"Source URL needed","")))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9"/>
      <c r="F378" s="27"/>
      <c r="G378" s="27"/>
      <c r="H378" s="28"/>
      <c r="I378" s="32" t="str">
        <f aca="false">IF(A378="","",_xlfn.TEXTJOIN(", ",TRUE(),IF(AND(E378&lt;&gt;"",B378&lt;&gt;"Previous CBS Talks spend"),"Amount only allowed for Previous CBS Talks spend",""),IF(AND(B378="Previous CBS Talks spend",E378=""),"Add the amount received",""),IF(AND(D378="",LEFT(B378,8)&lt;&gt;"Previous",B378&lt;&gt;"None found (checked)"),"Source URL needed","")))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9"/>
      <c r="F379" s="27"/>
      <c r="G379" s="27"/>
      <c r="H379" s="28"/>
      <c r="I379" s="32" t="str">
        <f aca="false">IF(A379="","",_xlfn.TEXTJOIN(", ",TRUE(),IF(AND(E379&lt;&gt;"",B379&lt;&gt;"Previous CBS Talks spend"),"Amount only allowed for Previous CBS Talks spend",""),IF(AND(B379="Previous CBS Talks spend",E379=""),"Add the amount received",""),IF(AND(D379="",LEFT(B379,8)&lt;&gt;"Previous",B379&lt;&gt;"None found (checked)"),"Source URL needed","")))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9"/>
      <c r="F380" s="27"/>
      <c r="G380" s="27"/>
      <c r="H380" s="28"/>
      <c r="I380" s="32" t="str">
        <f aca="false">IF(A380="","",_xlfn.TEXTJOIN(", ",TRUE(),IF(AND(E380&lt;&gt;"",B380&lt;&gt;"Previous CBS Talks spend"),"Amount only allowed for Previous CBS Talks spend",""),IF(AND(B380="Previous CBS Talks spend",E380=""),"Add the amount received",""),IF(AND(D380="",LEFT(B380,8)&lt;&gt;"Previous",B380&lt;&gt;"None found (checked)"),"Source URL needed","")))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9"/>
      <c r="F381" s="27"/>
      <c r="G381" s="27"/>
      <c r="H381" s="28"/>
      <c r="I381" s="32" t="str">
        <f aca="false">IF(A381="","",_xlfn.TEXTJOIN(", ",TRUE(),IF(AND(E381&lt;&gt;"",B381&lt;&gt;"Previous CBS Talks spend"),"Amount only allowed for Previous CBS Talks spend",""),IF(AND(B381="Previous CBS Talks spend",E381=""),"Add the amount received",""),IF(AND(D381="",LEFT(B381,8)&lt;&gt;"Previous",B381&lt;&gt;"None found (checked)"),"Source URL needed","")))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9"/>
      <c r="F382" s="27"/>
      <c r="G382" s="27"/>
      <c r="H382" s="28"/>
      <c r="I382" s="32" t="str">
        <f aca="false">IF(A382="","",_xlfn.TEXTJOIN(", ",TRUE(),IF(AND(E382&lt;&gt;"",B382&lt;&gt;"Previous CBS Talks spend"),"Amount only allowed for Previous CBS Talks spend",""),IF(AND(B382="Previous CBS Talks spend",E382=""),"Add the amount received",""),IF(AND(D382="",LEFT(B382,8)&lt;&gt;"Previous",B382&lt;&gt;"None found (checked)"),"Source URL needed","")))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9"/>
      <c r="F383" s="27"/>
      <c r="G383" s="27"/>
      <c r="H383" s="28"/>
      <c r="I383" s="32" t="str">
        <f aca="false">IF(A383="","",_xlfn.TEXTJOIN(", ",TRUE(),IF(AND(E383&lt;&gt;"",B383&lt;&gt;"Previous CBS Talks spend"),"Amount only allowed for Previous CBS Talks spend",""),IF(AND(B383="Previous CBS Talks spend",E383=""),"Add the amount received",""),IF(AND(D383="",LEFT(B383,8)&lt;&gt;"Previous",B383&lt;&gt;"None found (checked)"),"Source URL needed","")))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9"/>
      <c r="F384" s="27"/>
      <c r="G384" s="27"/>
      <c r="H384" s="28"/>
      <c r="I384" s="32" t="str">
        <f aca="false">IF(A384="","",_xlfn.TEXTJOIN(", ",TRUE(),IF(AND(E384&lt;&gt;"",B384&lt;&gt;"Previous CBS Talks spend"),"Amount only allowed for Previous CBS Talks spend",""),IF(AND(B384="Previous CBS Talks spend",E384=""),"Add the amount received",""),IF(AND(D384="",LEFT(B384,8)&lt;&gt;"Previous",B384&lt;&gt;"None found (checked)"),"Source URL needed","")))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9"/>
      <c r="F385" s="27"/>
      <c r="G385" s="27"/>
      <c r="H385" s="28"/>
      <c r="I385" s="32" t="str">
        <f aca="false">IF(A385="","",_xlfn.TEXTJOIN(", ",TRUE(),IF(AND(E385&lt;&gt;"",B385&lt;&gt;"Previous CBS Talks spend"),"Amount only allowed for Previous CBS Talks spend",""),IF(AND(B385="Previous CBS Talks spend",E385=""),"Add the amount received",""),IF(AND(D385="",LEFT(B385,8)&lt;&gt;"Previous",B385&lt;&gt;"None found (checked)"),"Source URL needed","")))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9"/>
      <c r="F386" s="27"/>
      <c r="G386" s="27"/>
      <c r="H386" s="28"/>
      <c r="I386" s="32" t="str">
        <f aca="false">IF(A386="","",_xlfn.TEXTJOIN(", ",TRUE(),IF(AND(E386&lt;&gt;"",B386&lt;&gt;"Previous CBS Talks spend"),"Amount only allowed for Previous CBS Talks spend",""),IF(AND(B386="Previous CBS Talks spend",E386=""),"Add the amount received",""),IF(AND(D386="",LEFT(B386,8)&lt;&gt;"Previous",B386&lt;&gt;"None found (checked)"),"Source URL needed","")))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9"/>
      <c r="F387" s="27"/>
      <c r="G387" s="27"/>
      <c r="H387" s="28"/>
      <c r="I387" s="32" t="str">
        <f aca="false">IF(A387="","",_xlfn.TEXTJOIN(", ",TRUE(),IF(AND(E387&lt;&gt;"",B387&lt;&gt;"Previous CBS Talks spend"),"Amount only allowed for Previous CBS Talks spend",""),IF(AND(B387="Previous CBS Talks spend",E387=""),"Add the amount received",""),IF(AND(D387="",LEFT(B387,8)&lt;&gt;"Previous",B387&lt;&gt;"None found (checked)"),"Source URL needed","")))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9"/>
      <c r="F388" s="27"/>
      <c r="G388" s="27"/>
      <c r="H388" s="28"/>
      <c r="I388" s="32" t="str">
        <f aca="false">IF(A388="","",_xlfn.TEXTJOIN(", ",TRUE(),IF(AND(E388&lt;&gt;"",B388&lt;&gt;"Previous CBS Talks spend"),"Amount only allowed for Previous CBS Talks spend",""),IF(AND(B388="Previous CBS Talks spend",E388=""),"Add the amount received",""),IF(AND(D388="",LEFT(B388,8)&lt;&gt;"Previous",B388&lt;&gt;"None found (checked)"),"Source URL needed","")))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9"/>
      <c r="F389" s="27"/>
      <c r="G389" s="27"/>
      <c r="H389" s="28"/>
      <c r="I389" s="32" t="str">
        <f aca="false">IF(A389="","",_xlfn.TEXTJOIN(", ",TRUE(),IF(AND(E389&lt;&gt;"",B389&lt;&gt;"Previous CBS Talks spend"),"Amount only allowed for Previous CBS Talks spend",""),IF(AND(B389="Previous CBS Talks spend",E389=""),"Add the amount received",""),IF(AND(D389="",LEFT(B389,8)&lt;&gt;"Previous",B389&lt;&gt;"None found (checked)"),"Source URL needed","")))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9"/>
      <c r="F390" s="27"/>
      <c r="G390" s="27"/>
      <c r="H390" s="28"/>
      <c r="I390" s="32" t="str">
        <f aca="false">IF(A390="","",_xlfn.TEXTJOIN(", ",TRUE(),IF(AND(E390&lt;&gt;"",B390&lt;&gt;"Previous CBS Talks spend"),"Amount only allowed for Previous CBS Talks spend",""),IF(AND(B390="Previous CBS Talks spend",E390=""),"Add the amount received",""),IF(AND(D390="",LEFT(B390,8)&lt;&gt;"Previous",B390&lt;&gt;"None found (checked)"),"Source URL needed","")))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9"/>
      <c r="F391" s="27"/>
      <c r="G391" s="27"/>
      <c r="H391" s="28"/>
      <c r="I391" s="32" t="str">
        <f aca="false">IF(A391="","",_xlfn.TEXTJOIN(", ",TRUE(),IF(AND(E391&lt;&gt;"",B391&lt;&gt;"Previous CBS Talks spend"),"Amount only allowed for Previous CBS Talks spend",""),IF(AND(B391="Previous CBS Talks spend",E391=""),"Add the amount received",""),IF(AND(D391="",LEFT(B391,8)&lt;&gt;"Previous",B391&lt;&gt;"None found (checked)"),"Source URL needed","")))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9"/>
      <c r="F392" s="27"/>
      <c r="G392" s="27"/>
      <c r="H392" s="28"/>
      <c r="I392" s="32" t="str">
        <f aca="false">IF(A392="","",_xlfn.TEXTJOIN(", ",TRUE(),IF(AND(E392&lt;&gt;"",B392&lt;&gt;"Previous CBS Talks spend"),"Amount only allowed for Previous CBS Talks spend",""),IF(AND(B392="Previous CBS Talks spend",E392=""),"Add the amount received",""),IF(AND(D392="",LEFT(B392,8)&lt;&gt;"Previous",B392&lt;&gt;"None found (checked)"),"Source URL needed","")))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9"/>
      <c r="F393" s="27"/>
      <c r="G393" s="27"/>
      <c r="H393" s="28"/>
      <c r="I393" s="32" t="str">
        <f aca="false">IF(A393="","",_xlfn.TEXTJOIN(", ",TRUE(),IF(AND(E393&lt;&gt;"",B393&lt;&gt;"Previous CBS Talks spend"),"Amount only allowed for Previous CBS Talks spend",""),IF(AND(B393="Previous CBS Talks spend",E393=""),"Add the amount received",""),IF(AND(D393="",LEFT(B393,8)&lt;&gt;"Previous",B393&lt;&gt;"None found (checked)"),"Source URL needed","")))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9"/>
      <c r="F394" s="27"/>
      <c r="G394" s="27"/>
      <c r="H394" s="28"/>
      <c r="I394" s="32" t="str">
        <f aca="false">IF(A394="","",_xlfn.TEXTJOIN(", ",TRUE(),IF(AND(E394&lt;&gt;"",B394&lt;&gt;"Previous CBS Talks spend"),"Amount only allowed for Previous CBS Talks spend",""),IF(AND(B394="Previous CBS Talks spend",E394=""),"Add the amount received",""),IF(AND(D394="",LEFT(B394,8)&lt;&gt;"Previous",B394&lt;&gt;"None found (checked)"),"Source URL needed","")))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9"/>
      <c r="F395" s="27"/>
      <c r="G395" s="27"/>
      <c r="H395" s="28"/>
      <c r="I395" s="32" t="str">
        <f aca="false">IF(A395="","",_xlfn.TEXTJOIN(", ",TRUE(),IF(AND(E395&lt;&gt;"",B395&lt;&gt;"Previous CBS Talks spend"),"Amount only allowed for Previous CBS Talks spend",""),IF(AND(B395="Previous CBS Talks spend",E395=""),"Add the amount received",""),IF(AND(D395="",LEFT(B395,8)&lt;&gt;"Previous",B395&lt;&gt;"None found (checked)"),"Source URL needed","")))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9"/>
      <c r="F396" s="27"/>
      <c r="G396" s="27"/>
      <c r="H396" s="28"/>
      <c r="I396" s="32" t="str">
        <f aca="false">IF(A396="","",_xlfn.TEXTJOIN(", ",TRUE(),IF(AND(E396&lt;&gt;"",B396&lt;&gt;"Previous CBS Talks spend"),"Amount only allowed for Previous CBS Talks spend",""),IF(AND(B396="Previous CBS Talks spend",E396=""),"Add the amount received",""),IF(AND(D396="",LEFT(B396,8)&lt;&gt;"Previous",B396&lt;&gt;"None found (checked)"),"Source URL needed","")))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9"/>
      <c r="F397" s="27"/>
      <c r="G397" s="27"/>
      <c r="H397" s="28"/>
      <c r="I397" s="32" t="str">
        <f aca="false">IF(A397="","",_xlfn.TEXTJOIN(", ",TRUE(),IF(AND(E397&lt;&gt;"",B397&lt;&gt;"Previous CBS Talks spend"),"Amount only allowed for Previous CBS Talks spend",""),IF(AND(B397="Previous CBS Talks spend",E397=""),"Add the amount received",""),IF(AND(D397="",LEFT(B397,8)&lt;&gt;"Previous",B397&lt;&gt;"None found (checked)"),"Source URL needed","")))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9"/>
      <c r="F398" s="27"/>
      <c r="G398" s="27"/>
      <c r="H398" s="28"/>
      <c r="I398" s="32" t="str">
        <f aca="false">IF(A398="","",_xlfn.TEXTJOIN(", ",TRUE(),IF(AND(E398&lt;&gt;"",B398&lt;&gt;"Previous CBS Talks spend"),"Amount only allowed for Previous CBS Talks spend",""),IF(AND(B398="Previous CBS Talks spend",E398=""),"Add the amount received",""),IF(AND(D398="",LEFT(B398,8)&lt;&gt;"Previous",B398&lt;&gt;"None found (checked)"),"Source URL needed","")))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9"/>
      <c r="F399" s="27"/>
      <c r="G399" s="27"/>
      <c r="H399" s="28"/>
      <c r="I399" s="32" t="str">
        <f aca="false">IF(A399="","",_xlfn.TEXTJOIN(", ",TRUE(),IF(AND(E399&lt;&gt;"",B399&lt;&gt;"Previous CBS Talks spend"),"Amount only allowed for Previous CBS Talks spend",""),IF(AND(B399="Previous CBS Talks spend",E399=""),"Add the amount received",""),IF(AND(D399="",LEFT(B399,8)&lt;&gt;"Previous",B399&lt;&gt;"None found (checked)"),"Source URL needed","")))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9"/>
      <c r="F400" s="27"/>
      <c r="G400" s="27"/>
      <c r="H400" s="28"/>
      <c r="I400" s="32" t="str">
        <f aca="false">IF(A400="","",_xlfn.TEXTJOIN(", ",TRUE(),IF(AND(E400&lt;&gt;"",B400&lt;&gt;"Previous CBS Talks spend"),"Amount only allowed for Previous CBS Talks spend",""),IF(AND(B400="Previous CBS Talks spend",E400=""),"Add the amount received",""),IF(AND(D400="",LEFT(B400,8)&lt;&gt;"Previous",B400&lt;&gt;"None found (checked)"),"Source URL needed","")))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9"/>
      <c r="F401" s="27"/>
      <c r="G401" s="27"/>
      <c r="H401" s="28"/>
      <c r="I401" s="32" t="str">
        <f aca="false">IF(A401="","",_xlfn.TEXTJOIN(", ",TRUE(),IF(AND(E401&lt;&gt;"",B401&lt;&gt;"Previous CBS Talks spend"),"Amount only allowed for Previous CBS Talks spend",""),IF(AND(B401="Previous CBS Talks spend",E401=""),"Add the amount received",""),IF(AND(D401="",LEFT(B401,8)&lt;&gt;"Previous",B401&lt;&gt;"None found (checked)"),"Source URL needed","")))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9"/>
      <c r="F402" s="27"/>
      <c r="G402" s="27"/>
      <c r="H402" s="28"/>
      <c r="I402" s="32" t="str">
        <f aca="false">IF(A402="","",_xlfn.TEXTJOIN(", ",TRUE(),IF(AND(E402&lt;&gt;"",B402&lt;&gt;"Previous CBS Talks spend"),"Amount only allowed for Previous CBS Talks spend",""),IF(AND(B402="Previous CBS Talks spend",E402=""),"Add the amount received",""),IF(AND(D402="",LEFT(B402,8)&lt;&gt;"Previous",B402&lt;&gt;"None found (checked)"),"Source URL needed","")))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9"/>
      <c r="F403" s="27"/>
      <c r="G403" s="27"/>
      <c r="H403" s="28"/>
      <c r="I403" s="32" t="str">
        <f aca="false">IF(A403="","",_xlfn.TEXTJOIN(", ",TRUE(),IF(AND(E403&lt;&gt;"",B403&lt;&gt;"Previous CBS Talks spend"),"Amount only allowed for Previous CBS Talks spend",""),IF(AND(B403="Previous CBS Talks spend",E403=""),"Add the amount received",""),IF(AND(D403="",LEFT(B403,8)&lt;&gt;"Previous",B403&lt;&gt;"None found (checked)"),"Source URL needed","")))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9"/>
      <c r="F404" s="27"/>
      <c r="G404" s="27"/>
      <c r="H404" s="28"/>
      <c r="I404" s="32" t="str">
        <f aca="false">IF(A404="","",_xlfn.TEXTJOIN(", ",TRUE(),IF(AND(E404&lt;&gt;"",B404&lt;&gt;"Previous CBS Talks spend"),"Amount only allowed for Previous CBS Talks spend",""),IF(AND(B404="Previous CBS Talks spend",E404=""),"Add the amount received",""),IF(AND(D404="",LEFT(B404,8)&lt;&gt;"Previous",B404&lt;&gt;"None found (checked)"),"Source URL needed","")))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9"/>
      <c r="F405" s="27"/>
      <c r="G405" s="27"/>
      <c r="H405" s="28"/>
      <c r="I405" s="32" t="str">
        <f aca="false">IF(A405="","",_xlfn.TEXTJOIN(", ",TRUE(),IF(AND(E405&lt;&gt;"",B405&lt;&gt;"Previous CBS Talks spend"),"Amount only allowed for Previous CBS Talks spend",""),IF(AND(B405="Previous CBS Talks spend",E405=""),"Add the amount received",""),IF(AND(D405="",LEFT(B405,8)&lt;&gt;"Previous",B405&lt;&gt;"None found (checked)"),"Source URL needed","")))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9"/>
      <c r="F406" s="27"/>
      <c r="G406" s="27"/>
      <c r="H406" s="28"/>
      <c r="I406" s="32" t="str">
        <f aca="false">IF(A406="","",_xlfn.TEXTJOIN(", ",TRUE(),IF(AND(E406&lt;&gt;"",B406&lt;&gt;"Previous CBS Talks spend"),"Amount only allowed for Previous CBS Talks spend",""),IF(AND(B406="Previous CBS Talks spend",E406=""),"Add the amount received",""),IF(AND(D406="",LEFT(B406,8)&lt;&gt;"Previous",B406&lt;&gt;"None found (checked)"),"Source URL needed","")))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9"/>
      <c r="F407" s="27"/>
      <c r="G407" s="27"/>
      <c r="H407" s="28"/>
      <c r="I407" s="32" t="str">
        <f aca="false">IF(A407="","",_xlfn.TEXTJOIN(", ",TRUE(),IF(AND(E407&lt;&gt;"",B407&lt;&gt;"Previous CBS Talks spend"),"Amount only allowed for Previous CBS Talks spend",""),IF(AND(B407="Previous CBS Talks spend",E407=""),"Add the amount received",""),IF(AND(D407="",LEFT(B407,8)&lt;&gt;"Previous",B407&lt;&gt;"None found (checked)"),"Source URL needed","")))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9"/>
      <c r="F408" s="27"/>
      <c r="G408" s="27"/>
      <c r="H408" s="28"/>
      <c r="I408" s="32" t="str">
        <f aca="false">IF(A408="","",_xlfn.TEXTJOIN(", ",TRUE(),IF(AND(E408&lt;&gt;"",B408&lt;&gt;"Previous CBS Talks spend"),"Amount only allowed for Previous CBS Talks spend",""),IF(AND(B408="Previous CBS Talks spend",E408=""),"Add the amount received",""),IF(AND(D408="",LEFT(B408,8)&lt;&gt;"Previous",B408&lt;&gt;"None found (checked)"),"Source URL needed","")))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9"/>
      <c r="F409" s="27"/>
      <c r="G409" s="27"/>
      <c r="H409" s="28"/>
      <c r="I409" s="32" t="str">
        <f aca="false">IF(A409="","",_xlfn.TEXTJOIN(", ",TRUE(),IF(AND(E409&lt;&gt;"",B409&lt;&gt;"Previous CBS Talks spend"),"Amount only allowed for Previous CBS Talks spend",""),IF(AND(B409="Previous CBS Talks spend",E409=""),"Add the amount received",""),IF(AND(D409="",LEFT(B409,8)&lt;&gt;"Previous",B409&lt;&gt;"None found (checked)"),"Source URL needed","")))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9"/>
      <c r="F410" s="27"/>
      <c r="G410" s="27"/>
      <c r="H410" s="28"/>
      <c r="I410" s="32" t="str">
        <f aca="false">IF(A410="","",_xlfn.TEXTJOIN(", ",TRUE(),IF(AND(E410&lt;&gt;"",B410&lt;&gt;"Previous CBS Talks spend"),"Amount only allowed for Previous CBS Talks spend",""),IF(AND(B410="Previous CBS Talks spend",E410=""),"Add the amount received",""),IF(AND(D410="",LEFT(B410,8)&lt;&gt;"Previous",B410&lt;&gt;"None found (checked)"),"Source URL needed","")))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9"/>
      <c r="F411" s="27"/>
      <c r="G411" s="27"/>
      <c r="H411" s="28"/>
      <c r="I411" s="32" t="str">
        <f aca="false">IF(A411="","",_xlfn.TEXTJOIN(", ",TRUE(),IF(AND(E411&lt;&gt;"",B411&lt;&gt;"Previous CBS Talks spend"),"Amount only allowed for Previous CBS Talks spend",""),IF(AND(B411="Previous CBS Talks spend",E411=""),"Add the amount received",""),IF(AND(D411="",LEFT(B411,8)&lt;&gt;"Previous",B411&lt;&gt;"None found (checked)"),"Source URL needed","")))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9"/>
      <c r="F412" s="27"/>
      <c r="G412" s="27"/>
      <c r="H412" s="28"/>
      <c r="I412" s="32" t="str">
        <f aca="false">IF(A412="","",_xlfn.TEXTJOIN(", ",TRUE(),IF(AND(E412&lt;&gt;"",B412&lt;&gt;"Previous CBS Talks spend"),"Amount only allowed for Previous CBS Talks spend",""),IF(AND(B412="Previous CBS Talks spend",E412=""),"Add the amount received",""),IF(AND(D412="",LEFT(B412,8)&lt;&gt;"Previous",B412&lt;&gt;"None found (checked)"),"Source URL needed","")))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9"/>
      <c r="F413" s="27"/>
      <c r="G413" s="27"/>
      <c r="H413" s="28"/>
      <c r="I413" s="32" t="str">
        <f aca="false">IF(A413="","",_xlfn.TEXTJOIN(", ",TRUE(),IF(AND(E413&lt;&gt;"",B413&lt;&gt;"Previous CBS Talks spend"),"Amount only allowed for Previous CBS Talks spend",""),IF(AND(B413="Previous CBS Talks spend",E413=""),"Add the amount received",""),IF(AND(D413="",LEFT(B413,8)&lt;&gt;"Previous",B413&lt;&gt;"None found (checked)"),"Source URL needed","")))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9"/>
      <c r="F414" s="27"/>
      <c r="G414" s="27"/>
      <c r="H414" s="28"/>
      <c r="I414" s="32" t="str">
        <f aca="false">IF(A414="","",_xlfn.TEXTJOIN(", ",TRUE(),IF(AND(E414&lt;&gt;"",B414&lt;&gt;"Previous CBS Talks spend"),"Amount only allowed for Previous CBS Talks spend",""),IF(AND(B414="Previous CBS Talks spend",E414=""),"Add the amount received",""),IF(AND(D414="",LEFT(B414,8)&lt;&gt;"Previous",B414&lt;&gt;"None found (checked)"),"Source URL needed","")))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9"/>
      <c r="F415" s="27"/>
      <c r="G415" s="27"/>
      <c r="H415" s="28"/>
      <c r="I415" s="32" t="str">
        <f aca="false">IF(A415="","",_xlfn.TEXTJOIN(", ",TRUE(),IF(AND(E415&lt;&gt;"",B415&lt;&gt;"Previous CBS Talks spend"),"Amount only allowed for Previous CBS Talks spend",""),IF(AND(B415="Previous CBS Talks spend",E415=""),"Add the amount received",""),IF(AND(D415="",LEFT(B415,8)&lt;&gt;"Previous",B415&lt;&gt;"None found (checked)"),"Source URL needed","")))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9"/>
      <c r="F416" s="27"/>
      <c r="G416" s="27"/>
      <c r="H416" s="28"/>
      <c r="I416" s="32" t="str">
        <f aca="false">IF(A416="","",_xlfn.TEXTJOIN(", ",TRUE(),IF(AND(E416&lt;&gt;"",B416&lt;&gt;"Previous CBS Talks spend"),"Amount only allowed for Previous CBS Talks spend",""),IF(AND(B416="Previous CBS Talks spend",E416=""),"Add the amount received",""),IF(AND(D416="",LEFT(B416,8)&lt;&gt;"Previous",B416&lt;&gt;"None found (checked)"),"Source URL needed","")))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9"/>
      <c r="F417" s="27"/>
      <c r="G417" s="27"/>
      <c r="H417" s="28"/>
      <c r="I417" s="32" t="str">
        <f aca="false">IF(A417="","",_xlfn.TEXTJOIN(", ",TRUE(),IF(AND(E417&lt;&gt;"",B417&lt;&gt;"Previous CBS Talks spend"),"Amount only allowed for Previous CBS Talks spend",""),IF(AND(B417="Previous CBS Talks spend",E417=""),"Add the amount received",""),IF(AND(D417="",LEFT(B417,8)&lt;&gt;"Previous",B417&lt;&gt;"None found (checked)"),"Source URL needed","")))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9"/>
      <c r="F418" s="27"/>
      <c r="G418" s="27"/>
      <c r="H418" s="28"/>
      <c r="I418" s="32" t="str">
        <f aca="false">IF(A418="","",_xlfn.TEXTJOIN(", ",TRUE(),IF(AND(E418&lt;&gt;"",B418&lt;&gt;"Previous CBS Talks spend"),"Amount only allowed for Previous CBS Talks spend",""),IF(AND(B418="Previous CBS Talks spend",E418=""),"Add the amount received",""),IF(AND(D418="",LEFT(B418,8)&lt;&gt;"Previous",B418&lt;&gt;"None found (checked)"),"Source URL needed","")))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9"/>
      <c r="F419" s="27"/>
      <c r="G419" s="27"/>
      <c r="H419" s="28"/>
      <c r="I419" s="32" t="str">
        <f aca="false">IF(A419="","",_xlfn.TEXTJOIN(", ",TRUE(),IF(AND(E419&lt;&gt;"",B419&lt;&gt;"Previous CBS Talks spend"),"Amount only allowed for Previous CBS Talks spend",""),IF(AND(B419="Previous CBS Talks spend",E419=""),"Add the amount received",""),IF(AND(D419="",LEFT(B419,8)&lt;&gt;"Previous",B419&lt;&gt;"None found (checked)"),"Source URL needed","")))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9"/>
      <c r="F420" s="27"/>
      <c r="G420" s="27"/>
      <c r="H420" s="28"/>
      <c r="I420" s="32" t="str">
        <f aca="false">IF(A420="","",_xlfn.TEXTJOIN(", ",TRUE(),IF(AND(E420&lt;&gt;"",B420&lt;&gt;"Previous CBS Talks spend"),"Amount only allowed for Previous CBS Talks spend",""),IF(AND(B420="Previous CBS Talks spend",E420=""),"Add the amount received",""),IF(AND(D420="",LEFT(B420,8)&lt;&gt;"Previous",B420&lt;&gt;"None found (checked)"),"Source URL needed","")))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9"/>
      <c r="F421" s="27"/>
      <c r="G421" s="27"/>
      <c r="H421" s="28"/>
      <c r="I421" s="32" t="str">
        <f aca="false">IF(A421="","",_xlfn.TEXTJOIN(", ",TRUE(),IF(AND(E421&lt;&gt;"",B421&lt;&gt;"Previous CBS Talks spend"),"Amount only allowed for Previous CBS Talks spend",""),IF(AND(B421="Previous CBS Talks spend",E421=""),"Add the amount received",""),IF(AND(D421="",LEFT(B421,8)&lt;&gt;"Previous",B421&lt;&gt;"None found (checked)"),"Source URL needed","")))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9"/>
      <c r="F422" s="27"/>
      <c r="G422" s="27"/>
      <c r="H422" s="28"/>
      <c r="I422" s="32" t="str">
        <f aca="false">IF(A422="","",_xlfn.TEXTJOIN(", ",TRUE(),IF(AND(E422&lt;&gt;"",B422&lt;&gt;"Previous CBS Talks spend"),"Amount only allowed for Previous CBS Talks spend",""),IF(AND(B422="Previous CBS Talks spend",E422=""),"Add the amount received",""),IF(AND(D422="",LEFT(B422,8)&lt;&gt;"Previous",B422&lt;&gt;"None found (checked)"),"Source URL needed","")))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9"/>
      <c r="F423" s="27"/>
      <c r="G423" s="27"/>
      <c r="H423" s="28"/>
      <c r="I423" s="32" t="str">
        <f aca="false">IF(A423="","",_xlfn.TEXTJOIN(", ",TRUE(),IF(AND(E423&lt;&gt;"",B423&lt;&gt;"Previous CBS Talks spend"),"Amount only allowed for Previous CBS Talks spend",""),IF(AND(B423="Previous CBS Talks spend",E423=""),"Add the amount received",""),IF(AND(D423="",LEFT(B423,8)&lt;&gt;"Previous",B423&lt;&gt;"None found (checked)"),"Source URL needed","")))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9"/>
      <c r="F424" s="27"/>
      <c r="G424" s="27"/>
      <c r="H424" s="28"/>
      <c r="I424" s="32" t="str">
        <f aca="false">IF(A424="","",_xlfn.TEXTJOIN(", ",TRUE(),IF(AND(E424&lt;&gt;"",B424&lt;&gt;"Previous CBS Talks spend"),"Amount only allowed for Previous CBS Talks spend",""),IF(AND(B424="Previous CBS Talks spend",E424=""),"Add the amount received",""),IF(AND(D424="",LEFT(B424,8)&lt;&gt;"Previous",B424&lt;&gt;"None found (checked)"),"Source URL needed","")))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9"/>
      <c r="F425" s="27"/>
      <c r="G425" s="27"/>
      <c r="H425" s="28"/>
      <c r="I425" s="32" t="str">
        <f aca="false">IF(A425="","",_xlfn.TEXTJOIN(", ",TRUE(),IF(AND(E425&lt;&gt;"",B425&lt;&gt;"Previous CBS Talks spend"),"Amount only allowed for Previous CBS Talks spend",""),IF(AND(B425="Previous CBS Talks spend",E425=""),"Add the amount received",""),IF(AND(D425="",LEFT(B425,8)&lt;&gt;"Previous",B425&lt;&gt;"None found (checked)"),"Source URL needed","")))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9"/>
      <c r="F426" s="27"/>
      <c r="G426" s="27"/>
      <c r="H426" s="28"/>
      <c r="I426" s="32" t="str">
        <f aca="false">IF(A426="","",_xlfn.TEXTJOIN(", ",TRUE(),IF(AND(E426&lt;&gt;"",B426&lt;&gt;"Previous CBS Talks spend"),"Amount only allowed for Previous CBS Talks spend",""),IF(AND(B426="Previous CBS Talks spend",E426=""),"Add the amount received",""),IF(AND(D426="",LEFT(B426,8)&lt;&gt;"Previous",B426&lt;&gt;"None found (checked)"),"Source URL needed","")))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9"/>
      <c r="F427" s="27"/>
      <c r="G427" s="27"/>
      <c r="H427" s="28"/>
      <c r="I427" s="32" t="str">
        <f aca="false">IF(A427="","",_xlfn.TEXTJOIN(", ",TRUE(),IF(AND(E427&lt;&gt;"",B427&lt;&gt;"Previous CBS Talks spend"),"Amount only allowed for Previous CBS Talks spend",""),IF(AND(B427="Previous CBS Talks spend",E427=""),"Add the amount received",""),IF(AND(D427="",LEFT(B427,8)&lt;&gt;"Previous",B427&lt;&gt;"None found (checked)"),"Source URL needed","")))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9"/>
      <c r="F428" s="27"/>
      <c r="G428" s="27"/>
      <c r="H428" s="28"/>
      <c r="I428" s="32" t="str">
        <f aca="false">IF(A428="","",_xlfn.TEXTJOIN(", ",TRUE(),IF(AND(E428&lt;&gt;"",B428&lt;&gt;"Previous CBS Talks spend"),"Amount only allowed for Previous CBS Talks spend",""),IF(AND(B428="Previous CBS Talks spend",E428=""),"Add the amount received",""),IF(AND(D428="",LEFT(B428,8)&lt;&gt;"Previous",B428&lt;&gt;"None found (checked)"),"Source URL needed","")))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9"/>
      <c r="F429" s="27"/>
      <c r="G429" s="27"/>
      <c r="H429" s="28"/>
      <c r="I429" s="32" t="str">
        <f aca="false">IF(A429="","",_xlfn.TEXTJOIN(", ",TRUE(),IF(AND(E429&lt;&gt;"",B429&lt;&gt;"Previous CBS Talks spend"),"Amount only allowed for Previous CBS Talks spend",""),IF(AND(B429="Previous CBS Talks spend",E429=""),"Add the amount received",""),IF(AND(D429="",LEFT(B429,8)&lt;&gt;"Previous",B429&lt;&gt;"None found (checked)"),"Source URL needed","")))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9"/>
      <c r="F430" s="27"/>
      <c r="G430" s="27"/>
      <c r="H430" s="28"/>
      <c r="I430" s="32" t="str">
        <f aca="false">IF(A430="","",_xlfn.TEXTJOIN(", ",TRUE(),IF(AND(E430&lt;&gt;"",B430&lt;&gt;"Previous CBS Talks spend"),"Amount only allowed for Previous CBS Talks spend",""),IF(AND(B430="Previous CBS Talks spend",E430=""),"Add the amount received",""),IF(AND(D430="",LEFT(B430,8)&lt;&gt;"Previous",B430&lt;&gt;"None found (checked)"),"Source URL needed","")))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9"/>
      <c r="F431" s="27"/>
      <c r="G431" s="27"/>
      <c r="H431" s="28"/>
      <c r="I431" s="32" t="str">
        <f aca="false">IF(A431="","",_xlfn.TEXTJOIN(", ",TRUE(),IF(AND(E431&lt;&gt;"",B431&lt;&gt;"Previous CBS Talks spend"),"Amount only allowed for Previous CBS Talks spend",""),IF(AND(B431="Previous CBS Talks spend",E431=""),"Add the amount received",""),IF(AND(D431="",LEFT(B431,8)&lt;&gt;"Previous",B431&lt;&gt;"None found (checked)"),"Source URL needed","")))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9"/>
      <c r="F432" s="27"/>
      <c r="G432" s="27"/>
      <c r="H432" s="28"/>
      <c r="I432" s="32" t="str">
        <f aca="false">IF(A432="","",_xlfn.TEXTJOIN(", ",TRUE(),IF(AND(E432&lt;&gt;"",B432&lt;&gt;"Previous CBS Talks spend"),"Amount only allowed for Previous CBS Talks spend",""),IF(AND(B432="Previous CBS Talks spend",E432=""),"Add the amount received",""),IF(AND(D432="",LEFT(B432,8)&lt;&gt;"Previous",B432&lt;&gt;"None found (checked)"),"Source URL needed","")))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9"/>
      <c r="F433" s="27"/>
      <c r="G433" s="27"/>
      <c r="H433" s="28"/>
      <c r="I433" s="32" t="str">
        <f aca="false">IF(A433="","",_xlfn.TEXTJOIN(", ",TRUE(),IF(AND(E433&lt;&gt;"",B433&lt;&gt;"Previous CBS Talks spend"),"Amount only allowed for Previous CBS Talks spend",""),IF(AND(B433="Previous CBS Talks spend",E433=""),"Add the amount received",""),IF(AND(D433="",LEFT(B433,8)&lt;&gt;"Previous",B433&lt;&gt;"None found (checked)"),"Source URL needed","")))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9"/>
      <c r="F434" s="27"/>
      <c r="G434" s="27"/>
      <c r="H434" s="28"/>
      <c r="I434" s="32" t="str">
        <f aca="false">IF(A434="","",_xlfn.TEXTJOIN(", ",TRUE(),IF(AND(E434&lt;&gt;"",B434&lt;&gt;"Previous CBS Talks spend"),"Amount only allowed for Previous CBS Talks spend",""),IF(AND(B434="Previous CBS Talks spend",E434=""),"Add the amount received",""),IF(AND(D434="",LEFT(B434,8)&lt;&gt;"Previous",B434&lt;&gt;"None found (checked)"),"Source URL needed","")))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9"/>
      <c r="F435" s="27"/>
      <c r="G435" s="27"/>
      <c r="H435" s="28"/>
      <c r="I435" s="32" t="str">
        <f aca="false">IF(A435="","",_xlfn.TEXTJOIN(", ",TRUE(),IF(AND(E435&lt;&gt;"",B435&lt;&gt;"Previous CBS Talks spend"),"Amount only allowed for Previous CBS Talks spend",""),IF(AND(B435="Previous CBS Talks spend",E435=""),"Add the amount received",""),IF(AND(D435="",LEFT(B435,8)&lt;&gt;"Previous",B435&lt;&gt;"None found (checked)"),"Source URL needed","")))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9"/>
      <c r="F436" s="27"/>
      <c r="G436" s="27"/>
      <c r="H436" s="28"/>
      <c r="I436" s="32" t="str">
        <f aca="false">IF(A436="","",_xlfn.TEXTJOIN(", ",TRUE(),IF(AND(E436&lt;&gt;"",B436&lt;&gt;"Previous CBS Talks spend"),"Amount only allowed for Previous CBS Talks spend",""),IF(AND(B436="Previous CBS Talks spend",E436=""),"Add the amount received",""),IF(AND(D436="",LEFT(B436,8)&lt;&gt;"Previous",B436&lt;&gt;"None found (checked)"),"Source URL needed","")))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9"/>
      <c r="F437" s="27"/>
      <c r="G437" s="27"/>
      <c r="H437" s="28"/>
      <c r="I437" s="32" t="str">
        <f aca="false">IF(A437="","",_xlfn.TEXTJOIN(", ",TRUE(),IF(AND(E437&lt;&gt;"",B437&lt;&gt;"Previous CBS Talks spend"),"Amount only allowed for Previous CBS Talks spend",""),IF(AND(B437="Previous CBS Talks spend",E437=""),"Add the amount received",""),IF(AND(D437="",LEFT(B437,8)&lt;&gt;"Previous",B437&lt;&gt;"None found (checked)"),"Source URL needed","")))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9"/>
      <c r="F438" s="27"/>
      <c r="G438" s="27"/>
      <c r="H438" s="28"/>
      <c r="I438" s="32" t="str">
        <f aca="false">IF(A438="","",_xlfn.TEXTJOIN(", ",TRUE(),IF(AND(E438&lt;&gt;"",B438&lt;&gt;"Previous CBS Talks spend"),"Amount only allowed for Previous CBS Talks spend",""),IF(AND(B438="Previous CBS Talks spend",E438=""),"Add the amount received",""),IF(AND(D438="",LEFT(B438,8)&lt;&gt;"Previous",B438&lt;&gt;"None found (checked)"),"Source URL needed","")))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9"/>
      <c r="F439" s="27"/>
      <c r="G439" s="27"/>
      <c r="H439" s="28"/>
      <c r="I439" s="32" t="str">
        <f aca="false">IF(A439="","",_xlfn.TEXTJOIN(", ",TRUE(),IF(AND(E439&lt;&gt;"",B439&lt;&gt;"Previous CBS Talks spend"),"Amount only allowed for Previous CBS Talks spend",""),IF(AND(B439="Previous CBS Talks spend",E439=""),"Add the amount received",""),IF(AND(D439="",LEFT(B439,8)&lt;&gt;"Previous",B439&lt;&gt;"None found (checked)"),"Source URL needed","")))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9"/>
      <c r="F440" s="27"/>
      <c r="G440" s="27"/>
      <c r="H440" s="28"/>
      <c r="I440" s="32" t="str">
        <f aca="false">IF(A440="","",_xlfn.TEXTJOIN(", ",TRUE(),IF(AND(E440&lt;&gt;"",B440&lt;&gt;"Previous CBS Talks spend"),"Amount only allowed for Previous CBS Talks spend",""),IF(AND(B440="Previous CBS Talks spend",E440=""),"Add the amount received",""),IF(AND(D440="",LEFT(B440,8)&lt;&gt;"Previous",B440&lt;&gt;"None found (checked)"),"Source URL needed","")))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9"/>
      <c r="F441" s="27"/>
      <c r="G441" s="27"/>
      <c r="H441" s="28"/>
      <c r="I441" s="32" t="str">
        <f aca="false">IF(A441="","",_xlfn.TEXTJOIN(", ",TRUE(),IF(AND(E441&lt;&gt;"",B441&lt;&gt;"Previous CBS Talks spend"),"Amount only allowed for Previous CBS Talks spend",""),IF(AND(B441="Previous CBS Talks spend",E441=""),"Add the amount received",""),IF(AND(D441="",LEFT(B441,8)&lt;&gt;"Previous",B441&lt;&gt;"None found (checked)"),"Source URL needed","")))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9"/>
      <c r="F442" s="27"/>
      <c r="G442" s="27"/>
      <c r="H442" s="28"/>
      <c r="I442" s="32" t="str">
        <f aca="false">IF(A442="","",_xlfn.TEXTJOIN(", ",TRUE(),IF(AND(E442&lt;&gt;"",B442&lt;&gt;"Previous CBS Talks spend"),"Amount only allowed for Previous CBS Talks spend",""),IF(AND(B442="Previous CBS Talks spend",E442=""),"Add the amount received",""),IF(AND(D442="",LEFT(B442,8)&lt;&gt;"Previous",B442&lt;&gt;"None found (checked)"),"Source URL needed","")))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9"/>
      <c r="F443" s="27"/>
      <c r="G443" s="27"/>
      <c r="H443" s="28"/>
      <c r="I443" s="32" t="str">
        <f aca="false">IF(A443="","",_xlfn.TEXTJOIN(", ",TRUE(),IF(AND(E443&lt;&gt;"",B443&lt;&gt;"Previous CBS Talks spend"),"Amount only allowed for Previous CBS Talks spend",""),IF(AND(B443="Previous CBS Talks spend",E443=""),"Add the amount received",""),IF(AND(D443="",LEFT(B443,8)&lt;&gt;"Previous",B443&lt;&gt;"None found (checked)"),"Source URL needed","")))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9"/>
      <c r="F444" s="27"/>
      <c r="G444" s="27"/>
      <c r="H444" s="28"/>
      <c r="I444" s="32" t="str">
        <f aca="false">IF(A444="","",_xlfn.TEXTJOIN(", ",TRUE(),IF(AND(E444&lt;&gt;"",B444&lt;&gt;"Previous CBS Talks spend"),"Amount only allowed for Previous CBS Talks spend",""),IF(AND(B444="Previous CBS Talks spend",E444=""),"Add the amount received",""),IF(AND(D444="",LEFT(B444,8)&lt;&gt;"Previous",B444&lt;&gt;"None found (checked)"),"Source URL needed","")))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9"/>
      <c r="F445" s="27"/>
      <c r="G445" s="27"/>
      <c r="H445" s="28"/>
      <c r="I445" s="32" t="str">
        <f aca="false">IF(A445="","",_xlfn.TEXTJOIN(", ",TRUE(),IF(AND(E445&lt;&gt;"",B445&lt;&gt;"Previous CBS Talks spend"),"Amount only allowed for Previous CBS Talks spend",""),IF(AND(B445="Previous CBS Talks spend",E445=""),"Add the amount received",""),IF(AND(D445="",LEFT(B445,8)&lt;&gt;"Previous",B445&lt;&gt;"None found (checked)"),"Source URL needed","")))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9"/>
      <c r="F446" s="27"/>
      <c r="G446" s="27"/>
      <c r="H446" s="28"/>
      <c r="I446" s="32" t="str">
        <f aca="false">IF(A446="","",_xlfn.TEXTJOIN(", ",TRUE(),IF(AND(E446&lt;&gt;"",B446&lt;&gt;"Previous CBS Talks spend"),"Amount only allowed for Previous CBS Talks spend",""),IF(AND(B446="Previous CBS Talks spend",E446=""),"Add the amount received",""),IF(AND(D446="",LEFT(B446,8)&lt;&gt;"Previous",B446&lt;&gt;"None found (checked)"),"Source URL needed","")))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9"/>
      <c r="F447" s="27"/>
      <c r="G447" s="27"/>
      <c r="H447" s="28"/>
      <c r="I447" s="32" t="str">
        <f aca="false">IF(A447="","",_xlfn.TEXTJOIN(", ",TRUE(),IF(AND(E447&lt;&gt;"",B447&lt;&gt;"Previous CBS Talks spend"),"Amount only allowed for Previous CBS Talks spend",""),IF(AND(B447="Previous CBS Talks spend",E447=""),"Add the amount received",""),IF(AND(D447="",LEFT(B447,8)&lt;&gt;"Previous",B447&lt;&gt;"None found (checked)"),"Source URL needed","")))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9"/>
      <c r="F448" s="27"/>
      <c r="G448" s="27"/>
      <c r="H448" s="28"/>
      <c r="I448" s="32" t="str">
        <f aca="false">IF(A448="","",_xlfn.TEXTJOIN(", ",TRUE(),IF(AND(E448&lt;&gt;"",B448&lt;&gt;"Previous CBS Talks spend"),"Amount only allowed for Previous CBS Talks spend",""),IF(AND(B448="Previous CBS Talks spend",E448=""),"Add the amount received",""),IF(AND(D448="",LEFT(B448,8)&lt;&gt;"Previous",B448&lt;&gt;"None found (checked)"),"Source URL needed","")))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9"/>
      <c r="F449" s="27"/>
      <c r="G449" s="27"/>
      <c r="H449" s="28"/>
      <c r="I449" s="32" t="str">
        <f aca="false">IF(A449="","",_xlfn.TEXTJOIN(", ",TRUE(),IF(AND(E449&lt;&gt;"",B449&lt;&gt;"Previous CBS Talks spend"),"Amount only allowed for Previous CBS Talks spend",""),IF(AND(B449="Previous CBS Talks spend",E449=""),"Add the amount received",""),IF(AND(D449="",LEFT(B449,8)&lt;&gt;"Previous",B449&lt;&gt;"None found (checked)"),"Source URL needed","")))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9"/>
      <c r="F450" s="27"/>
      <c r="G450" s="27"/>
      <c r="H450" s="28"/>
      <c r="I450" s="32" t="str">
        <f aca="false">IF(A450="","",_xlfn.TEXTJOIN(", ",TRUE(),IF(AND(E450&lt;&gt;"",B450&lt;&gt;"Previous CBS Talks spend"),"Amount only allowed for Previous CBS Talks spend",""),IF(AND(B450="Previous CBS Talks spend",E450=""),"Add the amount received",""),IF(AND(D450="",LEFT(B450,8)&lt;&gt;"Previous",B450&lt;&gt;"None found (checked)"),"Source URL needed","")))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9"/>
      <c r="F451" s="27"/>
      <c r="G451" s="27"/>
      <c r="H451" s="28"/>
      <c r="I451" s="32" t="str">
        <f aca="false">IF(A451="","",_xlfn.TEXTJOIN(", ",TRUE(),IF(AND(E451&lt;&gt;"",B451&lt;&gt;"Previous CBS Talks spend"),"Amount only allowed for Previous CBS Talks spend",""),IF(AND(B451="Previous CBS Talks spend",E451=""),"Add the amount received",""),IF(AND(D451="",LEFT(B451,8)&lt;&gt;"Previous",B451&lt;&gt;"None found (checked)"),"Source URL needed","")))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9"/>
      <c r="F452" s="27"/>
      <c r="G452" s="27"/>
      <c r="H452" s="28"/>
      <c r="I452" s="32" t="str">
        <f aca="false">IF(A452="","",_xlfn.TEXTJOIN(", ",TRUE(),IF(AND(E452&lt;&gt;"",B452&lt;&gt;"Previous CBS Talks spend"),"Amount only allowed for Previous CBS Talks spend",""),IF(AND(B452="Previous CBS Talks spend",E452=""),"Add the amount received",""),IF(AND(D452="",LEFT(B452,8)&lt;&gt;"Previous",B452&lt;&gt;"None found (checked)"),"Source URL needed","")))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9"/>
      <c r="F453" s="27"/>
      <c r="G453" s="27"/>
      <c r="H453" s="28"/>
      <c r="I453" s="32" t="str">
        <f aca="false">IF(A453="","",_xlfn.TEXTJOIN(", ",TRUE(),IF(AND(E453&lt;&gt;"",B453&lt;&gt;"Previous CBS Talks spend"),"Amount only allowed for Previous CBS Talks spend",""),IF(AND(B453="Previous CBS Talks spend",E453=""),"Add the amount received",""),IF(AND(D453="",LEFT(B453,8)&lt;&gt;"Previous",B453&lt;&gt;"None found (checked)"),"Source URL needed","")))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9"/>
      <c r="F454" s="27"/>
      <c r="G454" s="27"/>
      <c r="H454" s="28"/>
      <c r="I454" s="32" t="str">
        <f aca="false">IF(A454="","",_xlfn.TEXTJOIN(", ",TRUE(),IF(AND(E454&lt;&gt;"",B454&lt;&gt;"Previous CBS Talks spend"),"Amount only allowed for Previous CBS Talks spend",""),IF(AND(B454="Previous CBS Talks spend",E454=""),"Add the amount received",""),IF(AND(D454="",LEFT(B454,8)&lt;&gt;"Previous",B454&lt;&gt;"None found (checked)"),"Source URL needed","")))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9"/>
      <c r="F455" s="27"/>
      <c r="G455" s="27"/>
      <c r="H455" s="28"/>
      <c r="I455" s="32" t="str">
        <f aca="false">IF(A455="","",_xlfn.TEXTJOIN(", ",TRUE(),IF(AND(E455&lt;&gt;"",B455&lt;&gt;"Previous CBS Talks spend"),"Amount only allowed for Previous CBS Talks spend",""),IF(AND(B455="Previous CBS Talks spend",E455=""),"Add the amount received",""),IF(AND(D455="",LEFT(B455,8)&lt;&gt;"Previous",B455&lt;&gt;"None found (checked)"),"Source URL needed","")))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9"/>
      <c r="F456" s="27"/>
      <c r="G456" s="27"/>
      <c r="H456" s="28"/>
      <c r="I456" s="32" t="str">
        <f aca="false">IF(A456="","",_xlfn.TEXTJOIN(", ",TRUE(),IF(AND(E456&lt;&gt;"",B456&lt;&gt;"Previous CBS Talks spend"),"Amount only allowed for Previous CBS Talks spend",""),IF(AND(B456="Previous CBS Talks spend",E456=""),"Add the amount received",""),IF(AND(D456="",LEFT(B456,8)&lt;&gt;"Previous",B456&lt;&gt;"None found (checked)"),"Source URL needed","")))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9"/>
      <c r="F457" s="27"/>
      <c r="G457" s="27"/>
      <c r="H457" s="28"/>
      <c r="I457" s="32" t="str">
        <f aca="false">IF(A457="","",_xlfn.TEXTJOIN(", ",TRUE(),IF(AND(E457&lt;&gt;"",B457&lt;&gt;"Previous CBS Talks spend"),"Amount only allowed for Previous CBS Talks spend",""),IF(AND(B457="Previous CBS Talks spend",E457=""),"Add the amount received",""),IF(AND(D457="",LEFT(B457,8)&lt;&gt;"Previous",B457&lt;&gt;"None found (checked)"),"Source URL needed","")))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9"/>
      <c r="F458" s="27"/>
      <c r="G458" s="27"/>
      <c r="H458" s="28"/>
      <c r="I458" s="32" t="str">
        <f aca="false">IF(A458="","",_xlfn.TEXTJOIN(", ",TRUE(),IF(AND(E458&lt;&gt;"",B458&lt;&gt;"Previous CBS Talks spend"),"Amount only allowed for Previous CBS Talks spend",""),IF(AND(B458="Previous CBS Talks spend",E458=""),"Add the amount received",""),IF(AND(D458="",LEFT(B458,8)&lt;&gt;"Previous",B458&lt;&gt;"None found (checked)"),"Source URL needed","")))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9"/>
      <c r="F459" s="27"/>
      <c r="G459" s="27"/>
      <c r="H459" s="28"/>
      <c r="I459" s="32" t="str">
        <f aca="false">IF(A459="","",_xlfn.TEXTJOIN(", ",TRUE(),IF(AND(E459&lt;&gt;"",B459&lt;&gt;"Previous CBS Talks spend"),"Amount only allowed for Previous CBS Talks spend",""),IF(AND(B459="Previous CBS Talks spend",E459=""),"Add the amount received",""),IF(AND(D459="",LEFT(B459,8)&lt;&gt;"Previous",B459&lt;&gt;"None found (checked)"),"Source URL needed","")))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9"/>
      <c r="F460" s="27"/>
      <c r="G460" s="27"/>
      <c r="H460" s="28"/>
      <c r="I460" s="32" t="str">
        <f aca="false">IF(A460="","",_xlfn.TEXTJOIN(", ",TRUE(),IF(AND(E460&lt;&gt;"",B460&lt;&gt;"Previous CBS Talks spend"),"Amount only allowed for Previous CBS Talks spend",""),IF(AND(B460="Previous CBS Talks spend",E460=""),"Add the amount received",""),IF(AND(D460="",LEFT(B460,8)&lt;&gt;"Previous",B460&lt;&gt;"None found (checked)"),"Source URL needed","")))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9"/>
      <c r="F461" s="27"/>
      <c r="G461" s="27"/>
      <c r="H461" s="28"/>
      <c r="I461" s="32" t="str">
        <f aca="false">IF(A461="","",_xlfn.TEXTJOIN(", ",TRUE(),IF(AND(E461&lt;&gt;"",B461&lt;&gt;"Previous CBS Talks spend"),"Amount only allowed for Previous CBS Talks spend",""),IF(AND(B461="Previous CBS Talks spend",E461=""),"Add the amount received",""),IF(AND(D461="",LEFT(B461,8)&lt;&gt;"Previous",B461&lt;&gt;"None found (checked)"),"Source URL needed","")))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9"/>
      <c r="F462" s="27"/>
      <c r="G462" s="27"/>
      <c r="H462" s="28"/>
      <c r="I462" s="32" t="str">
        <f aca="false">IF(A462="","",_xlfn.TEXTJOIN(", ",TRUE(),IF(AND(E462&lt;&gt;"",B462&lt;&gt;"Previous CBS Talks spend"),"Amount only allowed for Previous CBS Talks spend",""),IF(AND(B462="Previous CBS Talks spend",E462=""),"Add the amount received",""),IF(AND(D462="",LEFT(B462,8)&lt;&gt;"Previous",B462&lt;&gt;"None found (checked)"),"Source URL needed","")))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9"/>
      <c r="F463" s="27"/>
      <c r="G463" s="27"/>
      <c r="H463" s="28"/>
      <c r="I463" s="32" t="str">
        <f aca="false">IF(A463="","",_xlfn.TEXTJOIN(", ",TRUE(),IF(AND(E463&lt;&gt;"",B463&lt;&gt;"Previous CBS Talks spend"),"Amount only allowed for Previous CBS Talks spend",""),IF(AND(B463="Previous CBS Talks spend",E463=""),"Add the amount received",""),IF(AND(D463="",LEFT(B463,8)&lt;&gt;"Previous",B463&lt;&gt;"None found (checked)"),"Source URL needed","")))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9"/>
      <c r="F464" s="27"/>
      <c r="G464" s="27"/>
      <c r="H464" s="28"/>
      <c r="I464" s="32" t="str">
        <f aca="false">IF(A464="","",_xlfn.TEXTJOIN(", ",TRUE(),IF(AND(E464&lt;&gt;"",B464&lt;&gt;"Previous CBS Talks spend"),"Amount only allowed for Previous CBS Talks spend",""),IF(AND(B464="Previous CBS Talks spend",E464=""),"Add the amount received",""),IF(AND(D464="",LEFT(B464,8)&lt;&gt;"Previous",B464&lt;&gt;"None found (checked)"),"Source URL needed","")))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9"/>
      <c r="F465" s="27"/>
      <c r="G465" s="27"/>
      <c r="H465" s="28"/>
      <c r="I465" s="32" t="str">
        <f aca="false">IF(A465="","",_xlfn.TEXTJOIN(", ",TRUE(),IF(AND(E465&lt;&gt;"",B465&lt;&gt;"Previous CBS Talks spend"),"Amount only allowed for Previous CBS Talks spend",""),IF(AND(B465="Previous CBS Talks spend",E465=""),"Add the amount received",""),IF(AND(D465="",LEFT(B465,8)&lt;&gt;"Previous",B465&lt;&gt;"None found (checked)"),"Source URL needed","")))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9"/>
      <c r="F466" s="27"/>
      <c r="G466" s="27"/>
      <c r="H466" s="28"/>
      <c r="I466" s="32" t="str">
        <f aca="false">IF(A466="","",_xlfn.TEXTJOIN(", ",TRUE(),IF(AND(E466&lt;&gt;"",B466&lt;&gt;"Previous CBS Talks spend"),"Amount only allowed for Previous CBS Talks spend",""),IF(AND(B466="Previous CBS Talks spend",E466=""),"Add the amount received",""),IF(AND(D466="",LEFT(B466,8)&lt;&gt;"Previous",B466&lt;&gt;"None found (checked)"),"Source URL needed","")))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9"/>
      <c r="F467" s="27"/>
      <c r="G467" s="27"/>
      <c r="H467" s="28"/>
      <c r="I467" s="32" t="str">
        <f aca="false">IF(A467="","",_xlfn.TEXTJOIN(", ",TRUE(),IF(AND(E467&lt;&gt;"",B467&lt;&gt;"Previous CBS Talks spend"),"Amount only allowed for Previous CBS Talks spend",""),IF(AND(B467="Previous CBS Talks spend",E467=""),"Add the amount received",""),IF(AND(D467="",LEFT(B467,8)&lt;&gt;"Previous",B467&lt;&gt;"None found (checked)"),"Source URL needed","")))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9"/>
      <c r="F468" s="27"/>
      <c r="G468" s="27"/>
      <c r="H468" s="28"/>
      <c r="I468" s="32" t="str">
        <f aca="false">IF(A468="","",_xlfn.TEXTJOIN(", ",TRUE(),IF(AND(E468&lt;&gt;"",B468&lt;&gt;"Previous CBS Talks spend"),"Amount only allowed for Previous CBS Talks spend",""),IF(AND(B468="Previous CBS Talks spend",E468=""),"Add the amount received",""),IF(AND(D468="",LEFT(B468,8)&lt;&gt;"Previous",B468&lt;&gt;"None found (checked)"),"Source URL needed","")))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9"/>
      <c r="F469" s="27"/>
      <c r="G469" s="27"/>
      <c r="H469" s="28"/>
      <c r="I469" s="32" t="str">
        <f aca="false">IF(A469="","",_xlfn.TEXTJOIN(", ",TRUE(),IF(AND(E469&lt;&gt;"",B469&lt;&gt;"Previous CBS Talks spend"),"Amount only allowed for Previous CBS Talks spend",""),IF(AND(B469="Previous CBS Talks spend",E469=""),"Add the amount received",""),IF(AND(D469="",LEFT(B469,8)&lt;&gt;"Previous",B469&lt;&gt;"None found (checked)"),"Source URL needed","")))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9"/>
      <c r="F470" s="27"/>
      <c r="G470" s="27"/>
      <c r="H470" s="28"/>
      <c r="I470" s="32" t="str">
        <f aca="false">IF(A470="","",_xlfn.TEXTJOIN(", ",TRUE(),IF(AND(E470&lt;&gt;"",B470&lt;&gt;"Previous CBS Talks spend"),"Amount only allowed for Previous CBS Talks spend",""),IF(AND(B470="Previous CBS Talks spend",E470=""),"Add the amount received",""),IF(AND(D470="",LEFT(B470,8)&lt;&gt;"Previous",B470&lt;&gt;"None found (checked)"),"Source URL needed","")))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9"/>
      <c r="F471" s="27"/>
      <c r="G471" s="27"/>
      <c r="H471" s="28"/>
      <c r="I471" s="32" t="str">
        <f aca="false">IF(A471="","",_xlfn.TEXTJOIN(", ",TRUE(),IF(AND(E471&lt;&gt;"",B471&lt;&gt;"Previous CBS Talks spend"),"Amount only allowed for Previous CBS Talks spend",""),IF(AND(B471="Previous CBS Talks spend",E471=""),"Add the amount received",""),IF(AND(D471="",LEFT(B471,8)&lt;&gt;"Previous",B471&lt;&gt;"None found (checked)"),"Source URL needed","")))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9"/>
      <c r="F472" s="27"/>
      <c r="G472" s="27"/>
      <c r="H472" s="28"/>
      <c r="I472" s="32" t="str">
        <f aca="false">IF(A472="","",_xlfn.TEXTJOIN(", ",TRUE(),IF(AND(E472&lt;&gt;"",B472&lt;&gt;"Previous CBS Talks spend"),"Amount only allowed for Previous CBS Talks spend",""),IF(AND(B472="Previous CBS Talks spend",E472=""),"Add the amount received",""),IF(AND(D472="",LEFT(B472,8)&lt;&gt;"Previous",B472&lt;&gt;"None found (checked)"),"Source URL needed","")))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9"/>
      <c r="F473" s="27"/>
      <c r="G473" s="27"/>
      <c r="H473" s="28"/>
      <c r="I473" s="32" t="str">
        <f aca="false">IF(A473="","",_xlfn.TEXTJOIN(", ",TRUE(),IF(AND(E473&lt;&gt;"",B473&lt;&gt;"Previous CBS Talks spend"),"Amount only allowed for Previous CBS Talks spend",""),IF(AND(B473="Previous CBS Talks spend",E473=""),"Add the amount received",""),IF(AND(D473="",LEFT(B473,8)&lt;&gt;"Previous",B473&lt;&gt;"None found (checked)"),"Source URL needed","")))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9"/>
      <c r="F474" s="27"/>
      <c r="G474" s="27"/>
      <c r="H474" s="28"/>
      <c r="I474" s="32" t="str">
        <f aca="false">IF(A474="","",_xlfn.TEXTJOIN(", ",TRUE(),IF(AND(E474&lt;&gt;"",B474&lt;&gt;"Previous CBS Talks spend"),"Amount only allowed for Previous CBS Talks spend",""),IF(AND(B474="Previous CBS Talks spend",E474=""),"Add the amount received",""),IF(AND(D474="",LEFT(B474,8)&lt;&gt;"Previous",B474&lt;&gt;"None found (checked)"),"Source URL needed","")))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9"/>
      <c r="F475" s="27"/>
      <c r="G475" s="27"/>
      <c r="H475" s="28"/>
      <c r="I475" s="32" t="str">
        <f aca="false">IF(A475="","",_xlfn.TEXTJOIN(", ",TRUE(),IF(AND(E475&lt;&gt;"",B475&lt;&gt;"Previous CBS Talks spend"),"Amount only allowed for Previous CBS Talks spend",""),IF(AND(B475="Previous CBS Talks spend",E475=""),"Add the amount received",""),IF(AND(D475="",LEFT(B475,8)&lt;&gt;"Previous",B475&lt;&gt;"None found (checked)"),"Source URL needed","")))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9"/>
      <c r="F476" s="27"/>
      <c r="G476" s="27"/>
      <c r="H476" s="28"/>
      <c r="I476" s="32" t="str">
        <f aca="false">IF(A476="","",_xlfn.TEXTJOIN(", ",TRUE(),IF(AND(E476&lt;&gt;"",B476&lt;&gt;"Previous CBS Talks spend"),"Amount only allowed for Previous CBS Talks spend",""),IF(AND(B476="Previous CBS Talks spend",E476=""),"Add the amount received",""),IF(AND(D476="",LEFT(B476,8)&lt;&gt;"Previous",B476&lt;&gt;"None found (checked)"),"Source URL needed","")))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9"/>
      <c r="F477" s="27"/>
      <c r="G477" s="27"/>
      <c r="H477" s="28"/>
      <c r="I477" s="32" t="str">
        <f aca="false">IF(A477="","",_xlfn.TEXTJOIN(", ",TRUE(),IF(AND(E477&lt;&gt;"",B477&lt;&gt;"Previous CBS Talks spend"),"Amount only allowed for Previous CBS Talks spend",""),IF(AND(B477="Previous CBS Talks spend",E477=""),"Add the amount received",""),IF(AND(D477="",LEFT(B477,8)&lt;&gt;"Previous",B477&lt;&gt;"None found (checked)"),"Source URL needed","")))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9"/>
      <c r="F478" s="27"/>
      <c r="G478" s="27"/>
      <c r="H478" s="28"/>
      <c r="I478" s="32" t="str">
        <f aca="false">IF(A478="","",_xlfn.TEXTJOIN(", ",TRUE(),IF(AND(E478&lt;&gt;"",B478&lt;&gt;"Previous CBS Talks spend"),"Amount only allowed for Previous CBS Talks spend",""),IF(AND(B478="Previous CBS Talks spend",E478=""),"Add the amount received",""),IF(AND(D478="",LEFT(B478,8)&lt;&gt;"Previous",B478&lt;&gt;"None found (checked)"),"Source URL needed","")))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9"/>
      <c r="F479" s="27"/>
      <c r="G479" s="27"/>
      <c r="H479" s="28"/>
      <c r="I479" s="32" t="str">
        <f aca="false">IF(A479="","",_xlfn.TEXTJOIN(", ",TRUE(),IF(AND(E479&lt;&gt;"",B479&lt;&gt;"Previous CBS Talks spend"),"Amount only allowed for Previous CBS Talks spend",""),IF(AND(B479="Previous CBS Talks spend",E479=""),"Add the amount received",""),IF(AND(D479="",LEFT(B479,8)&lt;&gt;"Previous",B479&lt;&gt;"None found (checked)"),"Source URL needed","")))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9"/>
      <c r="F480" s="27"/>
      <c r="G480" s="27"/>
      <c r="H480" s="28"/>
      <c r="I480" s="32" t="str">
        <f aca="false">IF(A480="","",_xlfn.TEXTJOIN(", ",TRUE(),IF(AND(E480&lt;&gt;"",B480&lt;&gt;"Previous CBS Talks spend"),"Amount only allowed for Previous CBS Talks spend",""),IF(AND(B480="Previous CBS Talks spend",E480=""),"Add the amount received",""),IF(AND(D480="",LEFT(B480,8)&lt;&gt;"Previous",B480&lt;&gt;"None found (checked)"),"Source URL needed","")))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9"/>
      <c r="F481" s="27"/>
      <c r="G481" s="27"/>
      <c r="H481" s="28"/>
      <c r="I481" s="32" t="str">
        <f aca="false">IF(A481="","",_xlfn.TEXTJOIN(", ",TRUE(),IF(AND(E481&lt;&gt;"",B481&lt;&gt;"Previous CBS Talks spend"),"Amount only allowed for Previous CBS Talks spend",""),IF(AND(B481="Previous CBS Talks spend",E481=""),"Add the amount received",""),IF(AND(D481="",LEFT(B481,8)&lt;&gt;"Previous",B481&lt;&gt;"None found (checked)"),"Source URL needed","")))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9"/>
      <c r="F482" s="27"/>
      <c r="G482" s="27"/>
      <c r="H482" s="28"/>
      <c r="I482" s="32" t="str">
        <f aca="false">IF(A482="","",_xlfn.TEXTJOIN(", ",TRUE(),IF(AND(E482&lt;&gt;"",B482&lt;&gt;"Previous CBS Talks spend"),"Amount only allowed for Previous CBS Talks spend",""),IF(AND(B482="Previous CBS Talks spend",E482=""),"Add the amount received",""),IF(AND(D482="",LEFT(B482,8)&lt;&gt;"Previous",B482&lt;&gt;"None found (checked)"),"Source URL needed","")))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9"/>
      <c r="F483" s="27"/>
      <c r="G483" s="27"/>
      <c r="H483" s="28"/>
      <c r="I483" s="32" t="str">
        <f aca="false">IF(A483="","",_xlfn.TEXTJOIN(", ",TRUE(),IF(AND(E483&lt;&gt;"",B483&lt;&gt;"Previous CBS Talks spend"),"Amount only allowed for Previous CBS Talks spend",""),IF(AND(B483="Previous CBS Talks spend",E483=""),"Add the amount received",""),IF(AND(D483="",LEFT(B483,8)&lt;&gt;"Previous",B483&lt;&gt;"None found (checked)"),"Source URL needed","")))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9"/>
      <c r="F484" s="27"/>
      <c r="G484" s="27"/>
      <c r="H484" s="28"/>
      <c r="I484" s="32" t="str">
        <f aca="false">IF(A484="","",_xlfn.TEXTJOIN(", ",TRUE(),IF(AND(E484&lt;&gt;"",B484&lt;&gt;"Previous CBS Talks spend"),"Amount only allowed for Previous CBS Talks spend",""),IF(AND(B484="Previous CBS Talks spend",E484=""),"Add the amount received",""),IF(AND(D484="",LEFT(B484,8)&lt;&gt;"Previous",B484&lt;&gt;"None found (checked)"),"Source URL needed","")))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9"/>
      <c r="F485" s="27"/>
      <c r="G485" s="27"/>
      <c r="H485" s="28"/>
      <c r="I485" s="32" t="str">
        <f aca="false">IF(A485="","",_xlfn.TEXTJOIN(", ",TRUE(),IF(AND(E485&lt;&gt;"",B485&lt;&gt;"Previous CBS Talks spend"),"Amount only allowed for Previous CBS Talks spend",""),IF(AND(B485="Previous CBS Talks spend",E485=""),"Add the amount received",""),IF(AND(D485="",LEFT(B485,8)&lt;&gt;"Previous",B485&lt;&gt;"None found (checked)"),"Source URL needed","")))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9"/>
      <c r="F486" s="27"/>
      <c r="G486" s="27"/>
      <c r="H486" s="28"/>
      <c r="I486" s="32" t="str">
        <f aca="false">IF(A486="","",_xlfn.TEXTJOIN(", ",TRUE(),IF(AND(E486&lt;&gt;"",B486&lt;&gt;"Previous CBS Talks spend"),"Amount only allowed for Previous CBS Talks spend",""),IF(AND(B486="Previous CBS Talks spend",E486=""),"Add the amount received",""),IF(AND(D486="",LEFT(B486,8)&lt;&gt;"Previous",B486&lt;&gt;"None found (checked)"),"Source URL needed","")))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9"/>
      <c r="F487" s="27"/>
      <c r="G487" s="27"/>
      <c r="H487" s="28"/>
      <c r="I487" s="32" t="str">
        <f aca="false">IF(A487="","",_xlfn.TEXTJOIN(", ",TRUE(),IF(AND(E487&lt;&gt;"",B487&lt;&gt;"Previous CBS Talks spend"),"Amount only allowed for Previous CBS Talks spend",""),IF(AND(B487="Previous CBS Talks spend",E487=""),"Add the amount received",""),IF(AND(D487="",LEFT(B487,8)&lt;&gt;"Previous",B487&lt;&gt;"None found (checked)"),"Source URL needed","")))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9"/>
      <c r="F488" s="27"/>
      <c r="G488" s="27"/>
      <c r="H488" s="28"/>
      <c r="I488" s="32" t="str">
        <f aca="false">IF(A488="","",_xlfn.TEXTJOIN(", ",TRUE(),IF(AND(E488&lt;&gt;"",B488&lt;&gt;"Previous CBS Talks spend"),"Amount only allowed for Previous CBS Talks spend",""),IF(AND(B488="Previous CBS Talks spend",E488=""),"Add the amount received",""),IF(AND(D488="",LEFT(B488,8)&lt;&gt;"Previous",B488&lt;&gt;"None found (checked)"),"Source URL needed","")))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9"/>
      <c r="F489" s="27"/>
      <c r="G489" s="27"/>
      <c r="H489" s="28"/>
      <c r="I489" s="32" t="str">
        <f aca="false">IF(A489="","",_xlfn.TEXTJOIN(", ",TRUE(),IF(AND(E489&lt;&gt;"",B489&lt;&gt;"Previous CBS Talks spend"),"Amount only allowed for Previous CBS Talks spend",""),IF(AND(B489="Previous CBS Talks spend",E489=""),"Add the amount received",""),IF(AND(D489="",LEFT(B489,8)&lt;&gt;"Previous",B489&lt;&gt;"None found (checked)"),"Source URL needed","")))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9"/>
      <c r="F490" s="27"/>
      <c r="G490" s="27"/>
      <c r="H490" s="28"/>
      <c r="I490" s="32" t="str">
        <f aca="false">IF(A490="","",_xlfn.TEXTJOIN(", ",TRUE(),IF(AND(E490&lt;&gt;"",B490&lt;&gt;"Previous CBS Talks spend"),"Amount only allowed for Previous CBS Talks spend",""),IF(AND(B490="Previous CBS Talks spend",E490=""),"Add the amount received",""),IF(AND(D490="",LEFT(B490,8)&lt;&gt;"Previous",B490&lt;&gt;"None found (checked)"),"Source URL needed","")))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9"/>
      <c r="F491" s="27"/>
      <c r="G491" s="27"/>
      <c r="H491" s="28"/>
      <c r="I491" s="32" t="str">
        <f aca="false">IF(A491="","",_xlfn.TEXTJOIN(", ",TRUE(),IF(AND(E491&lt;&gt;"",B491&lt;&gt;"Previous CBS Talks spend"),"Amount only allowed for Previous CBS Talks spend",""),IF(AND(B491="Previous CBS Talks spend",E491=""),"Add the amount received",""),IF(AND(D491="",LEFT(B491,8)&lt;&gt;"Previous",B491&lt;&gt;"None found (checked)"),"Source URL needed","")))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9"/>
      <c r="F492" s="27"/>
      <c r="G492" s="27"/>
      <c r="H492" s="28"/>
      <c r="I492" s="32" t="str">
        <f aca="false">IF(A492="","",_xlfn.TEXTJOIN(", ",TRUE(),IF(AND(E492&lt;&gt;"",B492&lt;&gt;"Previous CBS Talks spend"),"Amount only allowed for Previous CBS Talks spend",""),IF(AND(B492="Previous CBS Talks spend",E492=""),"Add the amount received",""),IF(AND(D492="",LEFT(B492,8)&lt;&gt;"Previous",B492&lt;&gt;"None found (checked)"),"Source URL needed","")))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9"/>
      <c r="F493" s="27"/>
      <c r="G493" s="27"/>
      <c r="H493" s="28"/>
      <c r="I493" s="32" t="str">
        <f aca="false">IF(A493="","",_xlfn.TEXTJOIN(", ",TRUE(),IF(AND(E493&lt;&gt;"",B493&lt;&gt;"Previous CBS Talks spend"),"Amount only allowed for Previous CBS Talks spend",""),IF(AND(B493="Previous CBS Talks spend",E493=""),"Add the amount received",""),IF(AND(D493="",LEFT(B493,8)&lt;&gt;"Previous",B493&lt;&gt;"None found (checked)"),"Source URL needed","")))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9"/>
      <c r="F494" s="27"/>
      <c r="G494" s="27"/>
      <c r="H494" s="28"/>
      <c r="I494" s="32" t="str">
        <f aca="false">IF(A494="","",_xlfn.TEXTJOIN(", ",TRUE(),IF(AND(E494&lt;&gt;"",B494&lt;&gt;"Previous CBS Talks spend"),"Amount only allowed for Previous CBS Talks spend",""),IF(AND(B494="Previous CBS Talks spend",E494=""),"Add the amount received",""),IF(AND(D494="",LEFT(B494,8)&lt;&gt;"Previous",B494&lt;&gt;"None found (checked)"),"Source URL needed","")))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9"/>
      <c r="F495" s="27"/>
      <c r="G495" s="27"/>
      <c r="H495" s="28"/>
      <c r="I495" s="32" t="str">
        <f aca="false">IF(A495="","",_xlfn.TEXTJOIN(", ",TRUE(),IF(AND(E495&lt;&gt;"",B495&lt;&gt;"Previous CBS Talks spend"),"Amount only allowed for Previous CBS Talks spend",""),IF(AND(B495="Previous CBS Talks spend",E495=""),"Add the amount received",""),IF(AND(D495="",LEFT(B495,8)&lt;&gt;"Previous",B495&lt;&gt;"None found (checked)"),"Source URL needed","")))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9"/>
      <c r="F496" s="27"/>
      <c r="G496" s="27"/>
      <c r="H496" s="28"/>
      <c r="I496" s="32" t="str">
        <f aca="false">IF(A496="","",_xlfn.TEXTJOIN(", ",TRUE(),IF(AND(E496&lt;&gt;"",B496&lt;&gt;"Previous CBS Talks spend"),"Amount only allowed for Previous CBS Talks spend",""),IF(AND(B496="Previous CBS Talks spend",E496=""),"Add the amount received",""),IF(AND(D496="",LEFT(B496,8)&lt;&gt;"Previous",B496&lt;&gt;"None found (checked)"),"Source URL needed","")))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9"/>
      <c r="F497" s="27"/>
      <c r="G497" s="27"/>
      <c r="H497" s="28"/>
      <c r="I497" s="32" t="str">
        <f aca="false">IF(A497="","",_xlfn.TEXTJOIN(", ",TRUE(),IF(AND(E497&lt;&gt;"",B497&lt;&gt;"Previous CBS Talks spend"),"Amount only allowed for Previous CBS Talks spend",""),IF(AND(B497="Previous CBS Talks spend",E497=""),"Add the amount received",""),IF(AND(D497="",LEFT(B497,8)&lt;&gt;"Previous",B497&lt;&gt;"None found (checked)"),"Source URL needed","")))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9"/>
      <c r="F498" s="27"/>
      <c r="G498" s="27"/>
      <c r="H498" s="28"/>
      <c r="I498" s="32" t="str">
        <f aca="false">IF(A498="","",_xlfn.TEXTJOIN(", ",TRUE(),IF(AND(E498&lt;&gt;"",B498&lt;&gt;"Previous CBS Talks spend"),"Amount only allowed for Previous CBS Talks spend",""),IF(AND(B498="Previous CBS Talks spend",E498=""),"Add the amount received",""),IF(AND(D498="",LEFT(B498,8)&lt;&gt;"Previous",B498&lt;&gt;"None found (checked)"),"Source URL needed","")))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9"/>
      <c r="F499" s="27"/>
      <c r="G499" s="27"/>
      <c r="H499" s="28"/>
      <c r="I499" s="32" t="str">
        <f aca="false">IF(A499="","",_xlfn.TEXTJOIN(", ",TRUE(),IF(AND(E499&lt;&gt;"",B499&lt;&gt;"Previous CBS Talks spend"),"Amount only allowed for Previous CBS Talks spend",""),IF(AND(B499="Previous CBS Talks spend",E499=""),"Add the amount received",""),IF(AND(D499="",LEFT(B499,8)&lt;&gt;"Previous",B499&lt;&gt;"None found (checked)"),"Source URL needed","")))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9"/>
      <c r="F500" s="27"/>
      <c r="G500" s="27"/>
      <c r="H500" s="28"/>
      <c r="I500" s="32" t="str">
        <f aca="false">IF(A500="","",_xlfn.TEXTJOIN(", ",TRUE(),IF(AND(E500&lt;&gt;"",B500&lt;&gt;"Previous CBS Talks spend"),"Amount only allowed for Previous CBS Talks spend",""),IF(AND(B500="Previous CBS Talks spend",E500=""),"Add the amount received",""),IF(AND(D500="",LEFT(B500,8)&lt;&gt;"Previous",B500&lt;&gt;"None found (checked)"),"Source URL needed","")))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9"/>
      <c r="F501" s="27"/>
      <c r="G501" s="27"/>
      <c r="H501" s="28"/>
      <c r="I501" s="32" t="str">
        <f aca="false">IF(A501="","",_xlfn.TEXTJOIN(", ",TRUE(),IF(AND(E501&lt;&gt;"",B501&lt;&gt;"Previous CBS Talks spend"),"Amount only allowed for Previous CBS Talks spend",""),IF(AND(B501="Previous CBS Talks spend",E501=""),"Add the amount received",""),IF(AND(D501="",LEFT(B501,8)&lt;&gt;"Previous",B501&lt;&gt;"None found (checked)"),"Source URL needed","")))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9"/>
      <c r="F502" s="27"/>
      <c r="G502" s="27"/>
      <c r="H502" s="28"/>
      <c r="I502" s="32" t="str">
        <f aca="false">IF(A502="","",_xlfn.TEXTJOIN(", ",TRUE(),IF(AND(E502&lt;&gt;"",B502&lt;&gt;"Previous CBS Talks spend"),"Amount only allowed for Previous CBS Talks spend",""),IF(AND(B502="Previous CBS Talks spend",E502=""),"Add the amount received",""),IF(AND(D502="",LEFT(B502,8)&lt;&gt;"Previous",B502&lt;&gt;"None found (checked)"),"Source URL needed","")))</f>
        <v/>
      </c>
    </row>
  </sheetData>
  <mergeCells count="1">
    <mergeCell ref="A1:I1"/>
  </mergeCells>
  <dataValidations count="3">
    <dataValidation allowBlank="true" error="Choose a value from the list." errorStyle="stop" errorTitle="Not in the list" operator="between" showDropDown="false" showErrorMessage="false" showInputMessage="false" sqref="A3:A502" type="list">
      <formula1>R_Company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B3:B502" type="list">
      <formula1>L_EvidenceType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G3:G502" type="list">
      <formula1>R_TeamName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N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28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3" min="11" style="0" width="9"/>
    <col collapsed="false" customWidth="true" hidden="false" outlineLevel="0" max="14" min="14" style="0" width="26"/>
  </cols>
  <sheetData>
    <row r="1" customFormat="false" ht="30" hidden="false" customHeight="true" outlineLevel="0" collapsed="false">
      <c r="A1" s="25" t="s">
        <v>272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8"/>
      <c r="N1" s="8"/>
    </row>
    <row r="2" customFormat="false" ht="31.5" hidden="false" customHeight="true" outlineLevel="0" collapsed="false">
      <c r="A2" s="26" t="s">
        <v>26</v>
      </c>
      <c r="B2" s="26" t="s">
        <v>118</v>
      </c>
      <c r="C2" s="26" t="s">
        <v>273</v>
      </c>
      <c r="D2" s="26" t="s">
        <v>274</v>
      </c>
      <c r="E2" s="26" t="s">
        <v>275</v>
      </c>
      <c r="F2" s="26" t="s">
        <v>276</v>
      </c>
      <c r="G2" s="26" t="s">
        <v>277</v>
      </c>
      <c r="H2" s="26" t="s">
        <v>278</v>
      </c>
      <c r="I2" s="26" t="s">
        <v>279</v>
      </c>
      <c r="J2" s="26" t="s">
        <v>280</v>
      </c>
      <c r="K2" s="26" t="s">
        <v>281</v>
      </c>
      <c r="L2" s="26" t="s">
        <v>184</v>
      </c>
      <c r="M2" s="31" t="s">
        <v>282</v>
      </c>
      <c r="N2" s="31" t="s">
        <v>257</v>
      </c>
    </row>
    <row r="3" customFormat="false" ht="15" hidden="false" customHeight="false" outlineLevel="0" collapsed="false">
      <c r="A3" s="27" t="s">
        <v>159</v>
      </c>
      <c r="B3" s="27" t="s">
        <v>283</v>
      </c>
      <c r="C3" s="27" t="s">
        <v>284</v>
      </c>
      <c r="D3" s="27" t="s">
        <v>285</v>
      </c>
      <c r="E3" s="27" t="s">
        <v>286</v>
      </c>
      <c r="F3" s="27" t="s">
        <v>126</v>
      </c>
      <c r="G3" s="27"/>
      <c r="H3" s="27"/>
      <c r="I3" s="27" t="s">
        <v>287</v>
      </c>
      <c r="J3" s="28" t="n">
        <f aca="true">TODAY()-20</f>
        <v>46287</v>
      </c>
      <c r="K3" s="27" t="s">
        <v>132</v>
      </c>
      <c r="L3" s="27" t="s">
        <v>132</v>
      </c>
      <c r="M3" s="32" t="str">
        <f aca="false">IF(B3="","",IFERROR(INDEX(L_RoleOK,MATCH(D3,L_RoleName,0)),"No"))</f>
        <v>Yes</v>
      </c>
      <c r="N3" s="32" t="str">
        <f aca="false">IF(B3="","",_xlfn.TEXTJOIN(", ",TRUE(),IF(COUNTIF($B$3:$B$502,B3)&gt;1,"Duplicate name",""),IF(I3="","Source missing",""),IF(OR(J3="",J3&lt;S_Today-S_RecheckDays),"Re-check still in role","")))</f>
        <v/>
      </c>
    </row>
    <row r="4" customFormat="false" ht="15" hidden="false" customHeight="false" outlineLevel="0" collapsed="false">
      <c r="A4" s="27" t="s">
        <v>203</v>
      </c>
      <c r="B4" s="27" t="s">
        <v>288</v>
      </c>
      <c r="C4" s="27" t="s">
        <v>289</v>
      </c>
      <c r="D4" s="27" t="s">
        <v>290</v>
      </c>
      <c r="E4" s="27" t="s">
        <v>291</v>
      </c>
      <c r="F4" s="27" t="s">
        <v>292</v>
      </c>
      <c r="G4" s="27"/>
      <c r="H4" s="27"/>
      <c r="I4" s="27" t="s">
        <v>293</v>
      </c>
      <c r="J4" s="28" t="n">
        <f aca="true">TODAY()-30</f>
        <v>46277</v>
      </c>
      <c r="K4" s="27" t="s">
        <v>132</v>
      </c>
      <c r="L4" s="27" t="s">
        <v>132</v>
      </c>
      <c r="M4" s="32" t="str">
        <f aca="false">IF(B4="","",IFERROR(INDEX(L_RoleOK,MATCH(D4,L_RoleName,0)),"No"))</f>
        <v>Yes</v>
      </c>
      <c r="N4" s="32" t="str">
        <f aca="false">IF(B4="","",_xlfn.TEXTJOIN(", ",TRUE(),IF(COUNTIF($B$3:$B$502,B4)&gt;1,"Duplicate name",""),IF(I4="","Source missing",""),IF(OR(J4="",J4&lt;S_Today-S_RecheckDays),"Re-check still in role","")))</f>
        <v/>
      </c>
    </row>
    <row r="5" customFormat="false" ht="15" hidden="false" customHeight="false" outlineLevel="0" collapsed="false">
      <c r="A5" s="27" t="s">
        <v>222</v>
      </c>
      <c r="B5" s="27" t="s">
        <v>294</v>
      </c>
      <c r="C5" s="27" t="s">
        <v>295</v>
      </c>
      <c r="D5" s="27" t="s">
        <v>296</v>
      </c>
      <c r="E5" s="27" t="s">
        <v>286</v>
      </c>
      <c r="F5" s="27" t="s">
        <v>132</v>
      </c>
      <c r="G5" s="27"/>
      <c r="H5" s="27"/>
      <c r="I5" s="27" t="s">
        <v>297</v>
      </c>
      <c r="J5" s="28" t="n">
        <f aca="true">TODAY()-10</f>
        <v>46297</v>
      </c>
      <c r="K5" s="27" t="s">
        <v>132</v>
      </c>
      <c r="L5" s="27" t="s">
        <v>132</v>
      </c>
      <c r="M5" s="32" t="str">
        <f aca="false">IF(B5="","",IFERROR(INDEX(L_RoleOK,MATCH(D5,L_RoleName,0)),"No"))</f>
        <v>Yes</v>
      </c>
      <c r="N5" s="32" t="str">
        <f aca="false">IF(B5="","",_xlfn.TEXTJOIN(", ",TRUE(),IF(COUNTIF($B$3:$B$502,B5)&gt;1,"Duplicate name",""),IF(I5="","Source missing",""),IF(OR(J5="",J5&lt;S_Today-S_RecheckDays),"Re-check still in role","")))</f>
        <v/>
      </c>
    </row>
    <row r="6" customFormat="false" ht="15" hidden="false" customHeight="false" outlineLevel="0" collapsed="false">
      <c r="A6" s="27" t="s">
        <v>231</v>
      </c>
      <c r="B6" s="27" t="s">
        <v>298</v>
      </c>
      <c r="C6" s="27" t="s">
        <v>299</v>
      </c>
      <c r="D6" s="27" t="s">
        <v>300</v>
      </c>
      <c r="E6" s="27" t="s">
        <v>291</v>
      </c>
      <c r="F6" s="27" t="s">
        <v>292</v>
      </c>
      <c r="G6" s="27"/>
      <c r="H6" s="27"/>
      <c r="I6" s="27" t="s">
        <v>301</v>
      </c>
      <c r="J6" s="28" t="n">
        <f aca="true">TODAY()-200</f>
        <v>46107</v>
      </c>
      <c r="K6" s="27" t="s">
        <v>132</v>
      </c>
      <c r="L6" s="27" t="s">
        <v>132</v>
      </c>
      <c r="M6" s="32" t="str">
        <f aca="false">IF(B6="","",IFERROR(INDEX(L_RoleOK,MATCH(D6,L_RoleName,0)),"No"))</f>
        <v>Yes</v>
      </c>
      <c r="N6" s="32" t="str">
        <f aca="false">IF(B6="","",_xlfn.TEXTJOIN(", ",TRUE(),IF(COUNTIF($B$3:$B$502,B6)&gt;1,"Duplicate name",""),IF(I6="","Source missing",""),IF(OR(J6="",J6&lt;S_Today-S_RecheckDays),"Re-check still in role","")))</f>
        <v>Re-check still in role</v>
      </c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7"/>
      <c r="J7" s="28"/>
      <c r="K7" s="27"/>
      <c r="L7" s="27"/>
      <c r="M7" s="32" t="str">
        <f aca="false">IF(B7="","",IFERROR(INDEX(L_RoleOK,MATCH(D7,L_RoleName,0)),"No"))</f>
        <v/>
      </c>
      <c r="N7" s="32" t="str">
        <f aca="false">IF(B7="","",_xlfn.TEXTJOIN(", ",TRUE(),IF(COUNTIF($B$3:$B$502,B7)&gt;1,"Duplicate name",""),IF(I7="","Source missing",""),IF(OR(J7="",J7&lt;S_Today-S_RecheckDays),"Re-check still in role","")))</f>
        <v/>
      </c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8"/>
      <c r="K8" s="27"/>
      <c r="L8" s="27"/>
      <c r="M8" s="32" t="str">
        <f aca="false">IF(B8="","",IFERROR(INDEX(L_RoleOK,MATCH(D8,L_RoleName,0)),"No"))</f>
        <v/>
      </c>
      <c r="N8" s="32" t="str">
        <f aca="false">IF(B8="","",_xlfn.TEXTJOIN(", ",TRUE(),IF(COUNTIF($B$3:$B$502,B8)&gt;1,"Duplicate name",""),IF(I8="","Source missing",""),IF(OR(J8="",J8&lt;S_Today-S_RecheckDays),"Re-check still in role","")))</f>
        <v/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28"/>
      <c r="K9" s="27"/>
      <c r="L9" s="27"/>
      <c r="M9" s="32" t="str">
        <f aca="false">IF(B9="","",IFERROR(INDEX(L_RoleOK,MATCH(D9,L_RoleName,0)),"No"))</f>
        <v/>
      </c>
      <c r="N9" s="32" t="str">
        <f aca="false">IF(B9="","",_xlfn.TEXTJOIN(", ",TRUE(),IF(COUNTIF($B$3:$B$502,B9)&gt;1,"Duplicate name",""),IF(I9="","Source missing",""),IF(OR(J9="",J9&lt;S_Today-S_RecheckDays),"Re-check still in role","")))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28"/>
      <c r="K10" s="27"/>
      <c r="L10" s="27"/>
      <c r="M10" s="32" t="str">
        <f aca="false">IF(B10="","",IFERROR(INDEX(L_RoleOK,MATCH(D10,L_RoleName,0)),"No"))</f>
        <v/>
      </c>
      <c r="N10" s="32" t="str">
        <f aca="false">IF(B10="","",_xlfn.TEXTJOIN(", ",TRUE(),IF(COUNTIF($B$3:$B$502,B10)&gt;1,"Duplicate name",""),IF(I10="","Source missing",""),IF(OR(J10="",J10&lt;S_Today-S_RecheckDays),"Re-check still in role","")))</f>
        <v/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8"/>
      <c r="K11" s="27"/>
      <c r="L11" s="27"/>
      <c r="M11" s="32" t="str">
        <f aca="false">IF(B11="","",IFERROR(INDEX(L_RoleOK,MATCH(D11,L_RoleName,0)),"No"))</f>
        <v/>
      </c>
      <c r="N11" s="32" t="str">
        <f aca="false">IF(B11="","",_xlfn.TEXTJOIN(", ",TRUE(),IF(COUNTIF($B$3:$B$502,B11)&gt;1,"Duplicate name",""),IF(I11="","Source missing",""),IF(OR(J11="",J11&lt;S_Today-S_RecheckDays),"Re-check still in role","")))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8"/>
      <c r="K12" s="27"/>
      <c r="L12" s="27"/>
      <c r="M12" s="32" t="str">
        <f aca="false">IF(B12="","",IFERROR(INDEX(L_RoleOK,MATCH(D12,L_RoleName,0)),"No"))</f>
        <v/>
      </c>
      <c r="N12" s="32" t="str">
        <f aca="false">IF(B12="","",_xlfn.TEXTJOIN(", ",TRUE(),IF(COUNTIF($B$3:$B$502,B12)&gt;1,"Duplicate name",""),IF(I12="","Source missing",""),IF(OR(J12="",J12&lt;S_Today-S_RecheckDays),"Re-check still in role","")))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8"/>
      <c r="K13" s="27"/>
      <c r="L13" s="27"/>
      <c r="M13" s="32" t="str">
        <f aca="false">IF(B13="","",IFERROR(INDEX(L_RoleOK,MATCH(D13,L_RoleName,0)),"No"))</f>
        <v/>
      </c>
      <c r="N13" s="32" t="str">
        <f aca="false">IF(B13="","",_xlfn.TEXTJOIN(", ",TRUE(),IF(COUNTIF($B$3:$B$502,B13)&gt;1,"Duplicate name",""),IF(I13="","Source missing",""),IF(OR(J13="",J13&lt;S_Today-S_RecheckDays),"Re-check still in role","")))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8"/>
      <c r="K14" s="27"/>
      <c r="L14" s="27"/>
      <c r="M14" s="32" t="str">
        <f aca="false">IF(B14="","",IFERROR(INDEX(L_RoleOK,MATCH(D14,L_RoleName,0)),"No"))</f>
        <v/>
      </c>
      <c r="N14" s="32" t="str">
        <f aca="false">IF(B14="","",_xlfn.TEXTJOIN(", ",TRUE(),IF(COUNTIF($B$3:$B$502,B14)&gt;1,"Duplicate name",""),IF(I14="","Source missing",""),IF(OR(J14="",J14&lt;S_Today-S_RecheckDays),"Re-check still in role","")))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8"/>
      <c r="K15" s="27"/>
      <c r="L15" s="27"/>
      <c r="M15" s="32" t="str">
        <f aca="false">IF(B15="","",IFERROR(INDEX(L_RoleOK,MATCH(D15,L_RoleName,0)),"No"))</f>
        <v/>
      </c>
      <c r="N15" s="32" t="str">
        <f aca="false">IF(B15="","",_xlfn.TEXTJOIN(", ",TRUE(),IF(COUNTIF($B$3:$B$502,B15)&gt;1,"Duplicate name",""),IF(I15="","Source missing",""),IF(OR(J15="",J15&lt;S_Today-S_RecheckDays),"Re-check still in role","")))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8"/>
      <c r="K16" s="27"/>
      <c r="L16" s="27"/>
      <c r="M16" s="32" t="str">
        <f aca="false">IF(B16="","",IFERROR(INDEX(L_RoleOK,MATCH(D16,L_RoleName,0)),"No"))</f>
        <v/>
      </c>
      <c r="N16" s="32" t="str">
        <f aca="false">IF(B16="","",_xlfn.TEXTJOIN(", ",TRUE(),IF(COUNTIF($B$3:$B$502,B16)&gt;1,"Duplicate name",""),IF(I16="","Source missing",""),IF(OR(J16="",J16&lt;S_Today-S_RecheckDays),"Re-check still in role","")))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8"/>
      <c r="K17" s="27"/>
      <c r="L17" s="27"/>
      <c r="M17" s="32" t="str">
        <f aca="false">IF(B17="","",IFERROR(INDEX(L_RoleOK,MATCH(D17,L_RoleName,0)),"No"))</f>
        <v/>
      </c>
      <c r="N17" s="32" t="str">
        <f aca="false">IF(B17="","",_xlfn.TEXTJOIN(", ",TRUE(),IF(COUNTIF($B$3:$B$502,B17)&gt;1,"Duplicate name",""),IF(I17="","Source missing",""),IF(OR(J17="",J17&lt;S_Today-S_RecheckDays),"Re-check still in role","")))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8"/>
      <c r="K18" s="27"/>
      <c r="L18" s="27"/>
      <c r="M18" s="32" t="str">
        <f aca="false">IF(B18="","",IFERROR(INDEX(L_RoleOK,MATCH(D18,L_RoleName,0)),"No"))</f>
        <v/>
      </c>
      <c r="N18" s="32" t="str">
        <f aca="false">IF(B18="","",_xlfn.TEXTJOIN(", ",TRUE(),IF(COUNTIF($B$3:$B$502,B18)&gt;1,"Duplicate name",""),IF(I18="","Source missing",""),IF(OR(J18="",J18&lt;S_Today-S_RecheckDays),"Re-check still in role","")))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8"/>
      <c r="K19" s="27"/>
      <c r="L19" s="27"/>
      <c r="M19" s="32" t="str">
        <f aca="false">IF(B19="","",IFERROR(INDEX(L_RoleOK,MATCH(D19,L_RoleName,0)),"No"))</f>
        <v/>
      </c>
      <c r="N19" s="32" t="str">
        <f aca="false">IF(B19="","",_xlfn.TEXTJOIN(", ",TRUE(),IF(COUNTIF($B$3:$B$502,B19)&gt;1,"Duplicate name",""),IF(I19="","Source missing",""),IF(OR(J19="",J19&lt;S_Today-S_RecheckDays),"Re-check still in role","")))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8"/>
      <c r="K20" s="27"/>
      <c r="L20" s="27"/>
      <c r="M20" s="32" t="str">
        <f aca="false">IF(B20="","",IFERROR(INDEX(L_RoleOK,MATCH(D20,L_RoleName,0)),"No"))</f>
        <v/>
      </c>
      <c r="N20" s="32" t="str">
        <f aca="false">IF(B20="","",_xlfn.TEXTJOIN(", ",TRUE(),IF(COUNTIF($B$3:$B$502,B20)&gt;1,"Duplicate name",""),IF(I20="","Source missing",""),IF(OR(J20="",J20&lt;S_Today-S_RecheckDays),"Re-check still in role","")))</f>
        <v/>
      </c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8"/>
      <c r="K21" s="27"/>
      <c r="L21" s="27"/>
      <c r="M21" s="32" t="str">
        <f aca="false">IF(B21="","",IFERROR(INDEX(L_RoleOK,MATCH(D21,L_RoleName,0)),"No"))</f>
        <v/>
      </c>
      <c r="N21" s="32" t="str">
        <f aca="false">IF(B21="","",_xlfn.TEXTJOIN(", ",TRUE(),IF(COUNTIF($B$3:$B$502,B21)&gt;1,"Duplicate name",""),IF(I21="","Source missing",""),IF(OR(J21="",J21&lt;S_Today-S_RecheckDays),"Re-check still in role","")))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8"/>
      <c r="K22" s="27"/>
      <c r="L22" s="27"/>
      <c r="M22" s="32" t="str">
        <f aca="false">IF(B22="","",IFERROR(INDEX(L_RoleOK,MATCH(D22,L_RoleName,0)),"No"))</f>
        <v/>
      </c>
      <c r="N22" s="32" t="str">
        <f aca="false">IF(B22="","",_xlfn.TEXTJOIN(", ",TRUE(),IF(COUNTIF($B$3:$B$502,B22)&gt;1,"Duplicate name",""),IF(I22="","Source missing",""),IF(OR(J22="",J22&lt;S_Today-S_RecheckDays),"Re-check still in role","")))</f>
        <v/>
      </c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8"/>
      <c r="K23" s="27"/>
      <c r="L23" s="27"/>
      <c r="M23" s="32" t="str">
        <f aca="false">IF(B23="","",IFERROR(INDEX(L_RoleOK,MATCH(D23,L_RoleName,0)),"No"))</f>
        <v/>
      </c>
      <c r="N23" s="32" t="str">
        <f aca="false">IF(B23="","",_xlfn.TEXTJOIN(", ",TRUE(),IF(COUNTIF($B$3:$B$502,B23)&gt;1,"Duplicate name",""),IF(I23="","Source missing",""),IF(OR(J23="",J23&lt;S_Today-S_RecheckDays),"Re-check still in role","")))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8"/>
      <c r="K24" s="27"/>
      <c r="L24" s="27"/>
      <c r="M24" s="32" t="str">
        <f aca="false">IF(B24="","",IFERROR(INDEX(L_RoleOK,MATCH(D24,L_RoleName,0)),"No"))</f>
        <v/>
      </c>
      <c r="N24" s="32" t="str">
        <f aca="false">IF(B24="","",_xlfn.TEXTJOIN(", ",TRUE(),IF(COUNTIF($B$3:$B$502,B24)&gt;1,"Duplicate name",""),IF(I24="","Source missing",""),IF(OR(J24="",J24&lt;S_Today-S_RecheckDays),"Re-check still in role","")))</f>
        <v/>
      </c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8"/>
      <c r="K25" s="27"/>
      <c r="L25" s="27"/>
      <c r="M25" s="32" t="str">
        <f aca="false">IF(B25="","",IFERROR(INDEX(L_RoleOK,MATCH(D25,L_RoleName,0)),"No"))</f>
        <v/>
      </c>
      <c r="N25" s="32" t="str">
        <f aca="false">IF(B25="","",_xlfn.TEXTJOIN(", ",TRUE(),IF(COUNTIF($B$3:$B$502,B25)&gt;1,"Duplicate name",""),IF(I25="","Source missing",""),IF(OR(J25="",J25&lt;S_Today-S_RecheckDays),"Re-check still in role","")))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8"/>
      <c r="K26" s="27"/>
      <c r="L26" s="27"/>
      <c r="M26" s="32" t="str">
        <f aca="false">IF(B26="","",IFERROR(INDEX(L_RoleOK,MATCH(D26,L_RoleName,0)),"No"))</f>
        <v/>
      </c>
      <c r="N26" s="32" t="str">
        <f aca="false">IF(B26="","",_xlfn.TEXTJOIN(", ",TRUE(),IF(COUNTIF($B$3:$B$502,B26)&gt;1,"Duplicate name",""),IF(I26="","Source missing",""),IF(OR(J26="",J26&lt;S_Today-S_RecheckDays),"Re-check still in role","")))</f>
        <v/>
      </c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8"/>
      <c r="K27" s="27"/>
      <c r="L27" s="27"/>
      <c r="M27" s="32" t="str">
        <f aca="false">IF(B27="","",IFERROR(INDEX(L_RoleOK,MATCH(D27,L_RoleName,0)),"No"))</f>
        <v/>
      </c>
      <c r="N27" s="32" t="str">
        <f aca="false">IF(B27="","",_xlfn.TEXTJOIN(", ",TRUE(),IF(COUNTIF($B$3:$B$502,B27)&gt;1,"Duplicate name",""),IF(I27="","Source missing",""),IF(OR(J27="",J27&lt;S_Today-S_RecheckDays),"Re-check still in role","")))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8"/>
      <c r="K28" s="27"/>
      <c r="L28" s="27"/>
      <c r="M28" s="32" t="str">
        <f aca="false">IF(B28="","",IFERROR(INDEX(L_RoleOK,MATCH(D28,L_RoleName,0)),"No"))</f>
        <v/>
      </c>
      <c r="N28" s="32" t="str">
        <f aca="false">IF(B28="","",_xlfn.TEXTJOIN(", ",TRUE(),IF(COUNTIF($B$3:$B$502,B28)&gt;1,"Duplicate name",""),IF(I28="","Source missing",""),IF(OR(J28="",J28&lt;S_Today-S_RecheckDays),"Re-check still in role","")))</f>
        <v/>
      </c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8"/>
      <c r="K29" s="27"/>
      <c r="L29" s="27"/>
      <c r="M29" s="32" t="str">
        <f aca="false">IF(B29="","",IFERROR(INDEX(L_RoleOK,MATCH(D29,L_RoleName,0)),"No"))</f>
        <v/>
      </c>
      <c r="N29" s="32" t="str">
        <f aca="false">IF(B29="","",_xlfn.TEXTJOIN(", ",TRUE(),IF(COUNTIF($B$3:$B$502,B29)&gt;1,"Duplicate name",""),IF(I29="","Source missing",""),IF(OR(J29="",J29&lt;S_Today-S_RecheckDays),"Re-check still in role","")))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8"/>
      <c r="K30" s="27"/>
      <c r="L30" s="27"/>
      <c r="M30" s="32" t="str">
        <f aca="false">IF(B30="","",IFERROR(INDEX(L_RoleOK,MATCH(D30,L_RoleName,0)),"No"))</f>
        <v/>
      </c>
      <c r="N30" s="32" t="str">
        <f aca="false">IF(B30="","",_xlfn.TEXTJOIN(", ",TRUE(),IF(COUNTIF($B$3:$B$502,B30)&gt;1,"Duplicate name",""),IF(I30="","Source missing",""),IF(OR(J30="",J30&lt;S_Today-S_RecheckDays),"Re-check still in role","")))</f>
        <v/>
      </c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8"/>
      <c r="K31" s="27"/>
      <c r="L31" s="27"/>
      <c r="M31" s="32" t="str">
        <f aca="false">IF(B31="","",IFERROR(INDEX(L_RoleOK,MATCH(D31,L_RoleName,0)),"No"))</f>
        <v/>
      </c>
      <c r="N31" s="32" t="str">
        <f aca="false">IF(B31="","",_xlfn.TEXTJOIN(", ",TRUE(),IF(COUNTIF($B$3:$B$502,B31)&gt;1,"Duplicate name",""),IF(I31="","Source missing",""),IF(OR(J31="",J31&lt;S_Today-S_RecheckDays),"Re-check still in role","")))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8"/>
      <c r="K32" s="27"/>
      <c r="L32" s="27"/>
      <c r="M32" s="32" t="str">
        <f aca="false">IF(B32="","",IFERROR(INDEX(L_RoleOK,MATCH(D32,L_RoleName,0)),"No"))</f>
        <v/>
      </c>
      <c r="N32" s="32" t="str">
        <f aca="false">IF(B32="","",_xlfn.TEXTJOIN(", ",TRUE(),IF(COUNTIF($B$3:$B$502,B32)&gt;1,"Duplicate name",""),IF(I32="","Source missing",""),IF(OR(J32="",J32&lt;S_Today-S_RecheckDays),"Re-check still in role","")))</f>
        <v/>
      </c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8"/>
      <c r="K33" s="27"/>
      <c r="L33" s="27"/>
      <c r="M33" s="32" t="str">
        <f aca="false">IF(B33="","",IFERROR(INDEX(L_RoleOK,MATCH(D33,L_RoleName,0)),"No"))</f>
        <v/>
      </c>
      <c r="N33" s="32" t="str">
        <f aca="false">IF(B33="","",_xlfn.TEXTJOIN(", ",TRUE(),IF(COUNTIF($B$3:$B$502,B33)&gt;1,"Duplicate name",""),IF(I33="","Source missing",""),IF(OR(J33="",J33&lt;S_Today-S_RecheckDays),"Re-check still in role","")))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8"/>
      <c r="K34" s="27"/>
      <c r="L34" s="27"/>
      <c r="M34" s="32" t="str">
        <f aca="false">IF(B34="","",IFERROR(INDEX(L_RoleOK,MATCH(D34,L_RoleName,0)),"No"))</f>
        <v/>
      </c>
      <c r="N34" s="32" t="str">
        <f aca="false">IF(B34="","",_xlfn.TEXTJOIN(", ",TRUE(),IF(COUNTIF($B$3:$B$502,B34)&gt;1,"Duplicate name",""),IF(I34="","Source missing",""),IF(OR(J34="",J34&lt;S_Today-S_RecheckDays),"Re-check still in role","")))</f>
        <v/>
      </c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8"/>
      <c r="K35" s="27"/>
      <c r="L35" s="27"/>
      <c r="M35" s="32" t="str">
        <f aca="false">IF(B35="","",IFERROR(INDEX(L_RoleOK,MATCH(D35,L_RoleName,0)),"No"))</f>
        <v/>
      </c>
      <c r="N35" s="32" t="str">
        <f aca="false">IF(B35="","",_xlfn.TEXTJOIN(", ",TRUE(),IF(COUNTIF($B$3:$B$502,B35)&gt;1,"Duplicate name",""),IF(I35="","Source missing",""),IF(OR(J35="",J35&lt;S_Today-S_RecheckDays),"Re-check still in role","")))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8"/>
      <c r="K36" s="27"/>
      <c r="L36" s="27"/>
      <c r="M36" s="32" t="str">
        <f aca="false">IF(B36="","",IFERROR(INDEX(L_RoleOK,MATCH(D36,L_RoleName,0)),"No"))</f>
        <v/>
      </c>
      <c r="N36" s="32" t="str">
        <f aca="false">IF(B36="","",_xlfn.TEXTJOIN(", ",TRUE(),IF(COUNTIF($B$3:$B$502,B36)&gt;1,"Duplicate name",""),IF(I36="","Source missing",""),IF(OR(J36="",J36&lt;S_Today-S_RecheckDays),"Re-check still in role","")))</f>
        <v/>
      </c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8"/>
      <c r="K37" s="27"/>
      <c r="L37" s="27"/>
      <c r="M37" s="32" t="str">
        <f aca="false">IF(B37="","",IFERROR(INDEX(L_RoleOK,MATCH(D37,L_RoleName,0)),"No"))</f>
        <v/>
      </c>
      <c r="N37" s="32" t="str">
        <f aca="false">IF(B37="","",_xlfn.TEXTJOIN(", ",TRUE(),IF(COUNTIF($B$3:$B$502,B37)&gt;1,"Duplicate name",""),IF(I37="","Source missing",""),IF(OR(J37="",J37&lt;S_Today-S_RecheckDays),"Re-check still in role","")))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8"/>
      <c r="K38" s="27"/>
      <c r="L38" s="27"/>
      <c r="M38" s="32" t="str">
        <f aca="false">IF(B38="","",IFERROR(INDEX(L_RoleOK,MATCH(D38,L_RoleName,0)),"No"))</f>
        <v/>
      </c>
      <c r="N38" s="32" t="str">
        <f aca="false">IF(B38="","",_xlfn.TEXTJOIN(", ",TRUE(),IF(COUNTIF($B$3:$B$502,B38)&gt;1,"Duplicate name",""),IF(I38="","Source missing",""),IF(OR(J38="",J38&lt;S_Today-S_RecheckDays),"Re-check still in role","")))</f>
        <v/>
      </c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8"/>
      <c r="K39" s="27"/>
      <c r="L39" s="27"/>
      <c r="M39" s="32" t="str">
        <f aca="false">IF(B39="","",IFERROR(INDEX(L_RoleOK,MATCH(D39,L_RoleName,0)),"No"))</f>
        <v/>
      </c>
      <c r="N39" s="32" t="str">
        <f aca="false">IF(B39="","",_xlfn.TEXTJOIN(", ",TRUE(),IF(COUNTIF($B$3:$B$502,B39)&gt;1,"Duplicate name",""),IF(I39="","Source missing",""),IF(OR(J39="",J39&lt;S_Today-S_RecheckDays),"Re-check still in role","")))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8"/>
      <c r="K40" s="27"/>
      <c r="L40" s="27"/>
      <c r="M40" s="32" t="str">
        <f aca="false">IF(B40="","",IFERROR(INDEX(L_RoleOK,MATCH(D40,L_RoleName,0)),"No"))</f>
        <v/>
      </c>
      <c r="N40" s="32" t="str">
        <f aca="false">IF(B40="","",_xlfn.TEXTJOIN(", ",TRUE(),IF(COUNTIF($B$3:$B$502,B40)&gt;1,"Duplicate name",""),IF(I40="","Source missing",""),IF(OR(J40="",J40&lt;S_Today-S_RecheckDays),"Re-check still in role","")))</f>
        <v/>
      </c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8"/>
      <c r="K41" s="27"/>
      <c r="L41" s="27"/>
      <c r="M41" s="32" t="str">
        <f aca="false">IF(B41="","",IFERROR(INDEX(L_RoleOK,MATCH(D41,L_RoleName,0)),"No"))</f>
        <v/>
      </c>
      <c r="N41" s="32" t="str">
        <f aca="false">IF(B41="","",_xlfn.TEXTJOIN(", ",TRUE(),IF(COUNTIF($B$3:$B$502,B41)&gt;1,"Duplicate name",""),IF(I41="","Source missing",""),IF(OR(J41="",J41&lt;S_Today-S_RecheckDays),"Re-check still in role","")))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8"/>
      <c r="K42" s="27"/>
      <c r="L42" s="27"/>
      <c r="M42" s="32" t="str">
        <f aca="false">IF(B42="","",IFERROR(INDEX(L_RoleOK,MATCH(D42,L_RoleName,0)),"No"))</f>
        <v/>
      </c>
      <c r="N42" s="32" t="str">
        <f aca="false">IF(B42="","",_xlfn.TEXTJOIN(", ",TRUE(),IF(COUNTIF($B$3:$B$502,B42)&gt;1,"Duplicate name",""),IF(I42="","Source missing",""),IF(OR(J42="",J42&lt;S_Today-S_RecheckDays),"Re-check still in role","")))</f>
        <v/>
      </c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8"/>
      <c r="K43" s="27"/>
      <c r="L43" s="27"/>
      <c r="M43" s="32" t="str">
        <f aca="false">IF(B43="","",IFERROR(INDEX(L_RoleOK,MATCH(D43,L_RoleName,0)),"No"))</f>
        <v/>
      </c>
      <c r="N43" s="32" t="str">
        <f aca="false">IF(B43="","",_xlfn.TEXTJOIN(", ",TRUE(),IF(COUNTIF($B$3:$B$502,B43)&gt;1,"Duplicate name",""),IF(I43="","Source missing",""),IF(OR(J43="",J43&lt;S_Today-S_RecheckDays),"Re-check still in role","")))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8"/>
      <c r="K44" s="27"/>
      <c r="L44" s="27"/>
      <c r="M44" s="32" t="str">
        <f aca="false">IF(B44="","",IFERROR(INDEX(L_RoleOK,MATCH(D44,L_RoleName,0)),"No"))</f>
        <v/>
      </c>
      <c r="N44" s="32" t="str">
        <f aca="false">IF(B44="","",_xlfn.TEXTJOIN(", ",TRUE(),IF(COUNTIF($B$3:$B$502,B44)&gt;1,"Duplicate name",""),IF(I44="","Source missing",""),IF(OR(J44="",J44&lt;S_Today-S_RecheckDays),"Re-check still in role","")))</f>
        <v/>
      </c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8"/>
      <c r="K45" s="27"/>
      <c r="L45" s="27"/>
      <c r="M45" s="32" t="str">
        <f aca="false">IF(B45="","",IFERROR(INDEX(L_RoleOK,MATCH(D45,L_RoleName,0)),"No"))</f>
        <v/>
      </c>
      <c r="N45" s="32" t="str">
        <f aca="false">IF(B45="","",_xlfn.TEXTJOIN(", ",TRUE(),IF(COUNTIF($B$3:$B$502,B45)&gt;1,"Duplicate name",""),IF(I45="","Source missing",""),IF(OR(J45="",J45&lt;S_Today-S_RecheckDays),"Re-check still in role","")))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8"/>
      <c r="K46" s="27"/>
      <c r="L46" s="27"/>
      <c r="M46" s="32" t="str">
        <f aca="false">IF(B46="","",IFERROR(INDEX(L_RoleOK,MATCH(D46,L_RoleName,0)),"No"))</f>
        <v/>
      </c>
      <c r="N46" s="32" t="str">
        <f aca="false">IF(B46="","",_xlfn.TEXTJOIN(", ",TRUE(),IF(COUNTIF($B$3:$B$502,B46)&gt;1,"Duplicate name",""),IF(I46="","Source missing",""),IF(OR(J46="",J46&lt;S_Today-S_RecheckDays),"Re-check still in role","")))</f>
        <v/>
      </c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8"/>
      <c r="K47" s="27"/>
      <c r="L47" s="27"/>
      <c r="M47" s="32" t="str">
        <f aca="false">IF(B47="","",IFERROR(INDEX(L_RoleOK,MATCH(D47,L_RoleName,0)),"No"))</f>
        <v/>
      </c>
      <c r="N47" s="32" t="str">
        <f aca="false">IF(B47="","",_xlfn.TEXTJOIN(", ",TRUE(),IF(COUNTIF($B$3:$B$502,B47)&gt;1,"Duplicate name",""),IF(I47="","Source missing",""),IF(OR(J47="",J47&lt;S_Today-S_RecheckDays),"Re-check still in role","")))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8"/>
      <c r="K48" s="27"/>
      <c r="L48" s="27"/>
      <c r="M48" s="32" t="str">
        <f aca="false">IF(B48="","",IFERROR(INDEX(L_RoleOK,MATCH(D48,L_RoleName,0)),"No"))</f>
        <v/>
      </c>
      <c r="N48" s="32" t="str">
        <f aca="false">IF(B48="","",_xlfn.TEXTJOIN(", ",TRUE(),IF(COUNTIF($B$3:$B$502,B48)&gt;1,"Duplicate name",""),IF(I48="","Source missing",""),IF(OR(J48="",J48&lt;S_Today-S_RecheckDays),"Re-check still in role","")))</f>
        <v/>
      </c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8"/>
      <c r="K49" s="27"/>
      <c r="L49" s="27"/>
      <c r="M49" s="32" t="str">
        <f aca="false">IF(B49="","",IFERROR(INDEX(L_RoleOK,MATCH(D49,L_RoleName,0)),"No"))</f>
        <v/>
      </c>
      <c r="N49" s="32" t="str">
        <f aca="false">IF(B49="","",_xlfn.TEXTJOIN(", ",TRUE(),IF(COUNTIF($B$3:$B$502,B49)&gt;1,"Duplicate name",""),IF(I49="","Source missing",""),IF(OR(J49="",J49&lt;S_Today-S_RecheckDays),"Re-check still in role","")))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8"/>
      <c r="K50" s="27"/>
      <c r="L50" s="27"/>
      <c r="M50" s="32" t="str">
        <f aca="false">IF(B50="","",IFERROR(INDEX(L_RoleOK,MATCH(D50,L_RoleName,0)),"No"))</f>
        <v/>
      </c>
      <c r="N50" s="32" t="str">
        <f aca="false">IF(B50="","",_xlfn.TEXTJOIN(", ",TRUE(),IF(COUNTIF($B$3:$B$502,B50)&gt;1,"Duplicate name",""),IF(I50="","Source missing",""),IF(OR(J50="",J50&lt;S_Today-S_RecheckDays),"Re-check still in role","")))</f>
        <v/>
      </c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8"/>
      <c r="K51" s="27"/>
      <c r="L51" s="27"/>
      <c r="M51" s="32" t="str">
        <f aca="false">IF(B51="","",IFERROR(INDEX(L_RoleOK,MATCH(D51,L_RoleName,0)),"No"))</f>
        <v/>
      </c>
      <c r="N51" s="32" t="str">
        <f aca="false">IF(B51="","",_xlfn.TEXTJOIN(", ",TRUE(),IF(COUNTIF($B$3:$B$502,B51)&gt;1,"Duplicate name",""),IF(I51="","Source missing",""),IF(OR(J51="",J51&lt;S_Today-S_RecheckDays),"Re-check still in role","")))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8"/>
      <c r="K52" s="27"/>
      <c r="L52" s="27"/>
      <c r="M52" s="32" t="str">
        <f aca="false">IF(B52="","",IFERROR(INDEX(L_RoleOK,MATCH(D52,L_RoleName,0)),"No"))</f>
        <v/>
      </c>
      <c r="N52" s="32" t="str">
        <f aca="false">IF(B52="","",_xlfn.TEXTJOIN(", ",TRUE(),IF(COUNTIF($B$3:$B$502,B52)&gt;1,"Duplicate name",""),IF(I52="","Source missing",""),IF(OR(J52="",J52&lt;S_Today-S_RecheckDays),"Re-check still in role","")))</f>
        <v/>
      </c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8"/>
      <c r="K53" s="27"/>
      <c r="L53" s="27"/>
      <c r="M53" s="32" t="str">
        <f aca="false">IF(B53="","",IFERROR(INDEX(L_RoleOK,MATCH(D53,L_RoleName,0)),"No"))</f>
        <v/>
      </c>
      <c r="N53" s="32" t="str">
        <f aca="false">IF(B53="","",_xlfn.TEXTJOIN(", ",TRUE(),IF(COUNTIF($B$3:$B$502,B53)&gt;1,"Duplicate name",""),IF(I53="","Source missing",""),IF(OR(J53="",J53&lt;S_Today-S_RecheckDays),"Re-check still in role","")))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8"/>
      <c r="K54" s="27"/>
      <c r="L54" s="27"/>
      <c r="M54" s="32" t="str">
        <f aca="false">IF(B54="","",IFERROR(INDEX(L_RoleOK,MATCH(D54,L_RoleName,0)),"No"))</f>
        <v/>
      </c>
      <c r="N54" s="32" t="str">
        <f aca="false">IF(B54="","",_xlfn.TEXTJOIN(", ",TRUE(),IF(COUNTIF($B$3:$B$502,B54)&gt;1,"Duplicate name",""),IF(I54="","Source missing",""),IF(OR(J54="",J54&lt;S_Today-S_RecheckDays),"Re-check still in role","")))</f>
        <v/>
      </c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8"/>
      <c r="K55" s="27"/>
      <c r="L55" s="27"/>
      <c r="M55" s="32" t="str">
        <f aca="false">IF(B55="","",IFERROR(INDEX(L_RoleOK,MATCH(D55,L_RoleName,0)),"No"))</f>
        <v/>
      </c>
      <c r="N55" s="32" t="str">
        <f aca="false">IF(B55="","",_xlfn.TEXTJOIN(", ",TRUE(),IF(COUNTIF($B$3:$B$502,B55)&gt;1,"Duplicate name",""),IF(I55="","Source missing",""),IF(OR(J55="",J55&lt;S_Today-S_RecheckDays),"Re-check still in role","")))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8"/>
      <c r="K56" s="27"/>
      <c r="L56" s="27"/>
      <c r="M56" s="32" t="str">
        <f aca="false">IF(B56="","",IFERROR(INDEX(L_RoleOK,MATCH(D56,L_RoleName,0)),"No"))</f>
        <v/>
      </c>
      <c r="N56" s="32" t="str">
        <f aca="false">IF(B56="","",_xlfn.TEXTJOIN(", ",TRUE(),IF(COUNTIF($B$3:$B$502,B56)&gt;1,"Duplicate name",""),IF(I56="","Source missing",""),IF(OR(J56="",J56&lt;S_Today-S_RecheckDays),"Re-check still in role","")))</f>
        <v/>
      </c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8"/>
      <c r="K57" s="27"/>
      <c r="L57" s="27"/>
      <c r="M57" s="32" t="str">
        <f aca="false">IF(B57="","",IFERROR(INDEX(L_RoleOK,MATCH(D57,L_RoleName,0)),"No"))</f>
        <v/>
      </c>
      <c r="N57" s="32" t="str">
        <f aca="false">IF(B57="","",_xlfn.TEXTJOIN(", ",TRUE(),IF(COUNTIF($B$3:$B$502,B57)&gt;1,"Duplicate name",""),IF(I57="","Source missing",""),IF(OR(J57="",J57&lt;S_Today-S_RecheckDays),"Re-check still in role","")))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8"/>
      <c r="K58" s="27"/>
      <c r="L58" s="27"/>
      <c r="M58" s="32" t="str">
        <f aca="false">IF(B58="","",IFERROR(INDEX(L_RoleOK,MATCH(D58,L_RoleName,0)),"No"))</f>
        <v/>
      </c>
      <c r="N58" s="32" t="str">
        <f aca="false">IF(B58="","",_xlfn.TEXTJOIN(", ",TRUE(),IF(COUNTIF($B$3:$B$502,B58)&gt;1,"Duplicate name",""),IF(I58="","Source missing",""),IF(OR(J58="",J58&lt;S_Today-S_RecheckDays),"Re-check still in role","")))</f>
        <v/>
      </c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8"/>
      <c r="K59" s="27"/>
      <c r="L59" s="27"/>
      <c r="M59" s="32" t="str">
        <f aca="false">IF(B59="","",IFERROR(INDEX(L_RoleOK,MATCH(D59,L_RoleName,0)),"No"))</f>
        <v/>
      </c>
      <c r="N59" s="32" t="str">
        <f aca="false">IF(B59="","",_xlfn.TEXTJOIN(", ",TRUE(),IF(COUNTIF($B$3:$B$502,B59)&gt;1,"Duplicate name",""),IF(I59="","Source missing",""),IF(OR(J59="",J59&lt;S_Today-S_RecheckDays),"Re-check still in role","")))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8"/>
      <c r="K60" s="27"/>
      <c r="L60" s="27"/>
      <c r="M60" s="32" t="str">
        <f aca="false">IF(B60="","",IFERROR(INDEX(L_RoleOK,MATCH(D60,L_RoleName,0)),"No"))</f>
        <v/>
      </c>
      <c r="N60" s="32" t="str">
        <f aca="false">IF(B60="","",_xlfn.TEXTJOIN(", ",TRUE(),IF(COUNTIF($B$3:$B$502,B60)&gt;1,"Duplicate name",""),IF(I60="","Source missing",""),IF(OR(J60="",J60&lt;S_Today-S_RecheckDays),"Re-check still in role","")))</f>
        <v/>
      </c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8"/>
      <c r="K61" s="27"/>
      <c r="L61" s="27"/>
      <c r="M61" s="32" t="str">
        <f aca="false">IF(B61="","",IFERROR(INDEX(L_RoleOK,MATCH(D61,L_RoleName,0)),"No"))</f>
        <v/>
      </c>
      <c r="N61" s="32" t="str">
        <f aca="false">IF(B61="","",_xlfn.TEXTJOIN(", ",TRUE(),IF(COUNTIF($B$3:$B$502,B61)&gt;1,"Duplicate name",""),IF(I61="","Source missing",""),IF(OR(J61="",J61&lt;S_Today-S_RecheckDays),"Re-check still in role","")))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8"/>
      <c r="K62" s="27"/>
      <c r="L62" s="27"/>
      <c r="M62" s="32" t="str">
        <f aca="false">IF(B62="","",IFERROR(INDEX(L_RoleOK,MATCH(D62,L_RoleName,0)),"No"))</f>
        <v/>
      </c>
      <c r="N62" s="32" t="str">
        <f aca="false">IF(B62="","",_xlfn.TEXTJOIN(", ",TRUE(),IF(COUNTIF($B$3:$B$502,B62)&gt;1,"Duplicate name",""),IF(I62="","Source missing",""),IF(OR(J62="",J62&lt;S_Today-S_RecheckDays),"Re-check still in role","")))</f>
        <v/>
      </c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8"/>
      <c r="K63" s="27"/>
      <c r="L63" s="27"/>
      <c r="M63" s="32" t="str">
        <f aca="false">IF(B63="","",IFERROR(INDEX(L_RoleOK,MATCH(D63,L_RoleName,0)),"No"))</f>
        <v/>
      </c>
      <c r="N63" s="32" t="str">
        <f aca="false">IF(B63="","",_xlfn.TEXTJOIN(", ",TRUE(),IF(COUNTIF($B$3:$B$502,B63)&gt;1,"Duplicate name",""),IF(I63="","Source missing",""),IF(OR(J63="",J63&lt;S_Today-S_RecheckDays),"Re-check still in role","")))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8"/>
      <c r="K64" s="27"/>
      <c r="L64" s="27"/>
      <c r="M64" s="32" t="str">
        <f aca="false">IF(B64="","",IFERROR(INDEX(L_RoleOK,MATCH(D64,L_RoleName,0)),"No"))</f>
        <v/>
      </c>
      <c r="N64" s="32" t="str">
        <f aca="false">IF(B64="","",_xlfn.TEXTJOIN(", ",TRUE(),IF(COUNTIF($B$3:$B$502,B64)&gt;1,"Duplicate name",""),IF(I64="","Source missing",""),IF(OR(J64="",J64&lt;S_Today-S_RecheckDays),"Re-check still in role","")))</f>
        <v/>
      </c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8"/>
      <c r="K65" s="27"/>
      <c r="L65" s="27"/>
      <c r="M65" s="32" t="str">
        <f aca="false">IF(B65="","",IFERROR(INDEX(L_RoleOK,MATCH(D65,L_RoleName,0)),"No"))</f>
        <v/>
      </c>
      <c r="N65" s="32" t="str">
        <f aca="false">IF(B65="","",_xlfn.TEXTJOIN(", ",TRUE(),IF(COUNTIF($B$3:$B$502,B65)&gt;1,"Duplicate name",""),IF(I65="","Source missing",""),IF(OR(J65="",J65&lt;S_Today-S_RecheckDays),"Re-check still in role","")))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8"/>
      <c r="K66" s="27"/>
      <c r="L66" s="27"/>
      <c r="M66" s="32" t="str">
        <f aca="false">IF(B66="","",IFERROR(INDEX(L_RoleOK,MATCH(D66,L_RoleName,0)),"No"))</f>
        <v/>
      </c>
      <c r="N66" s="32" t="str">
        <f aca="false">IF(B66="","",_xlfn.TEXTJOIN(", ",TRUE(),IF(COUNTIF($B$3:$B$502,B66)&gt;1,"Duplicate name",""),IF(I66="","Source missing",""),IF(OR(J66="",J66&lt;S_Today-S_RecheckDays),"Re-check still in role","")))</f>
        <v/>
      </c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8"/>
      <c r="K67" s="27"/>
      <c r="L67" s="27"/>
      <c r="M67" s="32" t="str">
        <f aca="false">IF(B67="","",IFERROR(INDEX(L_RoleOK,MATCH(D67,L_RoleName,0)),"No"))</f>
        <v/>
      </c>
      <c r="N67" s="32" t="str">
        <f aca="false">IF(B67="","",_xlfn.TEXTJOIN(", ",TRUE(),IF(COUNTIF($B$3:$B$502,B67)&gt;1,"Duplicate name",""),IF(I67="","Source missing",""),IF(OR(J67="",J67&lt;S_Today-S_RecheckDays),"Re-check still in role","")))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8"/>
      <c r="K68" s="27"/>
      <c r="L68" s="27"/>
      <c r="M68" s="32" t="str">
        <f aca="false">IF(B68="","",IFERROR(INDEX(L_RoleOK,MATCH(D68,L_RoleName,0)),"No"))</f>
        <v/>
      </c>
      <c r="N68" s="32" t="str">
        <f aca="false">IF(B68="","",_xlfn.TEXTJOIN(", ",TRUE(),IF(COUNTIF($B$3:$B$502,B68)&gt;1,"Duplicate name",""),IF(I68="","Source missing",""),IF(OR(J68="",J68&lt;S_Today-S_RecheckDays),"Re-check still in role","")))</f>
        <v/>
      </c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8"/>
      <c r="K69" s="27"/>
      <c r="L69" s="27"/>
      <c r="M69" s="32" t="str">
        <f aca="false">IF(B69="","",IFERROR(INDEX(L_RoleOK,MATCH(D69,L_RoleName,0)),"No"))</f>
        <v/>
      </c>
      <c r="N69" s="32" t="str">
        <f aca="false">IF(B69="","",_xlfn.TEXTJOIN(", ",TRUE(),IF(COUNTIF($B$3:$B$502,B69)&gt;1,"Duplicate name",""),IF(I69="","Source missing",""),IF(OR(J69="",J69&lt;S_Today-S_RecheckDays),"Re-check still in role","")))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8"/>
      <c r="K70" s="27"/>
      <c r="L70" s="27"/>
      <c r="M70" s="32" t="str">
        <f aca="false">IF(B70="","",IFERROR(INDEX(L_RoleOK,MATCH(D70,L_RoleName,0)),"No"))</f>
        <v/>
      </c>
      <c r="N70" s="32" t="str">
        <f aca="false">IF(B70="","",_xlfn.TEXTJOIN(", ",TRUE(),IF(COUNTIF($B$3:$B$502,B70)&gt;1,"Duplicate name",""),IF(I70="","Source missing",""),IF(OR(J70="",J70&lt;S_Today-S_RecheckDays),"Re-check still in role","")))</f>
        <v/>
      </c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8"/>
      <c r="K71" s="27"/>
      <c r="L71" s="27"/>
      <c r="M71" s="32" t="str">
        <f aca="false">IF(B71="","",IFERROR(INDEX(L_RoleOK,MATCH(D71,L_RoleName,0)),"No"))</f>
        <v/>
      </c>
      <c r="N71" s="32" t="str">
        <f aca="false">IF(B71="","",_xlfn.TEXTJOIN(", ",TRUE(),IF(COUNTIF($B$3:$B$502,B71)&gt;1,"Duplicate name",""),IF(I71="","Source missing",""),IF(OR(J71="",J71&lt;S_Today-S_RecheckDays),"Re-check still in role","")))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8"/>
      <c r="K72" s="27"/>
      <c r="L72" s="27"/>
      <c r="M72" s="32" t="str">
        <f aca="false">IF(B72="","",IFERROR(INDEX(L_RoleOK,MATCH(D72,L_RoleName,0)),"No"))</f>
        <v/>
      </c>
      <c r="N72" s="32" t="str">
        <f aca="false">IF(B72="","",_xlfn.TEXTJOIN(", ",TRUE(),IF(COUNTIF($B$3:$B$502,B72)&gt;1,"Duplicate name",""),IF(I72="","Source missing",""),IF(OR(J72="",J72&lt;S_Today-S_RecheckDays),"Re-check still in role","")))</f>
        <v/>
      </c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8"/>
      <c r="K73" s="27"/>
      <c r="L73" s="27"/>
      <c r="M73" s="32" t="str">
        <f aca="false">IF(B73="","",IFERROR(INDEX(L_RoleOK,MATCH(D73,L_RoleName,0)),"No"))</f>
        <v/>
      </c>
      <c r="N73" s="32" t="str">
        <f aca="false">IF(B73="","",_xlfn.TEXTJOIN(", ",TRUE(),IF(COUNTIF($B$3:$B$502,B73)&gt;1,"Duplicate name",""),IF(I73="","Source missing",""),IF(OR(J73="",J73&lt;S_Today-S_RecheckDays),"Re-check still in role","")))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8"/>
      <c r="K74" s="27"/>
      <c r="L74" s="27"/>
      <c r="M74" s="32" t="str">
        <f aca="false">IF(B74="","",IFERROR(INDEX(L_RoleOK,MATCH(D74,L_RoleName,0)),"No"))</f>
        <v/>
      </c>
      <c r="N74" s="32" t="str">
        <f aca="false">IF(B74="","",_xlfn.TEXTJOIN(", ",TRUE(),IF(COUNTIF($B$3:$B$502,B74)&gt;1,"Duplicate name",""),IF(I74="","Source missing",""),IF(OR(J74="",J74&lt;S_Today-S_RecheckDays),"Re-check still in role","")))</f>
        <v/>
      </c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8"/>
      <c r="K75" s="27"/>
      <c r="L75" s="27"/>
      <c r="M75" s="32" t="str">
        <f aca="false">IF(B75="","",IFERROR(INDEX(L_RoleOK,MATCH(D75,L_RoleName,0)),"No"))</f>
        <v/>
      </c>
      <c r="N75" s="32" t="str">
        <f aca="false">IF(B75="","",_xlfn.TEXTJOIN(", ",TRUE(),IF(COUNTIF($B$3:$B$502,B75)&gt;1,"Duplicate name",""),IF(I75="","Source missing",""),IF(OR(J75="",J75&lt;S_Today-S_RecheckDays),"Re-check still in role","")))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8"/>
      <c r="K76" s="27"/>
      <c r="L76" s="27"/>
      <c r="M76" s="32" t="str">
        <f aca="false">IF(B76="","",IFERROR(INDEX(L_RoleOK,MATCH(D76,L_RoleName,0)),"No"))</f>
        <v/>
      </c>
      <c r="N76" s="32" t="str">
        <f aca="false">IF(B76="","",_xlfn.TEXTJOIN(", ",TRUE(),IF(COUNTIF($B$3:$B$502,B76)&gt;1,"Duplicate name",""),IF(I76="","Source missing",""),IF(OR(J76="",J76&lt;S_Today-S_RecheckDays),"Re-check still in role","")))</f>
        <v/>
      </c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8"/>
      <c r="K77" s="27"/>
      <c r="L77" s="27"/>
      <c r="M77" s="32" t="str">
        <f aca="false">IF(B77="","",IFERROR(INDEX(L_RoleOK,MATCH(D77,L_RoleName,0)),"No"))</f>
        <v/>
      </c>
      <c r="N77" s="32" t="str">
        <f aca="false">IF(B77="","",_xlfn.TEXTJOIN(", ",TRUE(),IF(COUNTIF($B$3:$B$502,B77)&gt;1,"Duplicate name",""),IF(I77="","Source missing",""),IF(OR(J77="",J77&lt;S_Today-S_RecheckDays),"Re-check still in role","")))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8"/>
      <c r="K78" s="27"/>
      <c r="L78" s="27"/>
      <c r="M78" s="32" t="str">
        <f aca="false">IF(B78="","",IFERROR(INDEX(L_RoleOK,MATCH(D78,L_RoleName,0)),"No"))</f>
        <v/>
      </c>
      <c r="N78" s="32" t="str">
        <f aca="false">IF(B78="","",_xlfn.TEXTJOIN(", ",TRUE(),IF(COUNTIF($B$3:$B$502,B78)&gt;1,"Duplicate name",""),IF(I78="","Source missing",""),IF(OR(J78="",J78&lt;S_Today-S_RecheckDays),"Re-check still in role","")))</f>
        <v/>
      </c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8"/>
      <c r="K79" s="27"/>
      <c r="L79" s="27"/>
      <c r="M79" s="32" t="str">
        <f aca="false">IF(B79="","",IFERROR(INDEX(L_RoleOK,MATCH(D79,L_RoleName,0)),"No"))</f>
        <v/>
      </c>
      <c r="N79" s="32" t="str">
        <f aca="false">IF(B79="","",_xlfn.TEXTJOIN(", ",TRUE(),IF(COUNTIF($B$3:$B$502,B79)&gt;1,"Duplicate name",""),IF(I79="","Source missing",""),IF(OR(J79="",J79&lt;S_Today-S_RecheckDays),"Re-check still in role","")))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8"/>
      <c r="K80" s="27"/>
      <c r="L80" s="27"/>
      <c r="M80" s="32" t="str">
        <f aca="false">IF(B80="","",IFERROR(INDEX(L_RoleOK,MATCH(D80,L_RoleName,0)),"No"))</f>
        <v/>
      </c>
      <c r="N80" s="32" t="str">
        <f aca="false">IF(B80="","",_xlfn.TEXTJOIN(", ",TRUE(),IF(COUNTIF($B$3:$B$502,B80)&gt;1,"Duplicate name",""),IF(I80="","Source missing",""),IF(OR(J80="",J80&lt;S_Today-S_RecheckDays),"Re-check still in role","")))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8"/>
      <c r="K81" s="27"/>
      <c r="L81" s="27"/>
      <c r="M81" s="32" t="str">
        <f aca="false">IF(B81="","",IFERROR(INDEX(L_RoleOK,MATCH(D81,L_RoleName,0)),"No"))</f>
        <v/>
      </c>
      <c r="N81" s="32" t="str">
        <f aca="false">IF(B81="","",_xlfn.TEXTJOIN(", ",TRUE(),IF(COUNTIF($B$3:$B$502,B81)&gt;1,"Duplicate name",""),IF(I81="","Source missing",""),IF(OR(J81="",J81&lt;S_Today-S_RecheckDays),"Re-check still in role","")))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8"/>
      <c r="K82" s="27"/>
      <c r="L82" s="27"/>
      <c r="M82" s="32" t="str">
        <f aca="false">IF(B82="","",IFERROR(INDEX(L_RoleOK,MATCH(D82,L_RoleName,0)),"No"))</f>
        <v/>
      </c>
      <c r="N82" s="32" t="str">
        <f aca="false">IF(B82="","",_xlfn.TEXTJOIN(", ",TRUE(),IF(COUNTIF($B$3:$B$502,B82)&gt;1,"Duplicate name",""),IF(I82="","Source missing",""),IF(OR(J82="",J82&lt;S_Today-S_RecheckDays),"Re-check still in role","")))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8"/>
      <c r="K83" s="27"/>
      <c r="L83" s="27"/>
      <c r="M83" s="32" t="str">
        <f aca="false">IF(B83="","",IFERROR(INDEX(L_RoleOK,MATCH(D83,L_RoleName,0)),"No"))</f>
        <v/>
      </c>
      <c r="N83" s="32" t="str">
        <f aca="false">IF(B83="","",_xlfn.TEXTJOIN(", ",TRUE(),IF(COUNTIF($B$3:$B$502,B83)&gt;1,"Duplicate name",""),IF(I83="","Source missing",""),IF(OR(J83="",J83&lt;S_Today-S_RecheckDays),"Re-check still in role","")))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8"/>
      <c r="K84" s="27"/>
      <c r="L84" s="27"/>
      <c r="M84" s="32" t="str">
        <f aca="false">IF(B84="","",IFERROR(INDEX(L_RoleOK,MATCH(D84,L_RoleName,0)),"No"))</f>
        <v/>
      </c>
      <c r="N84" s="32" t="str">
        <f aca="false">IF(B84="","",_xlfn.TEXTJOIN(", ",TRUE(),IF(COUNTIF($B$3:$B$502,B84)&gt;1,"Duplicate name",""),IF(I84="","Source missing",""),IF(OR(J84="",J84&lt;S_Today-S_RecheckDays),"Re-check still in role","")))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8"/>
      <c r="K85" s="27"/>
      <c r="L85" s="27"/>
      <c r="M85" s="32" t="str">
        <f aca="false">IF(B85="","",IFERROR(INDEX(L_RoleOK,MATCH(D85,L_RoleName,0)),"No"))</f>
        <v/>
      </c>
      <c r="N85" s="32" t="str">
        <f aca="false">IF(B85="","",_xlfn.TEXTJOIN(", ",TRUE(),IF(COUNTIF($B$3:$B$502,B85)&gt;1,"Duplicate name",""),IF(I85="","Source missing",""),IF(OR(J85="",J85&lt;S_Today-S_RecheckDays),"Re-check still in role","")))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8"/>
      <c r="K86" s="27"/>
      <c r="L86" s="27"/>
      <c r="M86" s="32" t="str">
        <f aca="false">IF(B86="","",IFERROR(INDEX(L_RoleOK,MATCH(D86,L_RoleName,0)),"No"))</f>
        <v/>
      </c>
      <c r="N86" s="32" t="str">
        <f aca="false">IF(B86="","",_xlfn.TEXTJOIN(", ",TRUE(),IF(COUNTIF($B$3:$B$502,B86)&gt;1,"Duplicate name",""),IF(I86="","Source missing",""),IF(OR(J86="",J86&lt;S_Today-S_RecheckDays),"Re-check still in role","")))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8"/>
      <c r="K87" s="27"/>
      <c r="L87" s="27"/>
      <c r="M87" s="32" t="str">
        <f aca="false">IF(B87="","",IFERROR(INDEX(L_RoleOK,MATCH(D87,L_RoleName,0)),"No"))</f>
        <v/>
      </c>
      <c r="N87" s="32" t="str">
        <f aca="false">IF(B87="","",_xlfn.TEXTJOIN(", ",TRUE(),IF(COUNTIF($B$3:$B$502,B87)&gt;1,"Duplicate name",""),IF(I87="","Source missing",""),IF(OR(J87="",J87&lt;S_Today-S_RecheckDays),"Re-check still in role","")))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8"/>
      <c r="K88" s="27"/>
      <c r="L88" s="27"/>
      <c r="M88" s="32" t="str">
        <f aca="false">IF(B88="","",IFERROR(INDEX(L_RoleOK,MATCH(D88,L_RoleName,0)),"No"))</f>
        <v/>
      </c>
      <c r="N88" s="32" t="str">
        <f aca="false">IF(B88="","",_xlfn.TEXTJOIN(", ",TRUE(),IF(COUNTIF($B$3:$B$502,B88)&gt;1,"Duplicate name",""),IF(I88="","Source missing",""),IF(OR(J88="",J88&lt;S_Today-S_RecheckDays),"Re-check still in role","")))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8"/>
      <c r="K89" s="27"/>
      <c r="L89" s="27"/>
      <c r="M89" s="32" t="str">
        <f aca="false">IF(B89="","",IFERROR(INDEX(L_RoleOK,MATCH(D89,L_RoleName,0)),"No"))</f>
        <v/>
      </c>
      <c r="N89" s="32" t="str">
        <f aca="false">IF(B89="","",_xlfn.TEXTJOIN(", ",TRUE(),IF(COUNTIF($B$3:$B$502,B89)&gt;1,"Duplicate name",""),IF(I89="","Source missing",""),IF(OR(J89="",J89&lt;S_Today-S_RecheckDays),"Re-check still in role","")))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8"/>
      <c r="K90" s="27"/>
      <c r="L90" s="27"/>
      <c r="M90" s="32" t="str">
        <f aca="false">IF(B90="","",IFERROR(INDEX(L_RoleOK,MATCH(D90,L_RoleName,0)),"No"))</f>
        <v/>
      </c>
      <c r="N90" s="32" t="str">
        <f aca="false">IF(B90="","",_xlfn.TEXTJOIN(", ",TRUE(),IF(COUNTIF($B$3:$B$502,B90)&gt;1,"Duplicate name",""),IF(I90="","Source missing",""),IF(OR(J90="",J90&lt;S_Today-S_RecheckDays),"Re-check still in role","")))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8"/>
      <c r="K91" s="27"/>
      <c r="L91" s="27"/>
      <c r="M91" s="32" t="str">
        <f aca="false">IF(B91="","",IFERROR(INDEX(L_RoleOK,MATCH(D91,L_RoleName,0)),"No"))</f>
        <v/>
      </c>
      <c r="N91" s="32" t="str">
        <f aca="false">IF(B91="","",_xlfn.TEXTJOIN(", ",TRUE(),IF(COUNTIF($B$3:$B$502,B91)&gt;1,"Duplicate name",""),IF(I91="","Source missing",""),IF(OR(J91="",J91&lt;S_Today-S_RecheckDays),"Re-check still in role","")))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8"/>
      <c r="K92" s="27"/>
      <c r="L92" s="27"/>
      <c r="M92" s="32" t="str">
        <f aca="false">IF(B92="","",IFERROR(INDEX(L_RoleOK,MATCH(D92,L_RoleName,0)),"No"))</f>
        <v/>
      </c>
      <c r="N92" s="32" t="str">
        <f aca="false">IF(B92="","",_xlfn.TEXTJOIN(", ",TRUE(),IF(COUNTIF($B$3:$B$502,B92)&gt;1,"Duplicate name",""),IF(I92="","Source missing",""),IF(OR(J92="",J92&lt;S_Today-S_RecheckDays),"Re-check still in role","")))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8"/>
      <c r="K93" s="27"/>
      <c r="L93" s="27"/>
      <c r="M93" s="32" t="str">
        <f aca="false">IF(B93="","",IFERROR(INDEX(L_RoleOK,MATCH(D93,L_RoleName,0)),"No"))</f>
        <v/>
      </c>
      <c r="N93" s="32" t="str">
        <f aca="false">IF(B93="","",_xlfn.TEXTJOIN(", ",TRUE(),IF(COUNTIF($B$3:$B$502,B93)&gt;1,"Duplicate name",""),IF(I93="","Source missing",""),IF(OR(J93="",J93&lt;S_Today-S_RecheckDays),"Re-check still in role","")))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8"/>
      <c r="K94" s="27"/>
      <c r="L94" s="27"/>
      <c r="M94" s="32" t="str">
        <f aca="false">IF(B94="","",IFERROR(INDEX(L_RoleOK,MATCH(D94,L_RoleName,0)),"No"))</f>
        <v/>
      </c>
      <c r="N94" s="32" t="str">
        <f aca="false">IF(B94="","",_xlfn.TEXTJOIN(", ",TRUE(),IF(COUNTIF($B$3:$B$502,B94)&gt;1,"Duplicate name",""),IF(I94="","Source missing",""),IF(OR(J94="",J94&lt;S_Today-S_RecheckDays),"Re-check still in role","")))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8"/>
      <c r="K95" s="27"/>
      <c r="L95" s="27"/>
      <c r="M95" s="32" t="str">
        <f aca="false">IF(B95="","",IFERROR(INDEX(L_RoleOK,MATCH(D95,L_RoleName,0)),"No"))</f>
        <v/>
      </c>
      <c r="N95" s="32" t="str">
        <f aca="false">IF(B95="","",_xlfn.TEXTJOIN(", ",TRUE(),IF(COUNTIF($B$3:$B$502,B95)&gt;1,"Duplicate name",""),IF(I95="","Source missing",""),IF(OR(J95="",J95&lt;S_Today-S_RecheckDays),"Re-check still in role","")))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8"/>
      <c r="K96" s="27"/>
      <c r="L96" s="27"/>
      <c r="M96" s="32" t="str">
        <f aca="false">IF(B96="","",IFERROR(INDEX(L_RoleOK,MATCH(D96,L_RoleName,0)),"No"))</f>
        <v/>
      </c>
      <c r="N96" s="32" t="str">
        <f aca="false">IF(B96="","",_xlfn.TEXTJOIN(", ",TRUE(),IF(COUNTIF($B$3:$B$502,B96)&gt;1,"Duplicate name",""),IF(I96="","Source missing",""),IF(OR(J96="",J96&lt;S_Today-S_RecheckDays),"Re-check still in role","")))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8"/>
      <c r="K97" s="27"/>
      <c r="L97" s="27"/>
      <c r="M97" s="32" t="str">
        <f aca="false">IF(B97="","",IFERROR(INDEX(L_RoleOK,MATCH(D97,L_RoleName,0)),"No"))</f>
        <v/>
      </c>
      <c r="N97" s="32" t="str">
        <f aca="false">IF(B97="","",_xlfn.TEXTJOIN(", ",TRUE(),IF(COUNTIF($B$3:$B$502,B97)&gt;1,"Duplicate name",""),IF(I97="","Source missing",""),IF(OR(J97="",J97&lt;S_Today-S_RecheckDays),"Re-check still in role","")))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8"/>
      <c r="K98" s="27"/>
      <c r="L98" s="27"/>
      <c r="M98" s="32" t="str">
        <f aca="false">IF(B98="","",IFERROR(INDEX(L_RoleOK,MATCH(D98,L_RoleName,0)),"No"))</f>
        <v/>
      </c>
      <c r="N98" s="32" t="str">
        <f aca="false">IF(B98="","",_xlfn.TEXTJOIN(", ",TRUE(),IF(COUNTIF($B$3:$B$502,B98)&gt;1,"Duplicate name",""),IF(I98="","Source missing",""),IF(OR(J98="",J98&lt;S_Today-S_RecheckDays),"Re-check still in role","")))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8"/>
      <c r="K99" s="27"/>
      <c r="L99" s="27"/>
      <c r="M99" s="32" t="str">
        <f aca="false">IF(B99="","",IFERROR(INDEX(L_RoleOK,MATCH(D99,L_RoleName,0)),"No"))</f>
        <v/>
      </c>
      <c r="N99" s="32" t="str">
        <f aca="false">IF(B99="","",_xlfn.TEXTJOIN(", ",TRUE(),IF(COUNTIF($B$3:$B$502,B99)&gt;1,"Duplicate name",""),IF(I99="","Source missing",""),IF(OR(J99="",J99&lt;S_Today-S_RecheckDays),"Re-check still in role","")))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8"/>
      <c r="K100" s="27"/>
      <c r="L100" s="27"/>
      <c r="M100" s="32" t="str">
        <f aca="false">IF(B100="","",IFERROR(INDEX(L_RoleOK,MATCH(D100,L_RoleName,0)),"No"))</f>
        <v/>
      </c>
      <c r="N100" s="32" t="str">
        <f aca="false">IF(B100="","",_xlfn.TEXTJOIN(", ",TRUE(),IF(COUNTIF($B$3:$B$502,B100)&gt;1,"Duplicate name",""),IF(I100="","Source missing",""),IF(OR(J100="",J100&lt;S_Today-S_RecheckDays),"Re-check still in role","")))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8"/>
      <c r="K101" s="27"/>
      <c r="L101" s="27"/>
      <c r="M101" s="32" t="str">
        <f aca="false">IF(B101="","",IFERROR(INDEX(L_RoleOK,MATCH(D101,L_RoleName,0)),"No"))</f>
        <v/>
      </c>
      <c r="N101" s="32" t="str">
        <f aca="false">IF(B101="","",_xlfn.TEXTJOIN(", ",TRUE(),IF(COUNTIF($B$3:$B$502,B101)&gt;1,"Duplicate name",""),IF(I101="","Source missing",""),IF(OR(J101="",J101&lt;S_Today-S_RecheckDays),"Re-check still in role","")))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8"/>
      <c r="K102" s="27"/>
      <c r="L102" s="27"/>
      <c r="M102" s="32" t="str">
        <f aca="false">IF(B102="","",IFERROR(INDEX(L_RoleOK,MATCH(D102,L_RoleName,0)),"No"))</f>
        <v/>
      </c>
      <c r="N102" s="32" t="str">
        <f aca="false">IF(B102="","",_xlfn.TEXTJOIN(", ",TRUE(),IF(COUNTIF($B$3:$B$502,B102)&gt;1,"Duplicate name",""),IF(I102="","Source missing",""),IF(OR(J102="",J102&lt;S_Today-S_RecheckDays),"Re-check still in role","")))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8"/>
      <c r="K103" s="27"/>
      <c r="L103" s="27"/>
      <c r="M103" s="32" t="str">
        <f aca="false">IF(B103="","",IFERROR(INDEX(L_RoleOK,MATCH(D103,L_RoleName,0)),"No"))</f>
        <v/>
      </c>
      <c r="N103" s="32" t="str">
        <f aca="false">IF(B103="","",_xlfn.TEXTJOIN(", ",TRUE(),IF(COUNTIF($B$3:$B$502,B103)&gt;1,"Duplicate name",""),IF(I103="","Source missing",""),IF(OR(J103="",J103&lt;S_Today-S_RecheckDays),"Re-check still in role","")))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8"/>
      <c r="K104" s="27"/>
      <c r="L104" s="27"/>
      <c r="M104" s="32" t="str">
        <f aca="false">IF(B104="","",IFERROR(INDEX(L_RoleOK,MATCH(D104,L_RoleName,0)),"No"))</f>
        <v/>
      </c>
      <c r="N104" s="32" t="str">
        <f aca="false">IF(B104="","",_xlfn.TEXTJOIN(", ",TRUE(),IF(COUNTIF($B$3:$B$502,B104)&gt;1,"Duplicate name",""),IF(I104="","Source missing",""),IF(OR(J104="",J104&lt;S_Today-S_RecheckDays),"Re-check still in role","")))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8"/>
      <c r="K105" s="27"/>
      <c r="L105" s="27"/>
      <c r="M105" s="32" t="str">
        <f aca="false">IF(B105="","",IFERROR(INDEX(L_RoleOK,MATCH(D105,L_RoleName,0)),"No"))</f>
        <v/>
      </c>
      <c r="N105" s="32" t="str">
        <f aca="false">IF(B105="","",_xlfn.TEXTJOIN(", ",TRUE(),IF(COUNTIF($B$3:$B$502,B105)&gt;1,"Duplicate name",""),IF(I105="","Source missing",""),IF(OR(J105="",J105&lt;S_Today-S_RecheckDays),"Re-check still in role","")))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8"/>
      <c r="K106" s="27"/>
      <c r="L106" s="27"/>
      <c r="M106" s="32" t="str">
        <f aca="false">IF(B106="","",IFERROR(INDEX(L_RoleOK,MATCH(D106,L_RoleName,0)),"No"))</f>
        <v/>
      </c>
      <c r="N106" s="32" t="str">
        <f aca="false">IF(B106="","",_xlfn.TEXTJOIN(", ",TRUE(),IF(COUNTIF($B$3:$B$502,B106)&gt;1,"Duplicate name",""),IF(I106="","Source missing",""),IF(OR(J106="",J106&lt;S_Today-S_RecheckDays),"Re-check still in role","")))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8"/>
      <c r="K107" s="27"/>
      <c r="L107" s="27"/>
      <c r="M107" s="32" t="str">
        <f aca="false">IF(B107="","",IFERROR(INDEX(L_RoleOK,MATCH(D107,L_RoleName,0)),"No"))</f>
        <v/>
      </c>
      <c r="N107" s="32" t="str">
        <f aca="false">IF(B107="","",_xlfn.TEXTJOIN(", ",TRUE(),IF(COUNTIF($B$3:$B$502,B107)&gt;1,"Duplicate name",""),IF(I107="","Source missing",""),IF(OR(J107="",J107&lt;S_Today-S_RecheckDays),"Re-check still in role","")))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8"/>
      <c r="K108" s="27"/>
      <c r="L108" s="27"/>
      <c r="M108" s="32" t="str">
        <f aca="false">IF(B108="","",IFERROR(INDEX(L_RoleOK,MATCH(D108,L_RoleName,0)),"No"))</f>
        <v/>
      </c>
      <c r="N108" s="32" t="str">
        <f aca="false">IF(B108="","",_xlfn.TEXTJOIN(", ",TRUE(),IF(COUNTIF($B$3:$B$502,B108)&gt;1,"Duplicate name",""),IF(I108="","Source missing",""),IF(OR(J108="",J108&lt;S_Today-S_RecheckDays),"Re-check still in role","")))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8"/>
      <c r="K109" s="27"/>
      <c r="L109" s="27"/>
      <c r="M109" s="32" t="str">
        <f aca="false">IF(B109="","",IFERROR(INDEX(L_RoleOK,MATCH(D109,L_RoleName,0)),"No"))</f>
        <v/>
      </c>
      <c r="N109" s="32" t="str">
        <f aca="false">IF(B109="","",_xlfn.TEXTJOIN(", ",TRUE(),IF(COUNTIF($B$3:$B$502,B109)&gt;1,"Duplicate name",""),IF(I109="","Source missing",""),IF(OR(J109="",J109&lt;S_Today-S_RecheckDays),"Re-check still in role","")))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8"/>
      <c r="K110" s="27"/>
      <c r="L110" s="27"/>
      <c r="M110" s="32" t="str">
        <f aca="false">IF(B110="","",IFERROR(INDEX(L_RoleOK,MATCH(D110,L_RoleName,0)),"No"))</f>
        <v/>
      </c>
      <c r="N110" s="32" t="str">
        <f aca="false">IF(B110="","",_xlfn.TEXTJOIN(", ",TRUE(),IF(COUNTIF($B$3:$B$502,B110)&gt;1,"Duplicate name",""),IF(I110="","Source missing",""),IF(OR(J110="",J110&lt;S_Today-S_RecheckDays),"Re-check still in role","")))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8"/>
      <c r="K111" s="27"/>
      <c r="L111" s="27"/>
      <c r="M111" s="32" t="str">
        <f aca="false">IF(B111="","",IFERROR(INDEX(L_RoleOK,MATCH(D111,L_RoleName,0)),"No"))</f>
        <v/>
      </c>
      <c r="N111" s="32" t="str">
        <f aca="false">IF(B111="","",_xlfn.TEXTJOIN(", ",TRUE(),IF(COUNTIF($B$3:$B$502,B111)&gt;1,"Duplicate name",""),IF(I111="","Source missing",""),IF(OR(J111="",J111&lt;S_Today-S_RecheckDays),"Re-check still in role","")))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8"/>
      <c r="K112" s="27"/>
      <c r="L112" s="27"/>
      <c r="M112" s="32" t="str">
        <f aca="false">IF(B112="","",IFERROR(INDEX(L_RoleOK,MATCH(D112,L_RoleName,0)),"No"))</f>
        <v/>
      </c>
      <c r="N112" s="32" t="str">
        <f aca="false">IF(B112="","",_xlfn.TEXTJOIN(", ",TRUE(),IF(COUNTIF($B$3:$B$502,B112)&gt;1,"Duplicate name",""),IF(I112="","Source missing",""),IF(OR(J112="",J112&lt;S_Today-S_RecheckDays),"Re-check still in role","")))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8"/>
      <c r="K113" s="27"/>
      <c r="L113" s="27"/>
      <c r="M113" s="32" t="str">
        <f aca="false">IF(B113="","",IFERROR(INDEX(L_RoleOK,MATCH(D113,L_RoleName,0)),"No"))</f>
        <v/>
      </c>
      <c r="N113" s="32" t="str">
        <f aca="false">IF(B113="","",_xlfn.TEXTJOIN(", ",TRUE(),IF(COUNTIF($B$3:$B$502,B113)&gt;1,"Duplicate name",""),IF(I113="","Source missing",""),IF(OR(J113="",J113&lt;S_Today-S_RecheckDays),"Re-check still in role","")))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8"/>
      <c r="K114" s="27"/>
      <c r="L114" s="27"/>
      <c r="M114" s="32" t="str">
        <f aca="false">IF(B114="","",IFERROR(INDEX(L_RoleOK,MATCH(D114,L_RoleName,0)),"No"))</f>
        <v/>
      </c>
      <c r="N114" s="32" t="str">
        <f aca="false">IF(B114="","",_xlfn.TEXTJOIN(", ",TRUE(),IF(COUNTIF($B$3:$B$502,B114)&gt;1,"Duplicate name",""),IF(I114="","Source missing",""),IF(OR(J114="",J114&lt;S_Today-S_RecheckDays),"Re-check still in role","")))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8"/>
      <c r="K115" s="27"/>
      <c r="L115" s="27"/>
      <c r="M115" s="32" t="str">
        <f aca="false">IF(B115="","",IFERROR(INDEX(L_RoleOK,MATCH(D115,L_RoleName,0)),"No"))</f>
        <v/>
      </c>
      <c r="N115" s="32" t="str">
        <f aca="false">IF(B115="","",_xlfn.TEXTJOIN(", ",TRUE(),IF(COUNTIF($B$3:$B$502,B115)&gt;1,"Duplicate name",""),IF(I115="","Source missing",""),IF(OR(J115="",J115&lt;S_Today-S_RecheckDays),"Re-check still in role","")))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8"/>
      <c r="K116" s="27"/>
      <c r="L116" s="27"/>
      <c r="M116" s="32" t="str">
        <f aca="false">IF(B116="","",IFERROR(INDEX(L_RoleOK,MATCH(D116,L_RoleName,0)),"No"))</f>
        <v/>
      </c>
      <c r="N116" s="32" t="str">
        <f aca="false">IF(B116="","",_xlfn.TEXTJOIN(", ",TRUE(),IF(COUNTIF($B$3:$B$502,B116)&gt;1,"Duplicate name",""),IF(I116="","Source missing",""),IF(OR(J116="",J116&lt;S_Today-S_RecheckDays),"Re-check still in role","")))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8"/>
      <c r="K117" s="27"/>
      <c r="L117" s="27"/>
      <c r="M117" s="32" t="str">
        <f aca="false">IF(B117="","",IFERROR(INDEX(L_RoleOK,MATCH(D117,L_RoleName,0)),"No"))</f>
        <v/>
      </c>
      <c r="N117" s="32" t="str">
        <f aca="false">IF(B117="","",_xlfn.TEXTJOIN(", ",TRUE(),IF(COUNTIF($B$3:$B$502,B117)&gt;1,"Duplicate name",""),IF(I117="","Source missing",""),IF(OR(J117="",J117&lt;S_Today-S_RecheckDays),"Re-check still in role","")))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8"/>
      <c r="K118" s="27"/>
      <c r="L118" s="27"/>
      <c r="M118" s="32" t="str">
        <f aca="false">IF(B118="","",IFERROR(INDEX(L_RoleOK,MATCH(D118,L_RoleName,0)),"No"))</f>
        <v/>
      </c>
      <c r="N118" s="32" t="str">
        <f aca="false">IF(B118="","",_xlfn.TEXTJOIN(", ",TRUE(),IF(COUNTIF($B$3:$B$502,B118)&gt;1,"Duplicate name",""),IF(I118="","Source missing",""),IF(OR(J118="",J118&lt;S_Today-S_RecheckDays),"Re-check still in role","")))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8"/>
      <c r="K119" s="27"/>
      <c r="L119" s="27"/>
      <c r="M119" s="32" t="str">
        <f aca="false">IF(B119="","",IFERROR(INDEX(L_RoleOK,MATCH(D119,L_RoleName,0)),"No"))</f>
        <v/>
      </c>
      <c r="N119" s="32" t="str">
        <f aca="false">IF(B119="","",_xlfn.TEXTJOIN(", ",TRUE(),IF(COUNTIF($B$3:$B$502,B119)&gt;1,"Duplicate name",""),IF(I119="","Source missing",""),IF(OR(J119="",J119&lt;S_Today-S_RecheckDays),"Re-check still in role","")))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8"/>
      <c r="K120" s="27"/>
      <c r="L120" s="27"/>
      <c r="M120" s="32" t="str">
        <f aca="false">IF(B120="","",IFERROR(INDEX(L_RoleOK,MATCH(D120,L_RoleName,0)),"No"))</f>
        <v/>
      </c>
      <c r="N120" s="32" t="str">
        <f aca="false">IF(B120="","",_xlfn.TEXTJOIN(", ",TRUE(),IF(COUNTIF($B$3:$B$502,B120)&gt;1,"Duplicate name",""),IF(I120="","Source missing",""),IF(OR(J120="",J120&lt;S_Today-S_RecheckDays),"Re-check still in role","")))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8"/>
      <c r="K121" s="27"/>
      <c r="L121" s="27"/>
      <c r="M121" s="32" t="str">
        <f aca="false">IF(B121="","",IFERROR(INDEX(L_RoleOK,MATCH(D121,L_RoleName,0)),"No"))</f>
        <v/>
      </c>
      <c r="N121" s="32" t="str">
        <f aca="false">IF(B121="","",_xlfn.TEXTJOIN(", ",TRUE(),IF(COUNTIF($B$3:$B$502,B121)&gt;1,"Duplicate name",""),IF(I121="","Source missing",""),IF(OR(J121="",J121&lt;S_Today-S_RecheckDays),"Re-check still in role","")))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8"/>
      <c r="K122" s="27"/>
      <c r="L122" s="27"/>
      <c r="M122" s="32" t="str">
        <f aca="false">IF(B122="","",IFERROR(INDEX(L_RoleOK,MATCH(D122,L_RoleName,0)),"No"))</f>
        <v/>
      </c>
      <c r="N122" s="32" t="str">
        <f aca="false">IF(B122="","",_xlfn.TEXTJOIN(", ",TRUE(),IF(COUNTIF($B$3:$B$502,B122)&gt;1,"Duplicate name",""),IF(I122="","Source missing",""),IF(OR(J122="",J122&lt;S_Today-S_RecheckDays),"Re-check still in role","")))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8"/>
      <c r="K123" s="27"/>
      <c r="L123" s="27"/>
      <c r="M123" s="32" t="str">
        <f aca="false">IF(B123="","",IFERROR(INDEX(L_RoleOK,MATCH(D123,L_RoleName,0)),"No"))</f>
        <v/>
      </c>
      <c r="N123" s="32" t="str">
        <f aca="false">IF(B123="","",_xlfn.TEXTJOIN(", ",TRUE(),IF(COUNTIF($B$3:$B$502,B123)&gt;1,"Duplicate name",""),IF(I123="","Source missing",""),IF(OR(J123="",J123&lt;S_Today-S_RecheckDays),"Re-check still in role","")))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8"/>
      <c r="K124" s="27"/>
      <c r="L124" s="27"/>
      <c r="M124" s="32" t="str">
        <f aca="false">IF(B124="","",IFERROR(INDEX(L_RoleOK,MATCH(D124,L_RoleName,0)),"No"))</f>
        <v/>
      </c>
      <c r="N124" s="32" t="str">
        <f aca="false">IF(B124="","",_xlfn.TEXTJOIN(", ",TRUE(),IF(COUNTIF($B$3:$B$502,B124)&gt;1,"Duplicate name",""),IF(I124="","Source missing",""),IF(OR(J124="",J124&lt;S_Today-S_RecheckDays),"Re-check still in role","")))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8"/>
      <c r="K125" s="27"/>
      <c r="L125" s="27"/>
      <c r="M125" s="32" t="str">
        <f aca="false">IF(B125="","",IFERROR(INDEX(L_RoleOK,MATCH(D125,L_RoleName,0)),"No"))</f>
        <v/>
      </c>
      <c r="N125" s="32" t="str">
        <f aca="false">IF(B125="","",_xlfn.TEXTJOIN(", ",TRUE(),IF(COUNTIF($B$3:$B$502,B125)&gt;1,"Duplicate name",""),IF(I125="","Source missing",""),IF(OR(J125="",J125&lt;S_Today-S_RecheckDays),"Re-check still in role","")))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8"/>
      <c r="K126" s="27"/>
      <c r="L126" s="27"/>
      <c r="M126" s="32" t="str">
        <f aca="false">IF(B126="","",IFERROR(INDEX(L_RoleOK,MATCH(D126,L_RoleName,0)),"No"))</f>
        <v/>
      </c>
      <c r="N126" s="32" t="str">
        <f aca="false">IF(B126="","",_xlfn.TEXTJOIN(", ",TRUE(),IF(COUNTIF($B$3:$B$502,B126)&gt;1,"Duplicate name",""),IF(I126="","Source missing",""),IF(OR(J126="",J126&lt;S_Today-S_RecheckDays),"Re-check still in role","")))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8"/>
      <c r="K127" s="27"/>
      <c r="L127" s="27"/>
      <c r="M127" s="32" t="str">
        <f aca="false">IF(B127="","",IFERROR(INDEX(L_RoleOK,MATCH(D127,L_RoleName,0)),"No"))</f>
        <v/>
      </c>
      <c r="N127" s="32" t="str">
        <f aca="false">IF(B127="","",_xlfn.TEXTJOIN(", ",TRUE(),IF(COUNTIF($B$3:$B$502,B127)&gt;1,"Duplicate name",""),IF(I127="","Source missing",""),IF(OR(J127="",J127&lt;S_Today-S_RecheckDays),"Re-check still in role","")))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8"/>
      <c r="K128" s="27"/>
      <c r="L128" s="27"/>
      <c r="M128" s="32" t="str">
        <f aca="false">IF(B128="","",IFERROR(INDEX(L_RoleOK,MATCH(D128,L_RoleName,0)),"No"))</f>
        <v/>
      </c>
      <c r="N128" s="32" t="str">
        <f aca="false">IF(B128="","",_xlfn.TEXTJOIN(", ",TRUE(),IF(COUNTIF($B$3:$B$502,B128)&gt;1,"Duplicate name",""),IF(I128="","Source missing",""),IF(OR(J128="",J128&lt;S_Today-S_RecheckDays),"Re-check still in role","")))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8"/>
      <c r="K129" s="27"/>
      <c r="L129" s="27"/>
      <c r="M129" s="32" t="str">
        <f aca="false">IF(B129="","",IFERROR(INDEX(L_RoleOK,MATCH(D129,L_RoleName,0)),"No"))</f>
        <v/>
      </c>
      <c r="N129" s="32" t="str">
        <f aca="false">IF(B129="","",_xlfn.TEXTJOIN(", ",TRUE(),IF(COUNTIF($B$3:$B$502,B129)&gt;1,"Duplicate name",""),IF(I129="","Source missing",""),IF(OR(J129="",J129&lt;S_Today-S_RecheckDays),"Re-check still in role","")))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8"/>
      <c r="K130" s="27"/>
      <c r="L130" s="27"/>
      <c r="M130" s="32" t="str">
        <f aca="false">IF(B130="","",IFERROR(INDEX(L_RoleOK,MATCH(D130,L_RoleName,0)),"No"))</f>
        <v/>
      </c>
      <c r="N130" s="32" t="str">
        <f aca="false">IF(B130="","",_xlfn.TEXTJOIN(", ",TRUE(),IF(COUNTIF($B$3:$B$502,B130)&gt;1,"Duplicate name",""),IF(I130="","Source missing",""),IF(OR(J130="",J130&lt;S_Today-S_RecheckDays),"Re-check still in role","")))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8"/>
      <c r="K131" s="27"/>
      <c r="L131" s="27"/>
      <c r="M131" s="32" t="str">
        <f aca="false">IF(B131="","",IFERROR(INDEX(L_RoleOK,MATCH(D131,L_RoleName,0)),"No"))</f>
        <v/>
      </c>
      <c r="N131" s="32" t="str">
        <f aca="false">IF(B131="","",_xlfn.TEXTJOIN(", ",TRUE(),IF(COUNTIF($B$3:$B$502,B131)&gt;1,"Duplicate name",""),IF(I131="","Source missing",""),IF(OR(J131="",J131&lt;S_Today-S_RecheckDays),"Re-check still in role","")))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8"/>
      <c r="K132" s="27"/>
      <c r="L132" s="27"/>
      <c r="M132" s="32" t="str">
        <f aca="false">IF(B132="","",IFERROR(INDEX(L_RoleOK,MATCH(D132,L_RoleName,0)),"No"))</f>
        <v/>
      </c>
      <c r="N132" s="32" t="str">
        <f aca="false">IF(B132="","",_xlfn.TEXTJOIN(", ",TRUE(),IF(COUNTIF($B$3:$B$502,B132)&gt;1,"Duplicate name",""),IF(I132="","Source missing",""),IF(OR(J132="",J132&lt;S_Today-S_RecheckDays),"Re-check still in role","")))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8"/>
      <c r="K133" s="27"/>
      <c r="L133" s="27"/>
      <c r="M133" s="32" t="str">
        <f aca="false">IF(B133="","",IFERROR(INDEX(L_RoleOK,MATCH(D133,L_RoleName,0)),"No"))</f>
        <v/>
      </c>
      <c r="N133" s="32" t="str">
        <f aca="false">IF(B133="","",_xlfn.TEXTJOIN(", ",TRUE(),IF(COUNTIF($B$3:$B$502,B133)&gt;1,"Duplicate name",""),IF(I133="","Source missing",""),IF(OR(J133="",J133&lt;S_Today-S_RecheckDays),"Re-check still in role","")))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8"/>
      <c r="K134" s="27"/>
      <c r="L134" s="27"/>
      <c r="M134" s="32" t="str">
        <f aca="false">IF(B134="","",IFERROR(INDEX(L_RoleOK,MATCH(D134,L_RoleName,0)),"No"))</f>
        <v/>
      </c>
      <c r="N134" s="32" t="str">
        <f aca="false">IF(B134="","",_xlfn.TEXTJOIN(", ",TRUE(),IF(COUNTIF($B$3:$B$502,B134)&gt;1,"Duplicate name",""),IF(I134="","Source missing",""),IF(OR(J134="",J134&lt;S_Today-S_RecheckDays),"Re-check still in role","")))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8"/>
      <c r="K135" s="27"/>
      <c r="L135" s="27"/>
      <c r="M135" s="32" t="str">
        <f aca="false">IF(B135="","",IFERROR(INDEX(L_RoleOK,MATCH(D135,L_RoleName,0)),"No"))</f>
        <v/>
      </c>
      <c r="N135" s="32" t="str">
        <f aca="false">IF(B135="","",_xlfn.TEXTJOIN(", ",TRUE(),IF(COUNTIF($B$3:$B$502,B135)&gt;1,"Duplicate name",""),IF(I135="","Source missing",""),IF(OR(J135="",J135&lt;S_Today-S_RecheckDays),"Re-check still in role","")))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8"/>
      <c r="K136" s="27"/>
      <c r="L136" s="27"/>
      <c r="M136" s="32" t="str">
        <f aca="false">IF(B136="","",IFERROR(INDEX(L_RoleOK,MATCH(D136,L_RoleName,0)),"No"))</f>
        <v/>
      </c>
      <c r="N136" s="32" t="str">
        <f aca="false">IF(B136="","",_xlfn.TEXTJOIN(", ",TRUE(),IF(COUNTIF($B$3:$B$502,B136)&gt;1,"Duplicate name",""),IF(I136="","Source missing",""),IF(OR(J136="",J136&lt;S_Today-S_RecheckDays),"Re-check still in role","")))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8"/>
      <c r="K137" s="27"/>
      <c r="L137" s="27"/>
      <c r="M137" s="32" t="str">
        <f aca="false">IF(B137="","",IFERROR(INDEX(L_RoleOK,MATCH(D137,L_RoleName,0)),"No"))</f>
        <v/>
      </c>
      <c r="N137" s="32" t="str">
        <f aca="false">IF(B137="","",_xlfn.TEXTJOIN(", ",TRUE(),IF(COUNTIF($B$3:$B$502,B137)&gt;1,"Duplicate name",""),IF(I137="","Source missing",""),IF(OR(J137="",J137&lt;S_Today-S_RecheckDays),"Re-check still in role","")))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8"/>
      <c r="K138" s="27"/>
      <c r="L138" s="27"/>
      <c r="M138" s="32" t="str">
        <f aca="false">IF(B138="","",IFERROR(INDEX(L_RoleOK,MATCH(D138,L_RoleName,0)),"No"))</f>
        <v/>
      </c>
      <c r="N138" s="32" t="str">
        <f aca="false">IF(B138="","",_xlfn.TEXTJOIN(", ",TRUE(),IF(COUNTIF($B$3:$B$502,B138)&gt;1,"Duplicate name",""),IF(I138="","Source missing",""),IF(OR(J138="",J138&lt;S_Today-S_RecheckDays),"Re-check still in role","")))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8"/>
      <c r="K139" s="27"/>
      <c r="L139" s="27"/>
      <c r="M139" s="32" t="str">
        <f aca="false">IF(B139="","",IFERROR(INDEX(L_RoleOK,MATCH(D139,L_RoleName,0)),"No"))</f>
        <v/>
      </c>
      <c r="N139" s="32" t="str">
        <f aca="false">IF(B139="","",_xlfn.TEXTJOIN(", ",TRUE(),IF(COUNTIF($B$3:$B$502,B139)&gt;1,"Duplicate name",""),IF(I139="","Source missing",""),IF(OR(J139="",J139&lt;S_Today-S_RecheckDays),"Re-check still in role","")))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8"/>
      <c r="K140" s="27"/>
      <c r="L140" s="27"/>
      <c r="M140" s="32" t="str">
        <f aca="false">IF(B140="","",IFERROR(INDEX(L_RoleOK,MATCH(D140,L_RoleName,0)),"No"))</f>
        <v/>
      </c>
      <c r="N140" s="32" t="str">
        <f aca="false">IF(B140="","",_xlfn.TEXTJOIN(", ",TRUE(),IF(COUNTIF($B$3:$B$502,B140)&gt;1,"Duplicate name",""),IF(I140="","Source missing",""),IF(OR(J140="",J140&lt;S_Today-S_RecheckDays),"Re-check still in role","")))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8"/>
      <c r="K141" s="27"/>
      <c r="L141" s="27"/>
      <c r="M141" s="32" t="str">
        <f aca="false">IF(B141="","",IFERROR(INDEX(L_RoleOK,MATCH(D141,L_RoleName,0)),"No"))</f>
        <v/>
      </c>
      <c r="N141" s="32" t="str">
        <f aca="false">IF(B141="","",_xlfn.TEXTJOIN(", ",TRUE(),IF(COUNTIF($B$3:$B$502,B141)&gt;1,"Duplicate name",""),IF(I141="","Source missing",""),IF(OR(J141="",J141&lt;S_Today-S_RecheckDays),"Re-check still in role","")))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8"/>
      <c r="K142" s="27"/>
      <c r="L142" s="27"/>
      <c r="M142" s="32" t="str">
        <f aca="false">IF(B142="","",IFERROR(INDEX(L_RoleOK,MATCH(D142,L_RoleName,0)),"No"))</f>
        <v/>
      </c>
      <c r="N142" s="32" t="str">
        <f aca="false">IF(B142="","",_xlfn.TEXTJOIN(", ",TRUE(),IF(COUNTIF($B$3:$B$502,B142)&gt;1,"Duplicate name",""),IF(I142="","Source missing",""),IF(OR(J142="",J142&lt;S_Today-S_RecheckDays),"Re-check still in role","")))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8"/>
      <c r="K143" s="27"/>
      <c r="L143" s="27"/>
      <c r="M143" s="32" t="str">
        <f aca="false">IF(B143="","",IFERROR(INDEX(L_RoleOK,MATCH(D143,L_RoleName,0)),"No"))</f>
        <v/>
      </c>
      <c r="N143" s="32" t="str">
        <f aca="false">IF(B143="","",_xlfn.TEXTJOIN(", ",TRUE(),IF(COUNTIF($B$3:$B$502,B143)&gt;1,"Duplicate name",""),IF(I143="","Source missing",""),IF(OR(J143="",J143&lt;S_Today-S_RecheckDays),"Re-check still in role","")))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8"/>
      <c r="K144" s="27"/>
      <c r="L144" s="27"/>
      <c r="M144" s="32" t="str">
        <f aca="false">IF(B144="","",IFERROR(INDEX(L_RoleOK,MATCH(D144,L_RoleName,0)),"No"))</f>
        <v/>
      </c>
      <c r="N144" s="32" t="str">
        <f aca="false">IF(B144="","",_xlfn.TEXTJOIN(", ",TRUE(),IF(COUNTIF($B$3:$B$502,B144)&gt;1,"Duplicate name",""),IF(I144="","Source missing",""),IF(OR(J144="",J144&lt;S_Today-S_RecheckDays),"Re-check still in role","")))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8"/>
      <c r="K145" s="27"/>
      <c r="L145" s="27"/>
      <c r="M145" s="32" t="str">
        <f aca="false">IF(B145="","",IFERROR(INDEX(L_RoleOK,MATCH(D145,L_RoleName,0)),"No"))</f>
        <v/>
      </c>
      <c r="N145" s="32" t="str">
        <f aca="false">IF(B145="","",_xlfn.TEXTJOIN(", ",TRUE(),IF(COUNTIF($B$3:$B$502,B145)&gt;1,"Duplicate name",""),IF(I145="","Source missing",""),IF(OR(J145="",J145&lt;S_Today-S_RecheckDays),"Re-check still in role","")))</f>
        <v/>
      </c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8"/>
      <c r="K146" s="27"/>
      <c r="L146" s="27"/>
      <c r="M146" s="32" t="str">
        <f aca="false">IF(B146="","",IFERROR(INDEX(L_RoleOK,MATCH(D146,L_RoleName,0)),"No"))</f>
        <v/>
      </c>
      <c r="N146" s="32" t="str">
        <f aca="false">IF(B146="","",_xlfn.TEXTJOIN(", ",TRUE(),IF(COUNTIF($B$3:$B$502,B146)&gt;1,"Duplicate name",""),IF(I146="","Source missing",""),IF(OR(J146="",J146&lt;S_Today-S_RecheckDays),"Re-check still in role","")))</f>
        <v/>
      </c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8"/>
      <c r="K147" s="27"/>
      <c r="L147" s="27"/>
      <c r="M147" s="32" t="str">
        <f aca="false">IF(B147="","",IFERROR(INDEX(L_RoleOK,MATCH(D147,L_RoleName,0)),"No"))</f>
        <v/>
      </c>
      <c r="N147" s="32" t="str">
        <f aca="false">IF(B147="","",_xlfn.TEXTJOIN(", ",TRUE(),IF(COUNTIF($B$3:$B$502,B147)&gt;1,"Duplicate name",""),IF(I147="","Source missing",""),IF(OR(J147="",J147&lt;S_Today-S_RecheckDays),"Re-check still in role","")))</f>
        <v/>
      </c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8"/>
      <c r="K148" s="27"/>
      <c r="L148" s="27"/>
      <c r="M148" s="32" t="str">
        <f aca="false">IF(B148="","",IFERROR(INDEX(L_RoleOK,MATCH(D148,L_RoleName,0)),"No"))</f>
        <v/>
      </c>
      <c r="N148" s="32" t="str">
        <f aca="false">IF(B148="","",_xlfn.TEXTJOIN(", ",TRUE(),IF(COUNTIF($B$3:$B$502,B148)&gt;1,"Duplicate name",""),IF(I148="","Source missing",""),IF(OR(J148="",J148&lt;S_Today-S_RecheckDays),"Re-check still in role","")))</f>
        <v/>
      </c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8"/>
      <c r="K149" s="27"/>
      <c r="L149" s="27"/>
      <c r="M149" s="32" t="str">
        <f aca="false">IF(B149="","",IFERROR(INDEX(L_RoleOK,MATCH(D149,L_RoleName,0)),"No"))</f>
        <v/>
      </c>
      <c r="N149" s="32" t="str">
        <f aca="false">IF(B149="","",_xlfn.TEXTJOIN(", ",TRUE(),IF(COUNTIF($B$3:$B$502,B149)&gt;1,"Duplicate name",""),IF(I149="","Source missing",""),IF(OR(J149="",J149&lt;S_Today-S_RecheckDays),"Re-check still in role","")))</f>
        <v/>
      </c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8"/>
      <c r="K150" s="27"/>
      <c r="L150" s="27"/>
      <c r="M150" s="32" t="str">
        <f aca="false">IF(B150="","",IFERROR(INDEX(L_RoleOK,MATCH(D150,L_RoleName,0)),"No"))</f>
        <v/>
      </c>
      <c r="N150" s="32" t="str">
        <f aca="false">IF(B150="","",_xlfn.TEXTJOIN(", ",TRUE(),IF(COUNTIF($B$3:$B$502,B150)&gt;1,"Duplicate name",""),IF(I150="","Source missing",""),IF(OR(J150="",J150&lt;S_Today-S_RecheckDays),"Re-check still in role","")))</f>
        <v/>
      </c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8"/>
      <c r="K151" s="27"/>
      <c r="L151" s="27"/>
      <c r="M151" s="32" t="str">
        <f aca="false">IF(B151="","",IFERROR(INDEX(L_RoleOK,MATCH(D151,L_RoleName,0)),"No"))</f>
        <v/>
      </c>
      <c r="N151" s="32" t="str">
        <f aca="false">IF(B151="","",_xlfn.TEXTJOIN(", ",TRUE(),IF(COUNTIF($B$3:$B$502,B151)&gt;1,"Duplicate name",""),IF(I151="","Source missing",""),IF(OR(J151="",J151&lt;S_Today-S_RecheckDays),"Re-check still in role","")))</f>
        <v/>
      </c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8"/>
      <c r="K152" s="27"/>
      <c r="L152" s="27"/>
      <c r="M152" s="32" t="str">
        <f aca="false">IF(B152="","",IFERROR(INDEX(L_RoleOK,MATCH(D152,L_RoleName,0)),"No"))</f>
        <v/>
      </c>
      <c r="N152" s="32" t="str">
        <f aca="false">IF(B152="","",_xlfn.TEXTJOIN(", ",TRUE(),IF(COUNTIF($B$3:$B$502,B152)&gt;1,"Duplicate name",""),IF(I152="","Source missing",""),IF(OR(J152="",J152&lt;S_Today-S_RecheckDays),"Re-check still in role","")))</f>
        <v/>
      </c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8"/>
      <c r="K153" s="27"/>
      <c r="L153" s="27"/>
      <c r="M153" s="32" t="str">
        <f aca="false">IF(B153="","",IFERROR(INDEX(L_RoleOK,MATCH(D153,L_RoleName,0)),"No"))</f>
        <v/>
      </c>
      <c r="N153" s="32" t="str">
        <f aca="false">IF(B153="","",_xlfn.TEXTJOIN(", ",TRUE(),IF(COUNTIF($B$3:$B$502,B153)&gt;1,"Duplicate name",""),IF(I153="","Source missing",""),IF(OR(J153="",J153&lt;S_Today-S_RecheckDays),"Re-check still in role","")))</f>
        <v/>
      </c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8"/>
      <c r="K154" s="27"/>
      <c r="L154" s="27"/>
      <c r="M154" s="32" t="str">
        <f aca="false">IF(B154="","",IFERROR(INDEX(L_RoleOK,MATCH(D154,L_RoleName,0)),"No"))</f>
        <v/>
      </c>
      <c r="N154" s="32" t="str">
        <f aca="false">IF(B154="","",_xlfn.TEXTJOIN(", ",TRUE(),IF(COUNTIF($B$3:$B$502,B154)&gt;1,"Duplicate name",""),IF(I154="","Source missing",""),IF(OR(J154="",J154&lt;S_Today-S_RecheckDays),"Re-check still in role","")))</f>
        <v/>
      </c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8"/>
      <c r="K155" s="27"/>
      <c r="L155" s="27"/>
      <c r="M155" s="32" t="str">
        <f aca="false">IF(B155="","",IFERROR(INDEX(L_RoleOK,MATCH(D155,L_RoleName,0)),"No"))</f>
        <v/>
      </c>
      <c r="N155" s="32" t="str">
        <f aca="false">IF(B155="","",_xlfn.TEXTJOIN(", ",TRUE(),IF(COUNTIF($B$3:$B$502,B155)&gt;1,"Duplicate name",""),IF(I155="","Source missing",""),IF(OR(J155="",J155&lt;S_Today-S_RecheckDays),"Re-check still in role","")))</f>
        <v/>
      </c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8"/>
      <c r="K156" s="27"/>
      <c r="L156" s="27"/>
      <c r="M156" s="32" t="str">
        <f aca="false">IF(B156="","",IFERROR(INDEX(L_RoleOK,MATCH(D156,L_RoleName,0)),"No"))</f>
        <v/>
      </c>
      <c r="N156" s="32" t="str">
        <f aca="false">IF(B156="","",_xlfn.TEXTJOIN(", ",TRUE(),IF(COUNTIF($B$3:$B$502,B156)&gt;1,"Duplicate name",""),IF(I156="","Source missing",""),IF(OR(J156="",J156&lt;S_Today-S_RecheckDays),"Re-check still in role","")))</f>
        <v/>
      </c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8"/>
      <c r="K157" s="27"/>
      <c r="L157" s="27"/>
      <c r="M157" s="32" t="str">
        <f aca="false">IF(B157="","",IFERROR(INDEX(L_RoleOK,MATCH(D157,L_RoleName,0)),"No"))</f>
        <v/>
      </c>
      <c r="N157" s="32" t="str">
        <f aca="false">IF(B157="","",_xlfn.TEXTJOIN(", ",TRUE(),IF(COUNTIF($B$3:$B$502,B157)&gt;1,"Duplicate name",""),IF(I157="","Source missing",""),IF(OR(J157="",J157&lt;S_Today-S_RecheckDays),"Re-check still in role","")))</f>
        <v/>
      </c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8"/>
      <c r="K158" s="27"/>
      <c r="L158" s="27"/>
      <c r="M158" s="32" t="str">
        <f aca="false">IF(B158="","",IFERROR(INDEX(L_RoleOK,MATCH(D158,L_RoleName,0)),"No"))</f>
        <v/>
      </c>
      <c r="N158" s="32" t="str">
        <f aca="false">IF(B158="","",_xlfn.TEXTJOIN(", ",TRUE(),IF(COUNTIF($B$3:$B$502,B158)&gt;1,"Duplicate name",""),IF(I158="","Source missing",""),IF(OR(J158="",J158&lt;S_Today-S_RecheckDays),"Re-check still in role","")))</f>
        <v/>
      </c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8"/>
      <c r="K159" s="27"/>
      <c r="L159" s="27"/>
      <c r="M159" s="32" t="str">
        <f aca="false">IF(B159="","",IFERROR(INDEX(L_RoleOK,MATCH(D159,L_RoleName,0)),"No"))</f>
        <v/>
      </c>
      <c r="N159" s="32" t="str">
        <f aca="false">IF(B159="","",_xlfn.TEXTJOIN(", ",TRUE(),IF(COUNTIF($B$3:$B$502,B159)&gt;1,"Duplicate name",""),IF(I159="","Source missing",""),IF(OR(J159="",J159&lt;S_Today-S_RecheckDays),"Re-check still in role","")))</f>
        <v/>
      </c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8"/>
      <c r="K160" s="27"/>
      <c r="L160" s="27"/>
      <c r="M160" s="32" t="str">
        <f aca="false">IF(B160="","",IFERROR(INDEX(L_RoleOK,MATCH(D160,L_RoleName,0)),"No"))</f>
        <v/>
      </c>
      <c r="N160" s="32" t="str">
        <f aca="false">IF(B160="","",_xlfn.TEXTJOIN(", ",TRUE(),IF(COUNTIF($B$3:$B$502,B160)&gt;1,"Duplicate name",""),IF(I160="","Source missing",""),IF(OR(J160="",J160&lt;S_Today-S_RecheckDays),"Re-check still in role","")))</f>
        <v/>
      </c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8"/>
      <c r="K161" s="27"/>
      <c r="L161" s="27"/>
      <c r="M161" s="32" t="str">
        <f aca="false">IF(B161="","",IFERROR(INDEX(L_RoleOK,MATCH(D161,L_RoleName,0)),"No"))</f>
        <v/>
      </c>
      <c r="N161" s="32" t="str">
        <f aca="false">IF(B161="","",_xlfn.TEXTJOIN(", ",TRUE(),IF(COUNTIF($B$3:$B$502,B161)&gt;1,"Duplicate name",""),IF(I161="","Source missing",""),IF(OR(J161="",J161&lt;S_Today-S_RecheckDays),"Re-check still in role","")))</f>
        <v/>
      </c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8"/>
      <c r="K162" s="27"/>
      <c r="L162" s="27"/>
      <c r="M162" s="32" t="str">
        <f aca="false">IF(B162="","",IFERROR(INDEX(L_RoleOK,MATCH(D162,L_RoleName,0)),"No"))</f>
        <v/>
      </c>
      <c r="N162" s="32" t="str">
        <f aca="false">IF(B162="","",_xlfn.TEXTJOIN(", ",TRUE(),IF(COUNTIF($B$3:$B$502,B162)&gt;1,"Duplicate name",""),IF(I162="","Source missing",""),IF(OR(J162="",J162&lt;S_Today-S_RecheckDays),"Re-check still in role","")))</f>
        <v/>
      </c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8"/>
      <c r="K163" s="27"/>
      <c r="L163" s="27"/>
      <c r="M163" s="32" t="str">
        <f aca="false">IF(B163="","",IFERROR(INDEX(L_RoleOK,MATCH(D163,L_RoleName,0)),"No"))</f>
        <v/>
      </c>
      <c r="N163" s="32" t="str">
        <f aca="false">IF(B163="","",_xlfn.TEXTJOIN(", ",TRUE(),IF(COUNTIF($B$3:$B$502,B163)&gt;1,"Duplicate name",""),IF(I163="","Source missing",""),IF(OR(J163="",J163&lt;S_Today-S_RecheckDays),"Re-check still in role","")))</f>
        <v/>
      </c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8"/>
      <c r="K164" s="27"/>
      <c r="L164" s="27"/>
      <c r="M164" s="32" t="str">
        <f aca="false">IF(B164="","",IFERROR(INDEX(L_RoleOK,MATCH(D164,L_RoleName,0)),"No"))</f>
        <v/>
      </c>
      <c r="N164" s="32" t="str">
        <f aca="false">IF(B164="","",_xlfn.TEXTJOIN(", ",TRUE(),IF(COUNTIF($B$3:$B$502,B164)&gt;1,"Duplicate name",""),IF(I164="","Source missing",""),IF(OR(J164="",J164&lt;S_Today-S_RecheckDays),"Re-check still in role","")))</f>
        <v/>
      </c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8"/>
      <c r="K165" s="27"/>
      <c r="L165" s="27"/>
      <c r="M165" s="32" t="str">
        <f aca="false">IF(B165="","",IFERROR(INDEX(L_RoleOK,MATCH(D165,L_RoleName,0)),"No"))</f>
        <v/>
      </c>
      <c r="N165" s="32" t="str">
        <f aca="false">IF(B165="","",_xlfn.TEXTJOIN(", ",TRUE(),IF(COUNTIF($B$3:$B$502,B165)&gt;1,"Duplicate name",""),IF(I165="","Source missing",""),IF(OR(J165="",J165&lt;S_Today-S_RecheckDays),"Re-check still in role","")))</f>
        <v/>
      </c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8"/>
      <c r="K166" s="27"/>
      <c r="L166" s="27"/>
      <c r="M166" s="32" t="str">
        <f aca="false">IF(B166="","",IFERROR(INDEX(L_RoleOK,MATCH(D166,L_RoleName,0)),"No"))</f>
        <v/>
      </c>
      <c r="N166" s="32" t="str">
        <f aca="false">IF(B166="","",_xlfn.TEXTJOIN(", ",TRUE(),IF(COUNTIF($B$3:$B$502,B166)&gt;1,"Duplicate name",""),IF(I166="","Source missing",""),IF(OR(J166="",J166&lt;S_Today-S_RecheckDays),"Re-check still in role","")))</f>
        <v/>
      </c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8"/>
      <c r="K167" s="27"/>
      <c r="L167" s="27"/>
      <c r="M167" s="32" t="str">
        <f aca="false">IF(B167="","",IFERROR(INDEX(L_RoleOK,MATCH(D167,L_RoleName,0)),"No"))</f>
        <v/>
      </c>
      <c r="N167" s="32" t="str">
        <f aca="false">IF(B167="","",_xlfn.TEXTJOIN(", ",TRUE(),IF(COUNTIF($B$3:$B$502,B167)&gt;1,"Duplicate name",""),IF(I167="","Source missing",""),IF(OR(J167="",J167&lt;S_Today-S_RecheckDays),"Re-check still in role","")))</f>
        <v/>
      </c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8"/>
      <c r="K168" s="27"/>
      <c r="L168" s="27"/>
      <c r="M168" s="32" t="str">
        <f aca="false">IF(B168="","",IFERROR(INDEX(L_RoleOK,MATCH(D168,L_RoleName,0)),"No"))</f>
        <v/>
      </c>
      <c r="N168" s="32" t="str">
        <f aca="false">IF(B168="","",_xlfn.TEXTJOIN(", ",TRUE(),IF(COUNTIF($B$3:$B$502,B168)&gt;1,"Duplicate name",""),IF(I168="","Source missing",""),IF(OR(J168="",J168&lt;S_Today-S_RecheckDays),"Re-check still in role","")))</f>
        <v/>
      </c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8"/>
      <c r="K169" s="27"/>
      <c r="L169" s="27"/>
      <c r="M169" s="32" t="str">
        <f aca="false">IF(B169="","",IFERROR(INDEX(L_RoleOK,MATCH(D169,L_RoleName,0)),"No"))</f>
        <v/>
      </c>
      <c r="N169" s="32" t="str">
        <f aca="false">IF(B169="","",_xlfn.TEXTJOIN(", ",TRUE(),IF(COUNTIF($B$3:$B$502,B169)&gt;1,"Duplicate name",""),IF(I169="","Source missing",""),IF(OR(J169="",J169&lt;S_Today-S_RecheckDays),"Re-check still in role","")))</f>
        <v/>
      </c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8"/>
      <c r="K170" s="27"/>
      <c r="L170" s="27"/>
      <c r="M170" s="32" t="str">
        <f aca="false">IF(B170="","",IFERROR(INDEX(L_RoleOK,MATCH(D170,L_RoleName,0)),"No"))</f>
        <v/>
      </c>
      <c r="N170" s="32" t="str">
        <f aca="false">IF(B170="","",_xlfn.TEXTJOIN(", ",TRUE(),IF(COUNTIF($B$3:$B$502,B170)&gt;1,"Duplicate name",""),IF(I170="","Source missing",""),IF(OR(J170="",J170&lt;S_Today-S_RecheckDays),"Re-check still in role","")))</f>
        <v/>
      </c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8"/>
      <c r="K171" s="27"/>
      <c r="L171" s="27"/>
      <c r="M171" s="32" t="str">
        <f aca="false">IF(B171="","",IFERROR(INDEX(L_RoleOK,MATCH(D171,L_RoleName,0)),"No"))</f>
        <v/>
      </c>
      <c r="N171" s="32" t="str">
        <f aca="false">IF(B171="","",_xlfn.TEXTJOIN(", ",TRUE(),IF(COUNTIF($B$3:$B$502,B171)&gt;1,"Duplicate name",""),IF(I171="","Source missing",""),IF(OR(J171="",J171&lt;S_Today-S_RecheckDays),"Re-check still in role","")))</f>
        <v/>
      </c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8"/>
      <c r="K172" s="27"/>
      <c r="L172" s="27"/>
      <c r="M172" s="32" t="str">
        <f aca="false">IF(B172="","",IFERROR(INDEX(L_RoleOK,MATCH(D172,L_RoleName,0)),"No"))</f>
        <v/>
      </c>
      <c r="N172" s="32" t="str">
        <f aca="false">IF(B172="","",_xlfn.TEXTJOIN(", ",TRUE(),IF(COUNTIF($B$3:$B$502,B172)&gt;1,"Duplicate name",""),IF(I172="","Source missing",""),IF(OR(J172="",J172&lt;S_Today-S_RecheckDays),"Re-check still in role","")))</f>
        <v/>
      </c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8"/>
      <c r="K173" s="27"/>
      <c r="L173" s="27"/>
      <c r="M173" s="32" t="str">
        <f aca="false">IF(B173="","",IFERROR(INDEX(L_RoleOK,MATCH(D173,L_RoleName,0)),"No"))</f>
        <v/>
      </c>
      <c r="N173" s="32" t="str">
        <f aca="false">IF(B173="","",_xlfn.TEXTJOIN(", ",TRUE(),IF(COUNTIF($B$3:$B$502,B173)&gt;1,"Duplicate name",""),IF(I173="","Source missing",""),IF(OR(J173="",J173&lt;S_Today-S_RecheckDays),"Re-check still in role","")))</f>
        <v/>
      </c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8"/>
      <c r="K174" s="27"/>
      <c r="L174" s="27"/>
      <c r="M174" s="32" t="str">
        <f aca="false">IF(B174="","",IFERROR(INDEX(L_RoleOK,MATCH(D174,L_RoleName,0)),"No"))</f>
        <v/>
      </c>
      <c r="N174" s="32" t="str">
        <f aca="false">IF(B174="","",_xlfn.TEXTJOIN(", ",TRUE(),IF(COUNTIF($B$3:$B$502,B174)&gt;1,"Duplicate name",""),IF(I174="","Source missing",""),IF(OR(J174="",J174&lt;S_Today-S_RecheckDays),"Re-check still in role","")))</f>
        <v/>
      </c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8"/>
      <c r="K175" s="27"/>
      <c r="L175" s="27"/>
      <c r="M175" s="32" t="str">
        <f aca="false">IF(B175="","",IFERROR(INDEX(L_RoleOK,MATCH(D175,L_RoleName,0)),"No"))</f>
        <v/>
      </c>
      <c r="N175" s="32" t="str">
        <f aca="false">IF(B175="","",_xlfn.TEXTJOIN(", ",TRUE(),IF(COUNTIF($B$3:$B$502,B175)&gt;1,"Duplicate name",""),IF(I175="","Source missing",""),IF(OR(J175="",J175&lt;S_Today-S_RecheckDays),"Re-check still in role","")))</f>
        <v/>
      </c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8"/>
      <c r="K176" s="27"/>
      <c r="L176" s="27"/>
      <c r="M176" s="32" t="str">
        <f aca="false">IF(B176="","",IFERROR(INDEX(L_RoleOK,MATCH(D176,L_RoleName,0)),"No"))</f>
        <v/>
      </c>
      <c r="N176" s="32" t="str">
        <f aca="false">IF(B176="","",_xlfn.TEXTJOIN(", ",TRUE(),IF(COUNTIF($B$3:$B$502,B176)&gt;1,"Duplicate name",""),IF(I176="","Source missing",""),IF(OR(J176="",J176&lt;S_Today-S_RecheckDays),"Re-check still in role","")))</f>
        <v/>
      </c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8"/>
      <c r="K177" s="27"/>
      <c r="L177" s="27"/>
      <c r="M177" s="32" t="str">
        <f aca="false">IF(B177="","",IFERROR(INDEX(L_RoleOK,MATCH(D177,L_RoleName,0)),"No"))</f>
        <v/>
      </c>
      <c r="N177" s="32" t="str">
        <f aca="false">IF(B177="","",_xlfn.TEXTJOIN(", ",TRUE(),IF(COUNTIF($B$3:$B$502,B177)&gt;1,"Duplicate name",""),IF(I177="","Source missing",""),IF(OR(J177="",J177&lt;S_Today-S_RecheckDays),"Re-check still in role","")))</f>
        <v/>
      </c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8"/>
      <c r="K178" s="27"/>
      <c r="L178" s="27"/>
      <c r="M178" s="32" t="str">
        <f aca="false">IF(B178="","",IFERROR(INDEX(L_RoleOK,MATCH(D178,L_RoleName,0)),"No"))</f>
        <v/>
      </c>
      <c r="N178" s="32" t="str">
        <f aca="false">IF(B178="","",_xlfn.TEXTJOIN(", ",TRUE(),IF(COUNTIF($B$3:$B$502,B178)&gt;1,"Duplicate name",""),IF(I178="","Source missing",""),IF(OR(J178="",J178&lt;S_Today-S_RecheckDays),"Re-check still in role","")))</f>
        <v/>
      </c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8"/>
      <c r="K179" s="27"/>
      <c r="L179" s="27"/>
      <c r="M179" s="32" t="str">
        <f aca="false">IF(B179="","",IFERROR(INDEX(L_RoleOK,MATCH(D179,L_RoleName,0)),"No"))</f>
        <v/>
      </c>
      <c r="N179" s="32" t="str">
        <f aca="false">IF(B179="","",_xlfn.TEXTJOIN(", ",TRUE(),IF(COUNTIF($B$3:$B$502,B179)&gt;1,"Duplicate name",""),IF(I179="","Source missing",""),IF(OR(J179="",J179&lt;S_Today-S_RecheckDays),"Re-check still in role","")))</f>
        <v/>
      </c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8"/>
      <c r="K180" s="27"/>
      <c r="L180" s="27"/>
      <c r="M180" s="32" t="str">
        <f aca="false">IF(B180="","",IFERROR(INDEX(L_RoleOK,MATCH(D180,L_RoleName,0)),"No"))</f>
        <v/>
      </c>
      <c r="N180" s="32" t="str">
        <f aca="false">IF(B180="","",_xlfn.TEXTJOIN(", ",TRUE(),IF(COUNTIF($B$3:$B$502,B180)&gt;1,"Duplicate name",""),IF(I180="","Source missing",""),IF(OR(J180="",J180&lt;S_Today-S_RecheckDays),"Re-check still in role","")))</f>
        <v/>
      </c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8"/>
      <c r="K181" s="27"/>
      <c r="L181" s="27"/>
      <c r="M181" s="32" t="str">
        <f aca="false">IF(B181="","",IFERROR(INDEX(L_RoleOK,MATCH(D181,L_RoleName,0)),"No"))</f>
        <v/>
      </c>
      <c r="N181" s="32" t="str">
        <f aca="false">IF(B181="","",_xlfn.TEXTJOIN(", ",TRUE(),IF(COUNTIF($B$3:$B$502,B181)&gt;1,"Duplicate name",""),IF(I181="","Source missing",""),IF(OR(J181="",J181&lt;S_Today-S_RecheckDays),"Re-check still in role","")))</f>
        <v/>
      </c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8"/>
      <c r="K182" s="27"/>
      <c r="L182" s="27"/>
      <c r="M182" s="32" t="str">
        <f aca="false">IF(B182="","",IFERROR(INDEX(L_RoleOK,MATCH(D182,L_RoleName,0)),"No"))</f>
        <v/>
      </c>
      <c r="N182" s="32" t="str">
        <f aca="false">IF(B182="","",_xlfn.TEXTJOIN(", ",TRUE(),IF(COUNTIF($B$3:$B$502,B182)&gt;1,"Duplicate name",""),IF(I182="","Source missing",""),IF(OR(J182="",J182&lt;S_Today-S_RecheckDays),"Re-check still in role","")))</f>
        <v/>
      </c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8"/>
      <c r="K183" s="27"/>
      <c r="L183" s="27"/>
      <c r="M183" s="32" t="str">
        <f aca="false">IF(B183="","",IFERROR(INDEX(L_RoleOK,MATCH(D183,L_RoleName,0)),"No"))</f>
        <v/>
      </c>
      <c r="N183" s="32" t="str">
        <f aca="false">IF(B183="","",_xlfn.TEXTJOIN(", ",TRUE(),IF(COUNTIF($B$3:$B$502,B183)&gt;1,"Duplicate name",""),IF(I183="","Source missing",""),IF(OR(J183="",J183&lt;S_Today-S_RecheckDays),"Re-check still in role","")))</f>
        <v/>
      </c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8"/>
      <c r="K184" s="27"/>
      <c r="L184" s="27"/>
      <c r="M184" s="32" t="str">
        <f aca="false">IF(B184="","",IFERROR(INDEX(L_RoleOK,MATCH(D184,L_RoleName,0)),"No"))</f>
        <v/>
      </c>
      <c r="N184" s="32" t="str">
        <f aca="false">IF(B184="","",_xlfn.TEXTJOIN(", ",TRUE(),IF(COUNTIF($B$3:$B$502,B184)&gt;1,"Duplicate name",""),IF(I184="","Source missing",""),IF(OR(J184="",J184&lt;S_Today-S_RecheckDays),"Re-check still in role","")))</f>
        <v/>
      </c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8"/>
      <c r="K185" s="27"/>
      <c r="L185" s="27"/>
      <c r="M185" s="32" t="str">
        <f aca="false">IF(B185="","",IFERROR(INDEX(L_RoleOK,MATCH(D185,L_RoleName,0)),"No"))</f>
        <v/>
      </c>
      <c r="N185" s="32" t="str">
        <f aca="false">IF(B185="","",_xlfn.TEXTJOIN(", ",TRUE(),IF(COUNTIF($B$3:$B$502,B185)&gt;1,"Duplicate name",""),IF(I185="","Source missing",""),IF(OR(J185="",J185&lt;S_Today-S_RecheckDays),"Re-check still in role","")))</f>
        <v/>
      </c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8"/>
      <c r="K186" s="27"/>
      <c r="L186" s="27"/>
      <c r="M186" s="32" t="str">
        <f aca="false">IF(B186="","",IFERROR(INDEX(L_RoleOK,MATCH(D186,L_RoleName,0)),"No"))</f>
        <v/>
      </c>
      <c r="N186" s="32" t="str">
        <f aca="false">IF(B186="","",_xlfn.TEXTJOIN(", ",TRUE(),IF(COUNTIF($B$3:$B$502,B186)&gt;1,"Duplicate name",""),IF(I186="","Source missing",""),IF(OR(J186="",J186&lt;S_Today-S_RecheckDays),"Re-check still in role","")))</f>
        <v/>
      </c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8"/>
      <c r="K187" s="27"/>
      <c r="L187" s="27"/>
      <c r="M187" s="32" t="str">
        <f aca="false">IF(B187="","",IFERROR(INDEX(L_RoleOK,MATCH(D187,L_RoleName,0)),"No"))</f>
        <v/>
      </c>
      <c r="N187" s="32" t="str">
        <f aca="false">IF(B187="","",_xlfn.TEXTJOIN(", ",TRUE(),IF(COUNTIF($B$3:$B$502,B187)&gt;1,"Duplicate name",""),IF(I187="","Source missing",""),IF(OR(J187="",J187&lt;S_Today-S_RecheckDays),"Re-check still in role","")))</f>
        <v/>
      </c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8"/>
      <c r="K188" s="27"/>
      <c r="L188" s="27"/>
      <c r="M188" s="32" t="str">
        <f aca="false">IF(B188="","",IFERROR(INDEX(L_RoleOK,MATCH(D188,L_RoleName,0)),"No"))</f>
        <v/>
      </c>
      <c r="N188" s="32" t="str">
        <f aca="false">IF(B188="","",_xlfn.TEXTJOIN(", ",TRUE(),IF(COUNTIF($B$3:$B$502,B188)&gt;1,"Duplicate name",""),IF(I188="","Source missing",""),IF(OR(J188="",J188&lt;S_Today-S_RecheckDays),"Re-check still in role","")))</f>
        <v/>
      </c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8"/>
      <c r="K189" s="27"/>
      <c r="L189" s="27"/>
      <c r="M189" s="32" t="str">
        <f aca="false">IF(B189="","",IFERROR(INDEX(L_RoleOK,MATCH(D189,L_RoleName,0)),"No"))</f>
        <v/>
      </c>
      <c r="N189" s="32" t="str">
        <f aca="false">IF(B189="","",_xlfn.TEXTJOIN(", ",TRUE(),IF(COUNTIF($B$3:$B$502,B189)&gt;1,"Duplicate name",""),IF(I189="","Source missing",""),IF(OR(J189="",J189&lt;S_Today-S_RecheckDays),"Re-check still in role","")))</f>
        <v/>
      </c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8"/>
      <c r="K190" s="27"/>
      <c r="L190" s="27"/>
      <c r="M190" s="32" t="str">
        <f aca="false">IF(B190="","",IFERROR(INDEX(L_RoleOK,MATCH(D190,L_RoleName,0)),"No"))</f>
        <v/>
      </c>
      <c r="N190" s="32" t="str">
        <f aca="false">IF(B190="","",_xlfn.TEXTJOIN(", ",TRUE(),IF(COUNTIF($B$3:$B$502,B190)&gt;1,"Duplicate name",""),IF(I190="","Source missing",""),IF(OR(J190="",J190&lt;S_Today-S_RecheckDays),"Re-check still in role","")))</f>
        <v/>
      </c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8"/>
      <c r="K191" s="27"/>
      <c r="L191" s="27"/>
      <c r="M191" s="32" t="str">
        <f aca="false">IF(B191="","",IFERROR(INDEX(L_RoleOK,MATCH(D191,L_RoleName,0)),"No"))</f>
        <v/>
      </c>
      <c r="N191" s="32" t="str">
        <f aca="false">IF(B191="","",_xlfn.TEXTJOIN(", ",TRUE(),IF(COUNTIF($B$3:$B$502,B191)&gt;1,"Duplicate name",""),IF(I191="","Source missing",""),IF(OR(J191="",J191&lt;S_Today-S_RecheckDays),"Re-check still in role","")))</f>
        <v/>
      </c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8"/>
      <c r="K192" s="27"/>
      <c r="L192" s="27"/>
      <c r="M192" s="32" t="str">
        <f aca="false">IF(B192="","",IFERROR(INDEX(L_RoleOK,MATCH(D192,L_RoleName,0)),"No"))</f>
        <v/>
      </c>
      <c r="N192" s="32" t="str">
        <f aca="false">IF(B192="","",_xlfn.TEXTJOIN(", ",TRUE(),IF(COUNTIF($B$3:$B$502,B192)&gt;1,"Duplicate name",""),IF(I192="","Source missing",""),IF(OR(J192="",J192&lt;S_Today-S_RecheckDays),"Re-check still in role","")))</f>
        <v/>
      </c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8"/>
      <c r="K193" s="27"/>
      <c r="L193" s="27"/>
      <c r="M193" s="32" t="str">
        <f aca="false">IF(B193="","",IFERROR(INDEX(L_RoleOK,MATCH(D193,L_RoleName,0)),"No"))</f>
        <v/>
      </c>
      <c r="N193" s="32" t="str">
        <f aca="false">IF(B193="","",_xlfn.TEXTJOIN(", ",TRUE(),IF(COUNTIF($B$3:$B$502,B193)&gt;1,"Duplicate name",""),IF(I193="","Source missing",""),IF(OR(J193="",J193&lt;S_Today-S_RecheckDays),"Re-check still in role","")))</f>
        <v/>
      </c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8"/>
      <c r="K194" s="27"/>
      <c r="L194" s="27"/>
      <c r="M194" s="32" t="str">
        <f aca="false">IF(B194="","",IFERROR(INDEX(L_RoleOK,MATCH(D194,L_RoleName,0)),"No"))</f>
        <v/>
      </c>
      <c r="N194" s="32" t="str">
        <f aca="false">IF(B194="","",_xlfn.TEXTJOIN(", ",TRUE(),IF(COUNTIF($B$3:$B$502,B194)&gt;1,"Duplicate name",""),IF(I194="","Source missing",""),IF(OR(J194="",J194&lt;S_Today-S_RecheckDays),"Re-check still in role","")))</f>
        <v/>
      </c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8"/>
      <c r="K195" s="27"/>
      <c r="L195" s="27"/>
      <c r="M195" s="32" t="str">
        <f aca="false">IF(B195="","",IFERROR(INDEX(L_RoleOK,MATCH(D195,L_RoleName,0)),"No"))</f>
        <v/>
      </c>
      <c r="N195" s="32" t="str">
        <f aca="false">IF(B195="","",_xlfn.TEXTJOIN(", ",TRUE(),IF(COUNTIF($B$3:$B$502,B195)&gt;1,"Duplicate name",""),IF(I195="","Source missing",""),IF(OR(J195="",J195&lt;S_Today-S_RecheckDays),"Re-check still in role","")))</f>
        <v/>
      </c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8"/>
      <c r="K196" s="27"/>
      <c r="L196" s="27"/>
      <c r="M196" s="32" t="str">
        <f aca="false">IF(B196="","",IFERROR(INDEX(L_RoleOK,MATCH(D196,L_RoleName,0)),"No"))</f>
        <v/>
      </c>
      <c r="N196" s="32" t="str">
        <f aca="false">IF(B196="","",_xlfn.TEXTJOIN(", ",TRUE(),IF(COUNTIF($B$3:$B$502,B196)&gt;1,"Duplicate name",""),IF(I196="","Source missing",""),IF(OR(J196="",J196&lt;S_Today-S_RecheckDays),"Re-check still in role","")))</f>
        <v/>
      </c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8"/>
      <c r="K197" s="27"/>
      <c r="L197" s="27"/>
      <c r="M197" s="32" t="str">
        <f aca="false">IF(B197="","",IFERROR(INDEX(L_RoleOK,MATCH(D197,L_RoleName,0)),"No"))</f>
        <v/>
      </c>
      <c r="N197" s="32" t="str">
        <f aca="false">IF(B197="","",_xlfn.TEXTJOIN(", ",TRUE(),IF(COUNTIF($B$3:$B$502,B197)&gt;1,"Duplicate name",""),IF(I197="","Source missing",""),IF(OR(J197="",J197&lt;S_Today-S_RecheckDays),"Re-check still in role","")))</f>
        <v/>
      </c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8"/>
      <c r="K198" s="27"/>
      <c r="L198" s="27"/>
      <c r="M198" s="32" t="str">
        <f aca="false">IF(B198="","",IFERROR(INDEX(L_RoleOK,MATCH(D198,L_RoleName,0)),"No"))</f>
        <v/>
      </c>
      <c r="N198" s="32" t="str">
        <f aca="false">IF(B198="","",_xlfn.TEXTJOIN(", ",TRUE(),IF(COUNTIF($B$3:$B$502,B198)&gt;1,"Duplicate name",""),IF(I198="","Source missing",""),IF(OR(J198="",J198&lt;S_Today-S_RecheckDays),"Re-check still in role","")))</f>
        <v/>
      </c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8"/>
      <c r="K199" s="27"/>
      <c r="L199" s="27"/>
      <c r="M199" s="32" t="str">
        <f aca="false">IF(B199="","",IFERROR(INDEX(L_RoleOK,MATCH(D199,L_RoleName,0)),"No"))</f>
        <v/>
      </c>
      <c r="N199" s="32" t="str">
        <f aca="false">IF(B199="","",_xlfn.TEXTJOIN(", ",TRUE(),IF(COUNTIF($B$3:$B$502,B199)&gt;1,"Duplicate name",""),IF(I199="","Source missing",""),IF(OR(J199="",J199&lt;S_Today-S_RecheckDays),"Re-check still in role","")))</f>
        <v/>
      </c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8"/>
      <c r="K200" s="27"/>
      <c r="L200" s="27"/>
      <c r="M200" s="32" t="str">
        <f aca="false">IF(B200="","",IFERROR(INDEX(L_RoleOK,MATCH(D200,L_RoleName,0)),"No"))</f>
        <v/>
      </c>
      <c r="N200" s="32" t="str">
        <f aca="false">IF(B200="","",_xlfn.TEXTJOIN(", ",TRUE(),IF(COUNTIF($B$3:$B$502,B200)&gt;1,"Duplicate name",""),IF(I200="","Source missing",""),IF(OR(J200="",J200&lt;S_Today-S_RecheckDays),"Re-check still in role","")))</f>
        <v/>
      </c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8"/>
      <c r="K201" s="27"/>
      <c r="L201" s="27"/>
      <c r="M201" s="32" t="str">
        <f aca="false">IF(B201="","",IFERROR(INDEX(L_RoleOK,MATCH(D201,L_RoleName,0)),"No"))</f>
        <v/>
      </c>
      <c r="N201" s="32" t="str">
        <f aca="false">IF(B201="","",_xlfn.TEXTJOIN(", ",TRUE(),IF(COUNTIF($B$3:$B$502,B201)&gt;1,"Duplicate name",""),IF(I201="","Source missing",""),IF(OR(J201="",J201&lt;S_Today-S_RecheckDays),"Re-check still in role","")))</f>
        <v/>
      </c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8"/>
      <c r="K202" s="27"/>
      <c r="L202" s="27"/>
      <c r="M202" s="32" t="str">
        <f aca="false">IF(B202="","",IFERROR(INDEX(L_RoleOK,MATCH(D202,L_RoleName,0)),"No"))</f>
        <v/>
      </c>
      <c r="N202" s="32" t="str">
        <f aca="false">IF(B202="","",_xlfn.TEXTJOIN(", ",TRUE(),IF(COUNTIF($B$3:$B$502,B202)&gt;1,"Duplicate name",""),IF(I202="","Source missing",""),IF(OR(J202="",J202&lt;S_Today-S_RecheckDays),"Re-check still in role","")))</f>
        <v/>
      </c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8"/>
      <c r="K203" s="27"/>
      <c r="L203" s="27"/>
      <c r="M203" s="32" t="str">
        <f aca="false">IF(B203="","",IFERROR(INDEX(L_RoleOK,MATCH(D203,L_RoleName,0)),"No"))</f>
        <v/>
      </c>
      <c r="N203" s="32" t="str">
        <f aca="false">IF(B203="","",_xlfn.TEXTJOIN(", ",TRUE(),IF(COUNTIF($B$3:$B$502,B203)&gt;1,"Duplicate name",""),IF(I203="","Source missing",""),IF(OR(J203="",J203&lt;S_Today-S_RecheckDays),"Re-check still in role","")))</f>
        <v/>
      </c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8"/>
      <c r="K204" s="27"/>
      <c r="L204" s="27"/>
      <c r="M204" s="32" t="str">
        <f aca="false">IF(B204="","",IFERROR(INDEX(L_RoleOK,MATCH(D204,L_RoleName,0)),"No"))</f>
        <v/>
      </c>
      <c r="N204" s="32" t="str">
        <f aca="false">IF(B204="","",_xlfn.TEXTJOIN(", ",TRUE(),IF(COUNTIF($B$3:$B$502,B204)&gt;1,"Duplicate name",""),IF(I204="","Source missing",""),IF(OR(J204="",J204&lt;S_Today-S_RecheckDays),"Re-check still in role","")))</f>
        <v/>
      </c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8"/>
      <c r="K205" s="27"/>
      <c r="L205" s="27"/>
      <c r="M205" s="32" t="str">
        <f aca="false">IF(B205="","",IFERROR(INDEX(L_RoleOK,MATCH(D205,L_RoleName,0)),"No"))</f>
        <v/>
      </c>
      <c r="N205" s="32" t="str">
        <f aca="false">IF(B205="","",_xlfn.TEXTJOIN(", ",TRUE(),IF(COUNTIF($B$3:$B$502,B205)&gt;1,"Duplicate name",""),IF(I205="","Source missing",""),IF(OR(J205="",J205&lt;S_Today-S_RecheckDays),"Re-check still in role","")))</f>
        <v/>
      </c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8"/>
      <c r="K206" s="27"/>
      <c r="L206" s="27"/>
      <c r="M206" s="32" t="str">
        <f aca="false">IF(B206="","",IFERROR(INDEX(L_RoleOK,MATCH(D206,L_RoleName,0)),"No"))</f>
        <v/>
      </c>
      <c r="N206" s="32" t="str">
        <f aca="false">IF(B206="","",_xlfn.TEXTJOIN(", ",TRUE(),IF(COUNTIF($B$3:$B$502,B206)&gt;1,"Duplicate name",""),IF(I206="","Source missing",""),IF(OR(J206="",J206&lt;S_Today-S_RecheckDays),"Re-check still in role","")))</f>
        <v/>
      </c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8"/>
      <c r="K207" s="27"/>
      <c r="L207" s="27"/>
      <c r="M207" s="32" t="str">
        <f aca="false">IF(B207="","",IFERROR(INDEX(L_RoleOK,MATCH(D207,L_RoleName,0)),"No"))</f>
        <v/>
      </c>
      <c r="N207" s="32" t="str">
        <f aca="false">IF(B207="","",_xlfn.TEXTJOIN(", ",TRUE(),IF(COUNTIF($B$3:$B$502,B207)&gt;1,"Duplicate name",""),IF(I207="","Source missing",""),IF(OR(J207="",J207&lt;S_Today-S_RecheckDays),"Re-check still in role","")))</f>
        <v/>
      </c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8"/>
      <c r="K208" s="27"/>
      <c r="L208" s="27"/>
      <c r="M208" s="32" t="str">
        <f aca="false">IF(B208="","",IFERROR(INDEX(L_RoleOK,MATCH(D208,L_RoleName,0)),"No"))</f>
        <v/>
      </c>
      <c r="N208" s="32" t="str">
        <f aca="false">IF(B208="","",_xlfn.TEXTJOIN(", ",TRUE(),IF(COUNTIF($B$3:$B$502,B208)&gt;1,"Duplicate name",""),IF(I208="","Source missing",""),IF(OR(J208="",J208&lt;S_Today-S_RecheckDays),"Re-check still in role","")))</f>
        <v/>
      </c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8"/>
      <c r="K209" s="27"/>
      <c r="L209" s="27"/>
      <c r="M209" s="32" t="str">
        <f aca="false">IF(B209="","",IFERROR(INDEX(L_RoleOK,MATCH(D209,L_RoleName,0)),"No"))</f>
        <v/>
      </c>
      <c r="N209" s="32" t="str">
        <f aca="false">IF(B209="","",_xlfn.TEXTJOIN(", ",TRUE(),IF(COUNTIF($B$3:$B$502,B209)&gt;1,"Duplicate name",""),IF(I209="","Source missing",""),IF(OR(J209="",J209&lt;S_Today-S_RecheckDays),"Re-check still in role","")))</f>
        <v/>
      </c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8"/>
      <c r="K210" s="27"/>
      <c r="L210" s="27"/>
      <c r="M210" s="32" t="str">
        <f aca="false">IF(B210="","",IFERROR(INDEX(L_RoleOK,MATCH(D210,L_RoleName,0)),"No"))</f>
        <v/>
      </c>
      <c r="N210" s="32" t="str">
        <f aca="false">IF(B210="","",_xlfn.TEXTJOIN(", ",TRUE(),IF(COUNTIF($B$3:$B$502,B210)&gt;1,"Duplicate name",""),IF(I210="","Source missing",""),IF(OR(J210="",J210&lt;S_Today-S_RecheckDays),"Re-check still in role","")))</f>
        <v/>
      </c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8"/>
      <c r="K211" s="27"/>
      <c r="L211" s="27"/>
      <c r="M211" s="32" t="str">
        <f aca="false">IF(B211="","",IFERROR(INDEX(L_RoleOK,MATCH(D211,L_RoleName,0)),"No"))</f>
        <v/>
      </c>
      <c r="N211" s="32" t="str">
        <f aca="false">IF(B211="","",_xlfn.TEXTJOIN(", ",TRUE(),IF(COUNTIF($B$3:$B$502,B211)&gt;1,"Duplicate name",""),IF(I211="","Source missing",""),IF(OR(J211="",J211&lt;S_Today-S_RecheckDays),"Re-check still in role","")))</f>
        <v/>
      </c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8"/>
      <c r="K212" s="27"/>
      <c r="L212" s="27"/>
      <c r="M212" s="32" t="str">
        <f aca="false">IF(B212="","",IFERROR(INDEX(L_RoleOK,MATCH(D212,L_RoleName,0)),"No"))</f>
        <v/>
      </c>
      <c r="N212" s="32" t="str">
        <f aca="false">IF(B212="","",_xlfn.TEXTJOIN(", ",TRUE(),IF(COUNTIF($B$3:$B$502,B212)&gt;1,"Duplicate name",""),IF(I212="","Source missing",""),IF(OR(J212="",J212&lt;S_Today-S_RecheckDays),"Re-check still in role","")))</f>
        <v/>
      </c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8"/>
      <c r="K213" s="27"/>
      <c r="L213" s="27"/>
      <c r="M213" s="32" t="str">
        <f aca="false">IF(B213="","",IFERROR(INDEX(L_RoleOK,MATCH(D213,L_RoleName,0)),"No"))</f>
        <v/>
      </c>
      <c r="N213" s="32" t="str">
        <f aca="false">IF(B213="","",_xlfn.TEXTJOIN(", ",TRUE(),IF(COUNTIF($B$3:$B$502,B213)&gt;1,"Duplicate name",""),IF(I213="","Source missing",""),IF(OR(J213="",J213&lt;S_Today-S_RecheckDays),"Re-check still in role","")))</f>
        <v/>
      </c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8"/>
      <c r="K214" s="27"/>
      <c r="L214" s="27"/>
      <c r="M214" s="32" t="str">
        <f aca="false">IF(B214="","",IFERROR(INDEX(L_RoleOK,MATCH(D214,L_RoleName,0)),"No"))</f>
        <v/>
      </c>
      <c r="N214" s="32" t="str">
        <f aca="false">IF(B214="","",_xlfn.TEXTJOIN(", ",TRUE(),IF(COUNTIF($B$3:$B$502,B214)&gt;1,"Duplicate name",""),IF(I214="","Source missing",""),IF(OR(J214="",J214&lt;S_Today-S_RecheckDays),"Re-check still in role","")))</f>
        <v/>
      </c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8"/>
      <c r="K215" s="27"/>
      <c r="L215" s="27"/>
      <c r="M215" s="32" t="str">
        <f aca="false">IF(B215="","",IFERROR(INDEX(L_RoleOK,MATCH(D215,L_RoleName,0)),"No"))</f>
        <v/>
      </c>
      <c r="N215" s="32" t="str">
        <f aca="false">IF(B215="","",_xlfn.TEXTJOIN(", ",TRUE(),IF(COUNTIF($B$3:$B$502,B215)&gt;1,"Duplicate name",""),IF(I215="","Source missing",""),IF(OR(J215="",J215&lt;S_Today-S_RecheckDays),"Re-check still in role","")))</f>
        <v/>
      </c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8"/>
      <c r="K216" s="27"/>
      <c r="L216" s="27"/>
      <c r="M216" s="32" t="str">
        <f aca="false">IF(B216="","",IFERROR(INDEX(L_RoleOK,MATCH(D216,L_RoleName,0)),"No"))</f>
        <v/>
      </c>
      <c r="N216" s="32" t="str">
        <f aca="false">IF(B216="","",_xlfn.TEXTJOIN(", ",TRUE(),IF(COUNTIF($B$3:$B$502,B216)&gt;1,"Duplicate name",""),IF(I216="","Source missing",""),IF(OR(J216="",J216&lt;S_Today-S_RecheckDays),"Re-check still in role","")))</f>
        <v/>
      </c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8"/>
      <c r="K217" s="27"/>
      <c r="L217" s="27"/>
      <c r="M217" s="32" t="str">
        <f aca="false">IF(B217="","",IFERROR(INDEX(L_RoleOK,MATCH(D217,L_RoleName,0)),"No"))</f>
        <v/>
      </c>
      <c r="N217" s="32" t="str">
        <f aca="false">IF(B217="","",_xlfn.TEXTJOIN(", ",TRUE(),IF(COUNTIF($B$3:$B$502,B217)&gt;1,"Duplicate name",""),IF(I217="","Source missing",""),IF(OR(J217="",J217&lt;S_Today-S_RecheckDays),"Re-check still in role","")))</f>
        <v/>
      </c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8"/>
      <c r="K218" s="27"/>
      <c r="L218" s="27"/>
      <c r="M218" s="32" t="str">
        <f aca="false">IF(B218="","",IFERROR(INDEX(L_RoleOK,MATCH(D218,L_RoleName,0)),"No"))</f>
        <v/>
      </c>
      <c r="N218" s="32" t="str">
        <f aca="false">IF(B218="","",_xlfn.TEXTJOIN(", ",TRUE(),IF(COUNTIF($B$3:$B$502,B218)&gt;1,"Duplicate name",""),IF(I218="","Source missing",""),IF(OR(J218="",J218&lt;S_Today-S_RecheckDays),"Re-check still in role","")))</f>
        <v/>
      </c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8"/>
      <c r="K219" s="27"/>
      <c r="L219" s="27"/>
      <c r="M219" s="32" t="str">
        <f aca="false">IF(B219="","",IFERROR(INDEX(L_RoleOK,MATCH(D219,L_RoleName,0)),"No"))</f>
        <v/>
      </c>
      <c r="N219" s="32" t="str">
        <f aca="false">IF(B219="","",_xlfn.TEXTJOIN(", ",TRUE(),IF(COUNTIF($B$3:$B$502,B219)&gt;1,"Duplicate name",""),IF(I219="","Source missing",""),IF(OR(J219="",J219&lt;S_Today-S_RecheckDays),"Re-check still in role","")))</f>
        <v/>
      </c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8"/>
      <c r="K220" s="27"/>
      <c r="L220" s="27"/>
      <c r="M220" s="32" t="str">
        <f aca="false">IF(B220="","",IFERROR(INDEX(L_RoleOK,MATCH(D220,L_RoleName,0)),"No"))</f>
        <v/>
      </c>
      <c r="N220" s="32" t="str">
        <f aca="false">IF(B220="","",_xlfn.TEXTJOIN(", ",TRUE(),IF(COUNTIF($B$3:$B$502,B220)&gt;1,"Duplicate name",""),IF(I220="","Source missing",""),IF(OR(J220="",J220&lt;S_Today-S_RecheckDays),"Re-check still in role","")))</f>
        <v/>
      </c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8"/>
      <c r="K221" s="27"/>
      <c r="L221" s="27"/>
      <c r="M221" s="32" t="str">
        <f aca="false">IF(B221="","",IFERROR(INDEX(L_RoleOK,MATCH(D221,L_RoleName,0)),"No"))</f>
        <v/>
      </c>
      <c r="N221" s="32" t="str">
        <f aca="false">IF(B221="","",_xlfn.TEXTJOIN(", ",TRUE(),IF(COUNTIF($B$3:$B$502,B221)&gt;1,"Duplicate name",""),IF(I221="","Source missing",""),IF(OR(J221="",J221&lt;S_Today-S_RecheckDays),"Re-check still in role","")))</f>
        <v/>
      </c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8"/>
      <c r="K222" s="27"/>
      <c r="L222" s="27"/>
      <c r="M222" s="32" t="str">
        <f aca="false">IF(B222="","",IFERROR(INDEX(L_RoleOK,MATCH(D222,L_RoleName,0)),"No"))</f>
        <v/>
      </c>
      <c r="N222" s="32" t="str">
        <f aca="false">IF(B222="","",_xlfn.TEXTJOIN(", ",TRUE(),IF(COUNTIF($B$3:$B$502,B222)&gt;1,"Duplicate name",""),IF(I222="","Source missing",""),IF(OR(J222="",J222&lt;S_Today-S_RecheckDays),"Re-check still in role","")))</f>
        <v/>
      </c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8"/>
      <c r="K223" s="27"/>
      <c r="L223" s="27"/>
      <c r="M223" s="32" t="str">
        <f aca="false">IF(B223="","",IFERROR(INDEX(L_RoleOK,MATCH(D223,L_RoleName,0)),"No"))</f>
        <v/>
      </c>
      <c r="N223" s="32" t="str">
        <f aca="false">IF(B223="","",_xlfn.TEXTJOIN(", ",TRUE(),IF(COUNTIF($B$3:$B$502,B223)&gt;1,"Duplicate name",""),IF(I223="","Source missing",""),IF(OR(J223="",J223&lt;S_Today-S_RecheckDays),"Re-check still in role","")))</f>
        <v/>
      </c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8"/>
      <c r="K224" s="27"/>
      <c r="L224" s="27"/>
      <c r="M224" s="32" t="str">
        <f aca="false">IF(B224="","",IFERROR(INDEX(L_RoleOK,MATCH(D224,L_RoleName,0)),"No"))</f>
        <v/>
      </c>
      <c r="N224" s="32" t="str">
        <f aca="false">IF(B224="","",_xlfn.TEXTJOIN(", ",TRUE(),IF(COUNTIF($B$3:$B$502,B224)&gt;1,"Duplicate name",""),IF(I224="","Source missing",""),IF(OR(J224="",J224&lt;S_Today-S_RecheckDays),"Re-check still in role","")))</f>
        <v/>
      </c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8"/>
      <c r="K225" s="27"/>
      <c r="L225" s="27"/>
      <c r="M225" s="32" t="str">
        <f aca="false">IF(B225="","",IFERROR(INDEX(L_RoleOK,MATCH(D225,L_RoleName,0)),"No"))</f>
        <v/>
      </c>
      <c r="N225" s="32" t="str">
        <f aca="false">IF(B225="","",_xlfn.TEXTJOIN(", ",TRUE(),IF(COUNTIF($B$3:$B$502,B225)&gt;1,"Duplicate name",""),IF(I225="","Source missing",""),IF(OR(J225="",J225&lt;S_Today-S_RecheckDays),"Re-check still in role","")))</f>
        <v/>
      </c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8"/>
      <c r="K226" s="27"/>
      <c r="L226" s="27"/>
      <c r="M226" s="32" t="str">
        <f aca="false">IF(B226="","",IFERROR(INDEX(L_RoleOK,MATCH(D226,L_RoleName,0)),"No"))</f>
        <v/>
      </c>
      <c r="N226" s="32" t="str">
        <f aca="false">IF(B226="","",_xlfn.TEXTJOIN(", ",TRUE(),IF(COUNTIF($B$3:$B$502,B226)&gt;1,"Duplicate name",""),IF(I226="","Source missing",""),IF(OR(J226="",J226&lt;S_Today-S_RecheckDays),"Re-check still in role","")))</f>
        <v/>
      </c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8"/>
      <c r="K227" s="27"/>
      <c r="L227" s="27"/>
      <c r="M227" s="32" t="str">
        <f aca="false">IF(B227="","",IFERROR(INDEX(L_RoleOK,MATCH(D227,L_RoleName,0)),"No"))</f>
        <v/>
      </c>
      <c r="N227" s="32" t="str">
        <f aca="false">IF(B227="","",_xlfn.TEXTJOIN(", ",TRUE(),IF(COUNTIF($B$3:$B$502,B227)&gt;1,"Duplicate name",""),IF(I227="","Source missing",""),IF(OR(J227="",J227&lt;S_Today-S_RecheckDays),"Re-check still in role","")))</f>
        <v/>
      </c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8"/>
      <c r="K228" s="27"/>
      <c r="L228" s="27"/>
      <c r="M228" s="32" t="str">
        <f aca="false">IF(B228="","",IFERROR(INDEX(L_RoleOK,MATCH(D228,L_RoleName,0)),"No"))</f>
        <v/>
      </c>
      <c r="N228" s="32" t="str">
        <f aca="false">IF(B228="","",_xlfn.TEXTJOIN(", ",TRUE(),IF(COUNTIF($B$3:$B$502,B228)&gt;1,"Duplicate name",""),IF(I228="","Source missing",""),IF(OR(J228="",J228&lt;S_Today-S_RecheckDays),"Re-check still in role","")))</f>
        <v/>
      </c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8"/>
      <c r="K229" s="27"/>
      <c r="L229" s="27"/>
      <c r="M229" s="32" t="str">
        <f aca="false">IF(B229="","",IFERROR(INDEX(L_RoleOK,MATCH(D229,L_RoleName,0)),"No"))</f>
        <v/>
      </c>
      <c r="N229" s="32" t="str">
        <f aca="false">IF(B229="","",_xlfn.TEXTJOIN(", ",TRUE(),IF(COUNTIF($B$3:$B$502,B229)&gt;1,"Duplicate name",""),IF(I229="","Source missing",""),IF(OR(J229="",J229&lt;S_Today-S_RecheckDays),"Re-check still in role","")))</f>
        <v/>
      </c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8"/>
      <c r="K230" s="27"/>
      <c r="L230" s="27"/>
      <c r="M230" s="32" t="str">
        <f aca="false">IF(B230="","",IFERROR(INDEX(L_RoleOK,MATCH(D230,L_RoleName,0)),"No"))</f>
        <v/>
      </c>
      <c r="N230" s="32" t="str">
        <f aca="false">IF(B230="","",_xlfn.TEXTJOIN(", ",TRUE(),IF(COUNTIF($B$3:$B$502,B230)&gt;1,"Duplicate name",""),IF(I230="","Source missing",""),IF(OR(J230="",J230&lt;S_Today-S_RecheckDays),"Re-check still in role","")))</f>
        <v/>
      </c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8"/>
      <c r="K231" s="27"/>
      <c r="L231" s="27"/>
      <c r="M231" s="32" t="str">
        <f aca="false">IF(B231="","",IFERROR(INDEX(L_RoleOK,MATCH(D231,L_RoleName,0)),"No"))</f>
        <v/>
      </c>
      <c r="N231" s="32" t="str">
        <f aca="false">IF(B231="","",_xlfn.TEXTJOIN(", ",TRUE(),IF(COUNTIF($B$3:$B$502,B231)&gt;1,"Duplicate name",""),IF(I231="","Source missing",""),IF(OR(J231="",J231&lt;S_Today-S_RecheckDays),"Re-check still in role","")))</f>
        <v/>
      </c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8"/>
      <c r="K232" s="27"/>
      <c r="L232" s="27"/>
      <c r="M232" s="32" t="str">
        <f aca="false">IF(B232="","",IFERROR(INDEX(L_RoleOK,MATCH(D232,L_RoleName,0)),"No"))</f>
        <v/>
      </c>
      <c r="N232" s="32" t="str">
        <f aca="false">IF(B232="","",_xlfn.TEXTJOIN(", ",TRUE(),IF(COUNTIF($B$3:$B$502,B232)&gt;1,"Duplicate name",""),IF(I232="","Source missing",""),IF(OR(J232="",J232&lt;S_Today-S_RecheckDays),"Re-check still in role","")))</f>
        <v/>
      </c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8"/>
      <c r="K233" s="27"/>
      <c r="L233" s="27"/>
      <c r="M233" s="32" t="str">
        <f aca="false">IF(B233="","",IFERROR(INDEX(L_RoleOK,MATCH(D233,L_RoleName,0)),"No"))</f>
        <v/>
      </c>
      <c r="N233" s="32" t="str">
        <f aca="false">IF(B233="","",_xlfn.TEXTJOIN(", ",TRUE(),IF(COUNTIF($B$3:$B$502,B233)&gt;1,"Duplicate name",""),IF(I233="","Source missing",""),IF(OR(J233="",J233&lt;S_Today-S_RecheckDays),"Re-check still in role","")))</f>
        <v/>
      </c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8"/>
      <c r="K234" s="27"/>
      <c r="L234" s="27"/>
      <c r="M234" s="32" t="str">
        <f aca="false">IF(B234="","",IFERROR(INDEX(L_RoleOK,MATCH(D234,L_RoleName,0)),"No"))</f>
        <v/>
      </c>
      <c r="N234" s="32" t="str">
        <f aca="false">IF(B234="","",_xlfn.TEXTJOIN(", ",TRUE(),IF(COUNTIF($B$3:$B$502,B234)&gt;1,"Duplicate name",""),IF(I234="","Source missing",""),IF(OR(J234="",J234&lt;S_Today-S_RecheckDays),"Re-check still in role","")))</f>
        <v/>
      </c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8"/>
      <c r="K235" s="27"/>
      <c r="L235" s="27"/>
      <c r="M235" s="32" t="str">
        <f aca="false">IF(B235="","",IFERROR(INDEX(L_RoleOK,MATCH(D235,L_RoleName,0)),"No"))</f>
        <v/>
      </c>
      <c r="N235" s="32" t="str">
        <f aca="false">IF(B235="","",_xlfn.TEXTJOIN(", ",TRUE(),IF(COUNTIF($B$3:$B$502,B235)&gt;1,"Duplicate name",""),IF(I235="","Source missing",""),IF(OR(J235="",J235&lt;S_Today-S_RecheckDays),"Re-check still in role","")))</f>
        <v/>
      </c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8"/>
      <c r="K236" s="27"/>
      <c r="L236" s="27"/>
      <c r="M236" s="32" t="str">
        <f aca="false">IF(B236="","",IFERROR(INDEX(L_RoleOK,MATCH(D236,L_RoleName,0)),"No"))</f>
        <v/>
      </c>
      <c r="N236" s="32" t="str">
        <f aca="false">IF(B236="","",_xlfn.TEXTJOIN(", ",TRUE(),IF(COUNTIF($B$3:$B$502,B236)&gt;1,"Duplicate name",""),IF(I236="","Source missing",""),IF(OR(J236="",J236&lt;S_Today-S_RecheckDays),"Re-check still in role","")))</f>
        <v/>
      </c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8"/>
      <c r="K237" s="27"/>
      <c r="L237" s="27"/>
      <c r="M237" s="32" t="str">
        <f aca="false">IF(B237="","",IFERROR(INDEX(L_RoleOK,MATCH(D237,L_RoleName,0)),"No"))</f>
        <v/>
      </c>
      <c r="N237" s="32" t="str">
        <f aca="false">IF(B237="","",_xlfn.TEXTJOIN(", ",TRUE(),IF(COUNTIF($B$3:$B$502,B237)&gt;1,"Duplicate name",""),IF(I237="","Source missing",""),IF(OR(J237="",J237&lt;S_Today-S_RecheckDays),"Re-check still in role","")))</f>
        <v/>
      </c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8"/>
      <c r="K238" s="27"/>
      <c r="L238" s="27"/>
      <c r="M238" s="32" t="str">
        <f aca="false">IF(B238="","",IFERROR(INDEX(L_RoleOK,MATCH(D238,L_RoleName,0)),"No"))</f>
        <v/>
      </c>
      <c r="N238" s="32" t="str">
        <f aca="false">IF(B238="","",_xlfn.TEXTJOIN(", ",TRUE(),IF(COUNTIF($B$3:$B$502,B238)&gt;1,"Duplicate name",""),IF(I238="","Source missing",""),IF(OR(J238="",J238&lt;S_Today-S_RecheckDays),"Re-check still in role","")))</f>
        <v/>
      </c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8"/>
      <c r="K239" s="27"/>
      <c r="L239" s="27"/>
      <c r="M239" s="32" t="str">
        <f aca="false">IF(B239="","",IFERROR(INDEX(L_RoleOK,MATCH(D239,L_RoleName,0)),"No"))</f>
        <v/>
      </c>
      <c r="N239" s="32" t="str">
        <f aca="false">IF(B239="","",_xlfn.TEXTJOIN(", ",TRUE(),IF(COUNTIF($B$3:$B$502,B239)&gt;1,"Duplicate name",""),IF(I239="","Source missing",""),IF(OR(J239="",J239&lt;S_Today-S_RecheckDays),"Re-check still in role","")))</f>
        <v/>
      </c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8"/>
      <c r="K240" s="27"/>
      <c r="L240" s="27"/>
      <c r="M240" s="32" t="str">
        <f aca="false">IF(B240="","",IFERROR(INDEX(L_RoleOK,MATCH(D240,L_RoleName,0)),"No"))</f>
        <v/>
      </c>
      <c r="N240" s="32" t="str">
        <f aca="false">IF(B240="","",_xlfn.TEXTJOIN(", ",TRUE(),IF(COUNTIF($B$3:$B$502,B240)&gt;1,"Duplicate name",""),IF(I240="","Source missing",""),IF(OR(J240="",J240&lt;S_Today-S_RecheckDays),"Re-check still in role","")))</f>
        <v/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8"/>
      <c r="K241" s="27"/>
      <c r="L241" s="27"/>
      <c r="M241" s="32" t="str">
        <f aca="false">IF(B241="","",IFERROR(INDEX(L_RoleOK,MATCH(D241,L_RoleName,0)),"No"))</f>
        <v/>
      </c>
      <c r="N241" s="32" t="str">
        <f aca="false">IF(B241="","",_xlfn.TEXTJOIN(", ",TRUE(),IF(COUNTIF($B$3:$B$502,B241)&gt;1,"Duplicate name",""),IF(I241="","Source missing",""),IF(OR(J241="",J241&lt;S_Today-S_RecheckDays),"Re-check still in role","")))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8"/>
      <c r="K242" s="27"/>
      <c r="L242" s="27"/>
      <c r="M242" s="32" t="str">
        <f aca="false">IF(B242="","",IFERROR(INDEX(L_RoleOK,MATCH(D242,L_RoleName,0)),"No"))</f>
        <v/>
      </c>
      <c r="N242" s="32" t="str">
        <f aca="false">IF(B242="","",_xlfn.TEXTJOIN(", ",TRUE(),IF(COUNTIF($B$3:$B$502,B242)&gt;1,"Duplicate name",""),IF(I242="","Source missing",""),IF(OR(J242="",J242&lt;S_Today-S_RecheckDays),"Re-check still in role","")))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8"/>
      <c r="K243" s="27"/>
      <c r="L243" s="27"/>
      <c r="M243" s="32" t="str">
        <f aca="false">IF(B243="","",IFERROR(INDEX(L_RoleOK,MATCH(D243,L_RoleName,0)),"No"))</f>
        <v/>
      </c>
      <c r="N243" s="32" t="str">
        <f aca="false">IF(B243="","",_xlfn.TEXTJOIN(", ",TRUE(),IF(COUNTIF($B$3:$B$502,B243)&gt;1,"Duplicate name",""),IF(I243="","Source missing",""),IF(OR(J243="",J243&lt;S_Today-S_RecheckDays),"Re-check still in role","")))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8"/>
      <c r="K244" s="27"/>
      <c r="L244" s="27"/>
      <c r="M244" s="32" t="str">
        <f aca="false">IF(B244="","",IFERROR(INDEX(L_RoleOK,MATCH(D244,L_RoleName,0)),"No"))</f>
        <v/>
      </c>
      <c r="N244" s="32" t="str">
        <f aca="false">IF(B244="","",_xlfn.TEXTJOIN(", ",TRUE(),IF(COUNTIF($B$3:$B$502,B244)&gt;1,"Duplicate name",""),IF(I244="","Source missing",""),IF(OR(J244="",J244&lt;S_Today-S_RecheckDays),"Re-check still in role","")))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8"/>
      <c r="K245" s="27"/>
      <c r="L245" s="27"/>
      <c r="M245" s="32" t="str">
        <f aca="false">IF(B245="","",IFERROR(INDEX(L_RoleOK,MATCH(D245,L_RoleName,0)),"No"))</f>
        <v/>
      </c>
      <c r="N245" s="32" t="str">
        <f aca="false">IF(B245="","",_xlfn.TEXTJOIN(", ",TRUE(),IF(COUNTIF($B$3:$B$502,B245)&gt;1,"Duplicate name",""),IF(I245="","Source missing",""),IF(OR(J245="",J245&lt;S_Today-S_RecheckDays),"Re-check still in role","")))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8"/>
      <c r="K246" s="27"/>
      <c r="L246" s="27"/>
      <c r="M246" s="32" t="str">
        <f aca="false">IF(B246="","",IFERROR(INDEX(L_RoleOK,MATCH(D246,L_RoleName,0)),"No"))</f>
        <v/>
      </c>
      <c r="N246" s="32" t="str">
        <f aca="false">IF(B246="","",_xlfn.TEXTJOIN(", ",TRUE(),IF(COUNTIF($B$3:$B$502,B246)&gt;1,"Duplicate name",""),IF(I246="","Source missing",""),IF(OR(J246="",J246&lt;S_Today-S_RecheckDays),"Re-check still in role","")))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8"/>
      <c r="K247" s="27"/>
      <c r="L247" s="27"/>
      <c r="M247" s="32" t="str">
        <f aca="false">IF(B247="","",IFERROR(INDEX(L_RoleOK,MATCH(D247,L_RoleName,0)),"No"))</f>
        <v/>
      </c>
      <c r="N247" s="32" t="str">
        <f aca="false">IF(B247="","",_xlfn.TEXTJOIN(", ",TRUE(),IF(COUNTIF($B$3:$B$502,B247)&gt;1,"Duplicate name",""),IF(I247="","Source missing",""),IF(OR(J247="",J247&lt;S_Today-S_RecheckDays),"Re-check still in role","")))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8"/>
      <c r="K248" s="27"/>
      <c r="L248" s="27"/>
      <c r="M248" s="32" t="str">
        <f aca="false">IF(B248="","",IFERROR(INDEX(L_RoleOK,MATCH(D248,L_RoleName,0)),"No"))</f>
        <v/>
      </c>
      <c r="N248" s="32" t="str">
        <f aca="false">IF(B248="","",_xlfn.TEXTJOIN(", ",TRUE(),IF(COUNTIF($B$3:$B$502,B248)&gt;1,"Duplicate name",""),IF(I248="","Source missing",""),IF(OR(J248="",J248&lt;S_Today-S_RecheckDays),"Re-check still in role","")))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8"/>
      <c r="K249" s="27"/>
      <c r="L249" s="27"/>
      <c r="M249" s="32" t="str">
        <f aca="false">IF(B249="","",IFERROR(INDEX(L_RoleOK,MATCH(D249,L_RoleName,0)),"No"))</f>
        <v/>
      </c>
      <c r="N249" s="32" t="str">
        <f aca="false">IF(B249="","",_xlfn.TEXTJOIN(", ",TRUE(),IF(COUNTIF($B$3:$B$502,B249)&gt;1,"Duplicate name",""),IF(I249="","Source missing",""),IF(OR(J249="",J249&lt;S_Today-S_RecheckDays),"Re-check still in role","")))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8"/>
      <c r="K250" s="27"/>
      <c r="L250" s="27"/>
      <c r="M250" s="32" t="str">
        <f aca="false">IF(B250="","",IFERROR(INDEX(L_RoleOK,MATCH(D250,L_RoleName,0)),"No"))</f>
        <v/>
      </c>
      <c r="N250" s="32" t="str">
        <f aca="false">IF(B250="","",_xlfn.TEXTJOIN(", ",TRUE(),IF(COUNTIF($B$3:$B$502,B250)&gt;1,"Duplicate name",""),IF(I250="","Source missing",""),IF(OR(J250="",J250&lt;S_Today-S_RecheckDays),"Re-check still in role","")))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8"/>
      <c r="K251" s="27"/>
      <c r="L251" s="27"/>
      <c r="M251" s="32" t="str">
        <f aca="false">IF(B251="","",IFERROR(INDEX(L_RoleOK,MATCH(D251,L_RoleName,0)),"No"))</f>
        <v/>
      </c>
      <c r="N251" s="32" t="str">
        <f aca="false">IF(B251="","",_xlfn.TEXTJOIN(", ",TRUE(),IF(COUNTIF($B$3:$B$502,B251)&gt;1,"Duplicate name",""),IF(I251="","Source missing",""),IF(OR(J251="",J251&lt;S_Today-S_RecheckDays),"Re-check still in role","")))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8"/>
      <c r="K252" s="27"/>
      <c r="L252" s="27"/>
      <c r="M252" s="32" t="str">
        <f aca="false">IF(B252="","",IFERROR(INDEX(L_RoleOK,MATCH(D252,L_RoleName,0)),"No"))</f>
        <v/>
      </c>
      <c r="N252" s="32" t="str">
        <f aca="false">IF(B252="","",_xlfn.TEXTJOIN(", ",TRUE(),IF(COUNTIF($B$3:$B$502,B252)&gt;1,"Duplicate name",""),IF(I252="","Source missing",""),IF(OR(J252="",J252&lt;S_Today-S_RecheckDays),"Re-check still in role","")))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8"/>
      <c r="K253" s="27"/>
      <c r="L253" s="27"/>
      <c r="M253" s="32" t="str">
        <f aca="false">IF(B253="","",IFERROR(INDEX(L_RoleOK,MATCH(D253,L_RoleName,0)),"No"))</f>
        <v/>
      </c>
      <c r="N253" s="32" t="str">
        <f aca="false">IF(B253="","",_xlfn.TEXTJOIN(", ",TRUE(),IF(COUNTIF($B$3:$B$502,B253)&gt;1,"Duplicate name",""),IF(I253="","Source missing",""),IF(OR(J253="",J253&lt;S_Today-S_RecheckDays),"Re-check still in role","")))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8"/>
      <c r="K254" s="27"/>
      <c r="L254" s="27"/>
      <c r="M254" s="32" t="str">
        <f aca="false">IF(B254="","",IFERROR(INDEX(L_RoleOK,MATCH(D254,L_RoleName,0)),"No"))</f>
        <v/>
      </c>
      <c r="N254" s="32" t="str">
        <f aca="false">IF(B254="","",_xlfn.TEXTJOIN(", ",TRUE(),IF(COUNTIF($B$3:$B$502,B254)&gt;1,"Duplicate name",""),IF(I254="","Source missing",""),IF(OR(J254="",J254&lt;S_Today-S_RecheckDays),"Re-check still in role","")))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8"/>
      <c r="K255" s="27"/>
      <c r="L255" s="27"/>
      <c r="M255" s="32" t="str">
        <f aca="false">IF(B255="","",IFERROR(INDEX(L_RoleOK,MATCH(D255,L_RoleName,0)),"No"))</f>
        <v/>
      </c>
      <c r="N255" s="32" t="str">
        <f aca="false">IF(B255="","",_xlfn.TEXTJOIN(", ",TRUE(),IF(COUNTIF($B$3:$B$502,B255)&gt;1,"Duplicate name",""),IF(I255="","Source missing",""),IF(OR(J255="",J255&lt;S_Today-S_RecheckDays),"Re-check still in role","")))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8"/>
      <c r="K256" s="27"/>
      <c r="L256" s="27"/>
      <c r="M256" s="32" t="str">
        <f aca="false">IF(B256="","",IFERROR(INDEX(L_RoleOK,MATCH(D256,L_RoleName,0)),"No"))</f>
        <v/>
      </c>
      <c r="N256" s="32" t="str">
        <f aca="false">IF(B256="","",_xlfn.TEXTJOIN(", ",TRUE(),IF(COUNTIF($B$3:$B$502,B256)&gt;1,"Duplicate name",""),IF(I256="","Source missing",""),IF(OR(J256="",J256&lt;S_Today-S_RecheckDays),"Re-check still in role","")))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8"/>
      <c r="K257" s="27"/>
      <c r="L257" s="27"/>
      <c r="M257" s="32" t="str">
        <f aca="false">IF(B257="","",IFERROR(INDEX(L_RoleOK,MATCH(D257,L_RoleName,0)),"No"))</f>
        <v/>
      </c>
      <c r="N257" s="32" t="str">
        <f aca="false">IF(B257="","",_xlfn.TEXTJOIN(", ",TRUE(),IF(COUNTIF($B$3:$B$502,B257)&gt;1,"Duplicate name",""),IF(I257="","Source missing",""),IF(OR(J257="",J257&lt;S_Today-S_RecheckDays),"Re-check still in role","")))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8"/>
      <c r="K258" s="27"/>
      <c r="L258" s="27"/>
      <c r="M258" s="32" t="str">
        <f aca="false">IF(B258="","",IFERROR(INDEX(L_RoleOK,MATCH(D258,L_RoleName,0)),"No"))</f>
        <v/>
      </c>
      <c r="N258" s="32" t="str">
        <f aca="false">IF(B258="","",_xlfn.TEXTJOIN(", ",TRUE(),IF(COUNTIF($B$3:$B$502,B258)&gt;1,"Duplicate name",""),IF(I258="","Source missing",""),IF(OR(J258="",J258&lt;S_Today-S_RecheckDays),"Re-check still in role","")))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8"/>
      <c r="K259" s="27"/>
      <c r="L259" s="27"/>
      <c r="M259" s="32" t="str">
        <f aca="false">IF(B259="","",IFERROR(INDEX(L_RoleOK,MATCH(D259,L_RoleName,0)),"No"))</f>
        <v/>
      </c>
      <c r="N259" s="32" t="str">
        <f aca="false">IF(B259="","",_xlfn.TEXTJOIN(", ",TRUE(),IF(COUNTIF($B$3:$B$502,B259)&gt;1,"Duplicate name",""),IF(I259="","Source missing",""),IF(OR(J259="",J259&lt;S_Today-S_RecheckDays),"Re-check still in role","")))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8"/>
      <c r="K260" s="27"/>
      <c r="L260" s="27"/>
      <c r="M260" s="32" t="str">
        <f aca="false">IF(B260="","",IFERROR(INDEX(L_RoleOK,MATCH(D260,L_RoleName,0)),"No"))</f>
        <v/>
      </c>
      <c r="N260" s="32" t="str">
        <f aca="false">IF(B260="","",_xlfn.TEXTJOIN(", ",TRUE(),IF(COUNTIF($B$3:$B$502,B260)&gt;1,"Duplicate name",""),IF(I260="","Source missing",""),IF(OR(J260="",J260&lt;S_Today-S_RecheckDays),"Re-check still in role","")))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8"/>
      <c r="K261" s="27"/>
      <c r="L261" s="27"/>
      <c r="M261" s="32" t="str">
        <f aca="false">IF(B261="","",IFERROR(INDEX(L_RoleOK,MATCH(D261,L_RoleName,0)),"No"))</f>
        <v/>
      </c>
      <c r="N261" s="32" t="str">
        <f aca="false">IF(B261="","",_xlfn.TEXTJOIN(", ",TRUE(),IF(COUNTIF($B$3:$B$502,B261)&gt;1,"Duplicate name",""),IF(I261="","Source missing",""),IF(OR(J261="",J261&lt;S_Today-S_RecheckDays),"Re-check still in role","")))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8"/>
      <c r="K262" s="27"/>
      <c r="L262" s="27"/>
      <c r="M262" s="32" t="str">
        <f aca="false">IF(B262="","",IFERROR(INDEX(L_RoleOK,MATCH(D262,L_RoleName,0)),"No"))</f>
        <v/>
      </c>
      <c r="N262" s="32" t="str">
        <f aca="false">IF(B262="","",_xlfn.TEXTJOIN(", ",TRUE(),IF(COUNTIF($B$3:$B$502,B262)&gt;1,"Duplicate name",""),IF(I262="","Source missing",""),IF(OR(J262="",J262&lt;S_Today-S_RecheckDays),"Re-check still in role","")))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8"/>
      <c r="K263" s="27"/>
      <c r="L263" s="27"/>
      <c r="M263" s="32" t="str">
        <f aca="false">IF(B263="","",IFERROR(INDEX(L_RoleOK,MATCH(D263,L_RoleName,0)),"No"))</f>
        <v/>
      </c>
      <c r="N263" s="32" t="str">
        <f aca="false">IF(B263="","",_xlfn.TEXTJOIN(", ",TRUE(),IF(COUNTIF($B$3:$B$502,B263)&gt;1,"Duplicate name",""),IF(I263="","Source missing",""),IF(OR(J263="",J263&lt;S_Today-S_RecheckDays),"Re-check still in role","")))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8"/>
      <c r="K264" s="27"/>
      <c r="L264" s="27"/>
      <c r="M264" s="32" t="str">
        <f aca="false">IF(B264="","",IFERROR(INDEX(L_RoleOK,MATCH(D264,L_RoleName,0)),"No"))</f>
        <v/>
      </c>
      <c r="N264" s="32" t="str">
        <f aca="false">IF(B264="","",_xlfn.TEXTJOIN(", ",TRUE(),IF(COUNTIF($B$3:$B$502,B264)&gt;1,"Duplicate name",""),IF(I264="","Source missing",""),IF(OR(J264="",J264&lt;S_Today-S_RecheckDays),"Re-check still in role","")))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8"/>
      <c r="K265" s="27"/>
      <c r="L265" s="27"/>
      <c r="M265" s="32" t="str">
        <f aca="false">IF(B265="","",IFERROR(INDEX(L_RoleOK,MATCH(D265,L_RoleName,0)),"No"))</f>
        <v/>
      </c>
      <c r="N265" s="32" t="str">
        <f aca="false">IF(B265="","",_xlfn.TEXTJOIN(", ",TRUE(),IF(COUNTIF($B$3:$B$502,B265)&gt;1,"Duplicate name",""),IF(I265="","Source missing",""),IF(OR(J265="",J265&lt;S_Today-S_RecheckDays),"Re-check still in role","")))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8"/>
      <c r="K266" s="27"/>
      <c r="L266" s="27"/>
      <c r="M266" s="32" t="str">
        <f aca="false">IF(B266="","",IFERROR(INDEX(L_RoleOK,MATCH(D266,L_RoleName,0)),"No"))</f>
        <v/>
      </c>
      <c r="N266" s="32" t="str">
        <f aca="false">IF(B266="","",_xlfn.TEXTJOIN(", ",TRUE(),IF(COUNTIF($B$3:$B$502,B266)&gt;1,"Duplicate name",""),IF(I266="","Source missing",""),IF(OR(J266="",J266&lt;S_Today-S_RecheckDays),"Re-check still in role","")))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8"/>
      <c r="K267" s="27"/>
      <c r="L267" s="27"/>
      <c r="M267" s="32" t="str">
        <f aca="false">IF(B267="","",IFERROR(INDEX(L_RoleOK,MATCH(D267,L_RoleName,0)),"No"))</f>
        <v/>
      </c>
      <c r="N267" s="32" t="str">
        <f aca="false">IF(B267="","",_xlfn.TEXTJOIN(", ",TRUE(),IF(COUNTIF($B$3:$B$502,B267)&gt;1,"Duplicate name",""),IF(I267="","Source missing",""),IF(OR(J267="",J267&lt;S_Today-S_RecheckDays),"Re-check still in role","")))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8"/>
      <c r="K268" s="27"/>
      <c r="L268" s="27"/>
      <c r="M268" s="32" t="str">
        <f aca="false">IF(B268="","",IFERROR(INDEX(L_RoleOK,MATCH(D268,L_RoleName,0)),"No"))</f>
        <v/>
      </c>
      <c r="N268" s="32" t="str">
        <f aca="false">IF(B268="","",_xlfn.TEXTJOIN(", ",TRUE(),IF(COUNTIF($B$3:$B$502,B268)&gt;1,"Duplicate name",""),IF(I268="","Source missing",""),IF(OR(J268="",J268&lt;S_Today-S_RecheckDays),"Re-check still in role","")))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8"/>
      <c r="K269" s="27"/>
      <c r="L269" s="27"/>
      <c r="M269" s="32" t="str">
        <f aca="false">IF(B269="","",IFERROR(INDEX(L_RoleOK,MATCH(D269,L_RoleName,0)),"No"))</f>
        <v/>
      </c>
      <c r="N269" s="32" t="str">
        <f aca="false">IF(B269="","",_xlfn.TEXTJOIN(", ",TRUE(),IF(COUNTIF($B$3:$B$502,B269)&gt;1,"Duplicate name",""),IF(I269="","Source missing",""),IF(OR(J269="",J269&lt;S_Today-S_RecheckDays),"Re-check still in role","")))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8"/>
      <c r="K270" s="27"/>
      <c r="L270" s="27"/>
      <c r="M270" s="32" t="str">
        <f aca="false">IF(B270="","",IFERROR(INDEX(L_RoleOK,MATCH(D270,L_RoleName,0)),"No"))</f>
        <v/>
      </c>
      <c r="N270" s="32" t="str">
        <f aca="false">IF(B270="","",_xlfn.TEXTJOIN(", ",TRUE(),IF(COUNTIF($B$3:$B$502,B270)&gt;1,"Duplicate name",""),IF(I270="","Source missing",""),IF(OR(J270="",J270&lt;S_Today-S_RecheckDays),"Re-check still in role","")))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8"/>
      <c r="K271" s="27"/>
      <c r="L271" s="27"/>
      <c r="M271" s="32" t="str">
        <f aca="false">IF(B271="","",IFERROR(INDEX(L_RoleOK,MATCH(D271,L_RoleName,0)),"No"))</f>
        <v/>
      </c>
      <c r="N271" s="32" t="str">
        <f aca="false">IF(B271="","",_xlfn.TEXTJOIN(", ",TRUE(),IF(COUNTIF($B$3:$B$502,B271)&gt;1,"Duplicate name",""),IF(I271="","Source missing",""),IF(OR(J271="",J271&lt;S_Today-S_RecheckDays),"Re-check still in role","")))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8"/>
      <c r="K272" s="27"/>
      <c r="L272" s="27"/>
      <c r="M272" s="32" t="str">
        <f aca="false">IF(B272="","",IFERROR(INDEX(L_RoleOK,MATCH(D272,L_RoleName,0)),"No"))</f>
        <v/>
      </c>
      <c r="N272" s="32" t="str">
        <f aca="false">IF(B272="","",_xlfn.TEXTJOIN(", ",TRUE(),IF(COUNTIF($B$3:$B$502,B272)&gt;1,"Duplicate name",""),IF(I272="","Source missing",""),IF(OR(J272="",J272&lt;S_Today-S_RecheckDays),"Re-check still in role","")))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8"/>
      <c r="K273" s="27"/>
      <c r="L273" s="27"/>
      <c r="M273" s="32" t="str">
        <f aca="false">IF(B273="","",IFERROR(INDEX(L_RoleOK,MATCH(D273,L_RoleName,0)),"No"))</f>
        <v/>
      </c>
      <c r="N273" s="32" t="str">
        <f aca="false">IF(B273="","",_xlfn.TEXTJOIN(", ",TRUE(),IF(COUNTIF($B$3:$B$502,B273)&gt;1,"Duplicate name",""),IF(I273="","Source missing",""),IF(OR(J273="",J273&lt;S_Today-S_RecheckDays),"Re-check still in role","")))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8"/>
      <c r="K274" s="27"/>
      <c r="L274" s="27"/>
      <c r="M274" s="32" t="str">
        <f aca="false">IF(B274="","",IFERROR(INDEX(L_RoleOK,MATCH(D274,L_RoleName,0)),"No"))</f>
        <v/>
      </c>
      <c r="N274" s="32" t="str">
        <f aca="false">IF(B274="","",_xlfn.TEXTJOIN(", ",TRUE(),IF(COUNTIF($B$3:$B$502,B274)&gt;1,"Duplicate name",""),IF(I274="","Source missing",""),IF(OR(J274="",J274&lt;S_Today-S_RecheckDays),"Re-check still in role","")))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8"/>
      <c r="K275" s="27"/>
      <c r="L275" s="27"/>
      <c r="M275" s="32" t="str">
        <f aca="false">IF(B275="","",IFERROR(INDEX(L_RoleOK,MATCH(D275,L_RoleName,0)),"No"))</f>
        <v/>
      </c>
      <c r="N275" s="32" t="str">
        <f aca="false">IF(B275="","",_xlfn.TEXTJOIN(", ",TRUE(),IF(COUNTIF($B$3:$B$502,B275)&gt;1,"Duplicate name",""),IF(I275="","Source missing",""),IF(OR(J275="",J275&lt;S_Today-S_RecheckDays),"Re-check still in role","")))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8"/>
      <c r="K276" s="27"/>
      <c r="L276" s="27"/>
      <c r="M276" s="32" t="str">
        <f aca="false">IF(B276="","",IFERROR(INDEX(L_RoleOK,MATCH(D276,L_RoleName,0)),"No"))</f>
        <v/>
      </c>
      <c r="N276" s="32" t="str">
        <f aca="false">IF(B276="","",_xlfn.TEXTJOIN(", ",TRUE(),IF(COUNTIF($B$3:$B$502,B276)&gt;1,"Duplicate name",""),IF(I276="","Source missing",""),IF(OR(J276="",J276&lt;S_Today-S_RecheckDays),"Re-check still in role","")))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8"/>
      <c r="K277" s="27"/>
      <c r="L277" s="27"/>
      <c r="M277" s="32" t="str">
        <f aca="false">IF(B277="","",IFERROR(INDEX(L_RoleOK,MATCH(D277,L_RoleName,0)),"No"))</f>
        <v/>
      </c>
      <c r="N277" s="32" t="str">
        <f aca="false">IF(B277="","",_xlfn.TEXTJOIN(", ",TRUE(),IF(COUNTIF($B$3:$B$502,B277)&gt;1,"Duplicate name",""),IF(I277="","Source missing",""),IF(OR(J277="",J277&lt;S_Today-S_RecheckDays),"Re-check still in role","")))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8"/>
      <c r="K278" s="27"/>
      <c r="L278" s="27"/>
      <c r="M278" s="32" t="str">
        <f aca="false">IF(B278="","",IFERROR(INDEX(L_RoleOK,MATCH(D278,L_RoleName,0)),"No"))</f>
        <v/>
      </c>
      <c r="N278" s="32" t="str">
        <f aca="false">IF(B278="","",_xlfn.TEXTJOIN(", ",TRUE(),IF(COUNTIF($B$3:$B$502,B278)&gt;1,"Duplicate name",""),IF(I278="","Source missing",""),IF(OR(J278="",J278&lt;S_Today-S_RecheckDays),"Re-check still in role","")))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8"/>
      <c r="K279" s="27"/>
      <c r="L279" s="27"/>
      <c r="M279" s="32" t="str">
        <f aca="false">IF(B279="","",IFERROR(INDEX(L_RoleOK,MATCH(D279,L_RoleName,0)),"No"))</f>
        <v/>
      </c>
      <c r="N279" s="32" t="str">
        <f aca="false">IF(B279="","",_xlfn.TEXTJOIN(", ",TRUE(),IF(COUNTIF($B$3:$B$502,B279)&gt;1,"Duplicate name",""),IF(I279="","Source missing",""),IF(OR(J279="",J279&lt;S_Today-S_RecheckDays),"Re-check still in role","")))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8"/>
      <c r="K280" s="27"/>
      <c r="L280" s="27"/>
      <c r="M280" s="32" t="str">
        <f aca="false">IF(B280="","",IFERROR(INDEX(L_RoleOK,MATCH(D280,L_RoleName,0)),"No"))</f>
        <v/>
      </c>
      <c r="N280" s="32" t="str">
        <f aca="false">IF(B280="","",_xlfn.TEXTJOIN(", ",TRUE(),IF(COUNTIF($B$3:$B$502,B280)&gt;1,"Duplicate name",""),IF(I280="","Source missing",""),IF(OR(J280="",J280&lt;S_Today-S_RecheckDays),"Re-check still in role","")))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8"/>
      <c r="K281" s="27"/>
      <c r="L281" s="27"/>
      <c r="M281" s="32" t="str">
        <f aca="false">IF(B281="","",IFERROR(INDEX(L_RoleOK,MATCH(D281,L_RoleName,0)),"No"))</f>
        <v/>
      </c>
      <c r="N281" s="32" t="str">
        <f aca="false">IF(B281="","",_xlfn.TEXTJOIN(", ",TRUE(),IF(COUNTIF($B$3:$B$502,B281)&gt;1,"Duplicate name",""),IF(I281="","Source missing",""),IF(OR(J281="",J281&lt;S_Today-S_RecheckDays),"Re-check still in role","")))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8"/>
      <c r="K282" s="27"/>
      <c r="L282" s="27"/>
      <c r="M282" s="32" t="str">
        <f aca="false">IF(B282="","",IFERROR(INDEX(L_RoleOK,MATCH(D282,L_RoleName,0)),"No"))</f>
        <v/>
      </c>
      <c r="N282" s="32" t="str">
        <f aca="false">IF(B282="","",_xlfn.TEXTJOIN(", ",TRUE(),IF(COUNTIF($B$3:$B$502,B282)&gt;1,"Duplicate name",""),IF(I282="","Source missing",""),IF(OR(J282="",J282&lt;S_Today-S_RecheckDays),"Re-check still in role","")))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8"/>
      <c r="K283" s="27"/>
      <c r="L283" s="27"/>
      <c r="M283" s="32" t="str">
        <f aca="false">IF(B283="","",IFERROR(INDEX(L_RoleOK,MATCH(D283,L_RoleName,0)),"No"))</f>
        <v/>
      </c>
      <c r="N283" s="32" t="str">
        <f aca="false">IF(B283="","",_xlfn.TEXTJOIN(", ",TRUE(),IF(COUNTIF($B$3:$B$502,B283)&gt;1,"Duplicate name",""),IF(I283="","Source missing",""),IF(OR(J283="",J283&lt;S_Today-S_RecheckDays),"Re-check still in role","")))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8"/>
      <c r="K284" s="27"/>
      <c r="L284" s="27"/>
      <c r="M284" s="32" t="str">
        <f aca="false">IF(B284="","",IFERROR(INDEX(L_RoleOK,MATCH(D284,L_RoleName,0)),"No"))</f>
        <v/>
      </c>
      <c r="N284" s="32" t="str">
        <f aca="false">IF(B284="","",_xlfn.TEXTJOIN(", ",TRUE(),IF(COUNTIF($B$3:$B$502,B284)&gt;1,"Duplicate name",""),IF(I284="","Source missing",""),IF(OR(J284="",J284&lt;S_Today-S_RecheckDays),"Re-check still in role","")))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8"/>
      <c r="K285" s="27"/>
      <c r="L285" s="27"/>
      <c r="M285" s="32" t="str">
        <f aca="false">IF(B285="","",IFERROR(INDEX(L_RoleOK,MATCH(D285,L_RoleName,0)),"No"))</f>
        <v/>
      </c>
      <c r="N285" s="32" t="str">
        <f aca="false">IF(B285="","",_xlfn.TEXTJOIN(", ",TRUE(),IF(COUNTIF($B$3:$B$502,B285)&gt;1,"Duplicate name",""),IF(I285="","Source missing",""),IF(OR(J285="",J285&lt;S_Today-S_RecheckDays),"Re-check still in role","")))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8"/>
      <c r="K286" s="27"/>
      <c r="L286" s="27"/>
      <c r="M286" s="32" t="str">
        <f aca="false">IF(B286="","",IFERROR(INDEX(L_RoleOK,MATCH(D286,L_RoleName,0)),"No"))</f>
        <v/>
      </c>
      <c r="N286" s="32" t="str">
        <f aca="false">IF(B286="","",_xlfn.TEXTJOIN(", ",TRUE(),IF(COUNTIF($B$3:$B$502,B286)&gt;1,"Duplicate name",""),IF(I286="","Source missing",""),IF(OR(J286="",J286&lt;S_Today-S_RecheckDays),"Re-check still in role","")))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8"/>
      <c r="K287" s="27"/>
      <c r="L287" s="27"/>
      <c r="M287" s="32" t="str">
        <f aca="false">IF(B287="","",IFERROR(INDEX(L_RoleOK,MATCH(D287,L_RoleName,0)),"No"))</f>
        <v/>
      </c>
      <c r="N287" s="32" t="str">
        <f aca="false">IF(B287="","",_xlfn.TEXTJOIN(", ",TRUE(),IF(COUNTIF($B$3:$B$502,B287)&gt;1,"Duplicate name",""),IF(I287="","Source missing",""),IF(OR(J287="",J287&lt;S_Today-S_RecheckDays),"Re-check still in role","")))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8"/>
      <c r="K288" s="27"/>
      <c r="L288" s="27"/>
      <c r="M288" s="32" t="str">
        <f aca="false">IF(B288="","",IFERROR(INDEX(L_RoleOK,MATCH(D288,L_RoleName,0)),"No"))</f>
        <v/>
      </c>
      <c r="N288" s="32" t="str">
        <f aca="false">IF(B288="","",_xlfn.TEXTJOIN(", ",TRUE(),IF(COUNTIF($B$3:$B$502,B288)&gt;1,"Duplicate name",""),IF(I288="","Source missing",""),IF(OR(J288="",J288&lt;S_Today-S_RecheckDays),"Re-check still in role","")))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8"/>
      <c r="K289" s="27"/>
      <c r="L289" s="27"/>
      <c r="M289" s="32" t="str">
        <f aca="false">IF(B289="","",IFERROR(INDEX(L_RoleOK,MATCH(D289,L_RoleName,0)),"No"))</f>
        <v/>
      </c>
      <c r="N289" s="32" t="str">
        <f aca="false">IF(B289="","",_xlfn.TEXTJOIN(", ",TRUE(),IF(COUNTIF($B$3:$B$502,B289)&gt;1,"Duplicate name",""),IF(I289="","Source missing",""),IF(OR(J289="",J289&lt;S_Today-S_RecheckDays),"Re-check still in role","")))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8"/>
      <c r="K290" s="27"/>
      <c r="L290" s="27"/>
      <c r="M290" s="32" t="str">
        <f aca="false">IF(B290="","",IFERROR(INDEX(L_RoleOK,MATCH(D290,L_RoleName,0)),"No"))</f>
        <v/>
      </c>
      <c r="N290" s="32" t="str">
        <f aca="false">IF(B290="","",_xlfn.TEXTJOIN(", ",TRUE(),IF(COUNTIF($B$3:$B$502,B290)&gt;1,"Duplicate name",""),IF(I290="","Source missing",""),IF(OR(J290="",J290&lt;S_Today-S_RecheckDays),"Re-check still in role","")))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8"/>
      <c r="K291" s="27"/>
      <c r="L291" s="27"/>
      <c r="M291" s="32" t="str">
        <f aca="false">IF(B291="","",IFERROR(INDEX(L_RoleOK,MATCH(D291,L_RoleName,0)),"No"))</f>
        <v/>
      </c>
      <c r="N291" s="32" t="str">
        <f aca="false">IF(B291="","",_xlfn.TEXTJOIN(", ",TRUE(),IF(COUNTIF($B$3:$B$502,B291)&gt;1,"Duplicate name",""),IF(I291="","Source missing",""),IF(OR(J291="",J291&lt;S_Today-S_RecheckDays),"Re-check still in role","")))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8"/>
      <c r="K292" s="27"/>
      <c r="L292" s="27"/>
      <c r="M292" s="32" t="str">
        <f aca="false">IF(B292="","",IFERROR(INDEX(L_RoleOK,MATCH(D292,L_RoleName,0)),"No"))</f>
        <v/>
      </c>
      <c r="N292" s="32" t="str">
        <f aca="false">IF(B292="","",_xlfn.TEXTJOIN(", ",TRUE(),IF(COUNTIF($B$3:$B$502,B292)&gt;1,"Duplicate name",""),IF(I292="","Source missing",""),IF(OR(J292="",J292&lt;S_Today-S_RecheckDays),"Re-check still in role","")))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8"/>
      <c r="K293" s="27"/>
      <c r="L293" s="27"/>
      <c r="M293" s="32" t="str">
        <f aca="false">IF(B293="","",IFERROR(INDEX(L_RoleOK,MATCH(D293,L_RoleName,0)),"No"))</f>
        <v/>
      </c>
      <c r="N293" s="32" t="str">
        <f aca="false">IF(B293="","",_xlfn.TEXTJOIN(", ",TRUE(),IF(COUNTIF($B$3:$B$502,B293)&gt;1,"Duplicate name",""),IF(I293="","Source missing",""),IF(OR(J293="",J293&lt;S_Today-S_RecheckDays),"Re-check still in role","")))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8"/>
      <c r="K294" s="27"/>
      <c r="L294" s="27"/>
      <c r="M294" s="32" t="str">
        <f aca="false">IF(B294="","",IFERROR(INDEX(L_RoleOK,MATCH(D294,L_RoleName,0)),"No"))</f>
        <v/>
      </c>
      <c r="N294" s="32" t="str">
        <f aca="false">IF(B294="","",_xlfn.TEXTJOIN(", ",TRUE(),IF(COUNTIF($B$3:$B$502,B294)&gt;1,"Duplicate name",""),IF(I294="","Source missing",""),IF(OR(J294="",J294&lt;S_Today-S_RecheckDays),"Re-check still in role","")))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8"/>
      <c r="K295" s="27"/>
      <c r="L295" s="27"/>
      <c r="M295" s="32" t="str">
        <f aca="false">IF(B295="","",IFERROR(INDEX(L_RoleOK,MATCH(D295,L_RoleName,0)),"No"))</f>
        <v/>
      </c>
      <c r="N295" s="32" t="str">
        <f aca="false">IF(B295="","",_xlfn.TEXTJOIN(", ",TRUE(),IF(COUNTIF($B$3:$B$502,B295)&gt;1,"Duplicate name",""),IF(I295="","Source missing",""),IF(OR(J295="",J295&lt;S_Today-S_RecheckDays),"Re-check still in role","")))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8"/>
      <c r="K296" s="27"/>
      <c r="L296" s="27"/>
      <c r="M296" s="32" t="str">
        <f aca="false">IF(B296="","",IFERROR(INDEX(L_RoleOK,MATCH(D296,L_RoleName,0)),"No"))</f>
        <v/>
      </c>
      <c r="N296" s="32" t="str">
        <f aca="false">IF(B296="","",_xlfn.TEXTJOIN(", ",TRUE(),IF(COUNTIF($B$3:$B$502,B296)&gt;1,"Duplicate name",""),IF(I296="","Source missing",""),IF(OR(J296="",J296&lt;S_Today-S_RecheckDays),"Re-check still in role","")))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8"/>
      <c r="K297" s="27"/>
      <c r="L297" s="27"/>
      <c r="M297" s="32" t="str">
        <f aca="false">IF(B297="","",IFERROR(INDEX(L_RoleOK,MATCH(D297,L_RoleName,0)),"No"))</f>
        <v/>
      </c>
      <c r="N297" s="32" t="str">
        <f aca="false">IF(B297="","",_xlfn.TEXTJOIN(", ",TRUE(),IF(COUNTIF($B$3:$B$502,B297)&gt;1,"Duplicate name",""),IF(I297="","Source missing",""),IF(OR(J297="",J297&lt;S_Today-S_RecheckDays),"Re-check still in role","")))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8"/>
      <c r="K298" s="27"/>
      <c r="L298" s="27"/>
      <c r="M298" s="32" t="str">
        <f aca="false">IF(B298="","",IFERROR(INDEX(L_RoleOK,MATCH(D298,L_RoleName,0)),"No"))</f>
        <v/>
      </c>
      <c r="N298" s="32" t="str">
        <f aca="false">IF(B298="","",_xlfn.TEXTJOIN(", ",TRUE(),IF(COUNTIF($B$3:$B$502,B298)&gt;1,"Duplicate name",""),IF(I298="","Source missing",""),IF(OR(J298="",J298&lt;S_Today-S_RecheckDays),"Re-check still in role","")))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8"/>
      <c r="K299" s="27"/>
      <c r="L299" s="27"/>
      <c r="M299" s="32" t="str">
        <f aca="false">IF(B299="","",IFERROR(INDEX(L_RoleOK,MATCH(D299,L_RoleName,0)),"No"))</f>
        <v/>
      </c>
      <c r="N299" s="32" t="str">
        <f aca="false">IF(B299="","",_xlfn.TEXTJOIN(", ",TRUE(),IF(COUNTIF($B$3:$B$502,B299)&gt;1,"Duplicate name",""),IF(I299="","Source missing",""),IF(OR(J299="",J299&lt;S_Today-S_RecheckDays),"Re-check still in role","")))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8"/>
      <c r="K300" s="27"/>
      <c r="L300" s="27"/>
      <c r="M300" s="32" t="str">
        <f aca="false">IF(B300="","",IFERROR(INDEX(L_RoleOK,MATCH(D300,L_RoleName,0)),"No"))</f>
        <v/>
      </c>
      <c r="N300" s="32" t="str">
        <f aca="false">IF(B300="","",_xlfn.TEXTJOIN(", ",TRUE(),IF(COUNTIF($B$3:$B$502,B300)&gt;1,"Duplicate name",""),IF(I300="","Source missing",""),IF(OR(J300="",J300&lt;S_Today-S_RecheckDays),"Re-check still in role","")))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8"/>
      <c r="K301" s="27"/>
      <c r="L301" s="27"/>
      <c r="M301" s="32" t="str">
        <f aca="false">IF(B301="","",IFERROR(INDEX(L_RoleOK,MATCH(D301,L_RoleName,0)),"No"))</f>
        <v/>
      </c>
      <c r="N301" s="32" t="str">
        <f aca="false">IF(B301="","",_xlfn.TEXTJOIN(", ",TRUE(),IF(COUNTIF($B$3:$B$502,B301)&gt;1,"Duplicate name",""),IF(I301="","Source missing",""),IF(OR(J301="",J301&lt;S_Today-S_RecheckDays),"Re-check still in role","")))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8"/>
      <c r="K302" s="27"/>
      <c r="L302" s="27"/>
      <c r="M302" s="32" t="str">
        <f aca="false">IF(B302="","",IFERROR(INDEX(L_RoleOK,MATCH(D302,L_RoleName,0)),"No"))</f>
        <v/>
      </c>
      <c r="N302" s="32" t="str">
        <f aca="false">IF(B302="","",_xlfn.TEXTJOIN(", ",TRUE(),IF(COUNTIF($B$3:$B$502,B302)&gt;1,"Duplicate name",""),IF(I302="","Source missing",""),IF(OR(J302="",J302&lt;S_Today-S_RecheckDays),"Re-check still in role","")))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8"/>
      <c r="K303" s="27"/>
      <c r="L303" s="27"/>
      <c r="M303" s="32" t="str">
        <f aca="false">IF(B303="","",IFERROR(INDEX(L_RoleOK,MATCH(D303,L_RoleName,0)),"No"))</f>
        <v/>
      </c>
      <c r="N303" s="32" t="str">
        <f aca="false">IF(B303="","",_xlfn.TEXTJOIN(", ",TRUE(),IF(COUNTIF($B$3:$B$502,B303)&gt;1,"Duplicate name",""),IF(I303="","Source missing",""),IF(OR(J303="",J303&lt;S_Today-S_RecheckDays),"Re-check still in role","")))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8"/>
      <c r="K304" s="27"/>
      <c r="L304" s="27"/>
      <c r="M304" s="32" t="str">
        <f aca="false">IF(B304="","",IFERROR(INDEX(L_RoleOK,MATCH(D304,L_RoleName,0)),"No"))</f>
        <v/>
      </c>
      <c r="N304" s="32" t="str">
        <f aca="false">IF(B304="","",_xlfn.TEXTJOIN(", ",TRUE(),IF(COUNTIF($B$3:$B$502,B304)&gt;1,"Duplicate name",""),IF(I304="","Source missing",""),IF(OR(J304="",J304&lt;S_Today-S_RecheckDays),"Re-check still in role","")))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8"/>
      <c r="K305" s="27"/>
      <c r="L305" s="27"/>
      <c r="M305" s="32" t="str">
        <f aca="false">IF(B305="","",IFERROR(INDEX(L_RoleOK,MATCH(D305,L_RoleName,0)),"No"))</f>
        <v/>
      </c>
      <c r="N305" s="32" t="str">
        <f aca="false">IF(B305="","",_xlfn.TEXTJOIN(", ",TRUE(),IF(COUNTIF($B$3:$B$502,B305)&gt;1,"Duplicate name",""),IF(I305="","Source missing",""),IF(OR(J305="",J305&lt;S_Today-S_RecheckDays),"Re-check still in role","")))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8"/>
      <c r="K306" s="27"/>
      <c r="L306" s="27"/>
      <c r="M306" s="32" t="str">
        <f aca="false">IF(B306="","",IFERROR(INDEX(L_RoleOK,MATCH(D306,L_RoleName,0)),"No"))</f>
        <v/>
      </c>
      <c r="N306" s="32" t="str">
        <f aca="false">IF(B306="","",_xlfn.TEXTJOIN(", ",TRUE(),IF(COUNTIF($B$3:$B$502,B306)&gt;1,"Duplicate name",""),IF(I306="","Source missing",""),IF(OR(J306="",J306&lt;S_Today-S_RecheckDays),"Re-check still in role","")))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8"/>
      <c r="K307" s="27"/>
      <c r="L307" s="27"/>
      <c r="M307" s="32" t="str">
        <f aca="false">IF(B307="","",IFERROR(INDEX(L_RoleOK,MATCH(D307,L_RoleName,0)),"No"))</f>
        <v/>
      </c>
      <c r="N307" s="32" t="str">
        <f aca="false">IF(B307="","",_xlfn.TEXTJOIN(", ",TRUE(),IF(COUNTIF($B$3:$B$502,B307)&gt;1,"Duplicate name",""),IF(I307="","Source missing",""),IF(OR(J307="",J307&lt;S_Today-S_RecheckDays),"Re-check still in role","")))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8"/>
      <c r="K308" s="27"/>
      <c r="L308" s="27"/>
      <c r="M308" s="32" t="str">
        <f aca="false">IF(B308="","",IFERROR(INDEX(L_RoleOK,MATCH(D308,L_RoleName,0)),"No"))</f>
        <v/>
      </c>
      <c r="N308" s="32" t="str">
        <f aca="false">IF(B308="","",_xlfn.TEXTJOIN(", ",TRUE(),IF(COUNTIF($B$3:$B$502,B308)&gt;1,"Duplicate name",""),IF(I308="","Source missing",""),IF(OR(J308="",J308&lt;S_Today-S_RecheckDays),"Re-check still in role","")))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8"/>
      <c r="K309" s="27"/>
      <c r="L309" s="27"/>
      <c r="M309" s="32" t="str">
        <f aca="false">IF(B309="","",IFERROR(INDEX(L_RoleOK,MATCH(D309,L_RoleName,0)),"No"))</f>
        <v/>
      </c>
      <c r="N309" s="32" t="str">
        <f aca="false">IF(B309="","",_xlfn.TEXTJOIN(", ",TRUE(),IF(COUNTIF($B$3:$B$502,B309)&gt;1,"Duplicate name",""),IF(I309="","Source missing",""),IF(OR(J309="",J309&lt;S_Today-S_RecheckDays),"Re-check still in role","")))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8"/>
      <c r="K310" s="27"/>
      <c r="L310" s="27"/>
      <c r="M310" s="32" t="str">
        <f aca="false">IF(B310="","",IFERROR(INDEX(L_RoleOK,MATCH(D310,L_RoleName,0)),"No"))</f>
        <v/>
      </c>
      <c r="N310" s="32" t="str">
        <f aca="false">IF(B310="","",_xlfn.TEXTJOIN(", ",TRUE(),IF(COUNTIF($B$3:$B$502,B310)&gt;1,"Duplicate name",""),IF(I310="","Source missing",""),IF(OR(J310="",J310&lt;S_Today-S_RecheckDays),"Re-check still in role","")))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8"/>
      <c r="K311" s="27"/>
      <c r="L311" s="27"/>
      <c r="M311" s="32" t="str">
        <f aca="false">IF(B311="","",IFERROR(INDEX(L_RoleOK,MATCH(D311,L_RoleName,0)),"No"))</f>
        <v/>
      </c>
      <c r="N311" s="32" t="str">
        <f aca="false">IF(B311="","",_xlfn.TEXTJOIN(", ",TRUE(),IF(COUNTIF($B$3:$B$502,B311)&gt;1,"Duplicate name",""),IF(I311="","Source missing",""),IF(OR(J311="",J311&lt;S_Today-S_RecheckDays),"Re-check still in role","")))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8"/>
      <c r="K312" s="27"/>
      <c r="L312" s="27"/>
      <c r="M312" s="32" t="str">
        <f aca="false">IF(B312="","",IFERROR(INDEX(L_RoleOK,MATCH(D312,L_RoleName,0)),"No"))</f>
        <v/>
      </c>
      <c r="N312" s="32" t="str">
        <f aca="false">IF(B312="","",_xlfn.TEXTJOIN(", ",TRUE(),IF(COUNTIF($B$3:$B$502,B312)&gt;1,"Duplicate name",""),IF(I312="","Source missing",""),IF(OR(J312="",J312&lt;S_Today-S_RecheckDays),"Re-check still in role","")))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8"/>
      <c r="K313" s="27"/>
      <c r="L313" s="27"/>
      <c r="M313" s="32" t="str">
        <f aca="false">IF(B313="","",IFERROR(INDEX(L_RoleOK,MATCH(D313,L_RoleName,0)),"No"))</f>
        <v/>
      </c>
      <c r="N313" s="32" t="str">
        <f aca="false">IF(B313="","",_xlfn.TEXTJOIN(", ",TRUE(),IF(COUNTIF($B$3:$B$502,B313)&gt;1,"Duplicate name",""),IF(I313="","Source missing",""),IF(OR(J313="",J313&lt;S_Today-S_RecheckDays),"Re-check still in role","")))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8"/>
      <c r="K314" s="27"/>
      <c r="L314" s="27"/>
      <c r="M314" s="32" t="str">
        <f aca="false">IF(B314="","",IFERROR(INDEX(L_RoleOK,MATCH(D314,L_RoleName,0)),"No"))</f>
        <v/>
      </c>
      <c r="N314" s="32" t="str">
        <f aca="false">IF(B314="","",_xlfn.TEXTJOIN(", ",TRUE(),IF(COUNTIF($B$3:$B$502,B314)&gt;1,"Duplicate name",""),IF(I314="","Source missing",""),IF(OR(J314="",J314&lt;S_Today-S_RecheckDays),"Re-check still in role","")))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8"/>
      <c r="K315" s="27"/>
      <c r="L315" s="27"/>
      <c r="M315" s="32" t="str">
        <f aca="false">IF(B315="","",IFERROR(INDEX(L_RoleOK,MATCH(D315,L_RoleName,0)),"No"))</f>
        <v/>
      </c>
      <c r="N315" s="32" t="str">
        <f aca="false">IF(B315="","",_xlfn.TEXTJOIN(", ",TRUE(),IF(COUNTIF($B$3:$B$502,B315)&gt;1,"Duplicate name",""),IF(I315="","Source missing",""),IF(OR(J315="",J315&lt;S_Today-S_RecheckDays),"Re-check still in role","")))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8"/>
      <c r="K316" s="27"/>
      <c r="L316" s="27"/>
      <c r="M316" s="32" t="str">
        <f aca="false">IF(B316="","",IFERROR(INDEX(L_RoleOK,MATCH(D316,L_RoleName,0)),"No"))</f>
        <v/>
      </c>
      <c r="N316" s="32" t="str">
        <f aca="false">IF(B316="","",_xlfn.TEXTJOIN(", ",TRUE(),IF(COUNTIF($B$3:$B$502,B316)&gt;1,"Duplicate name",""),IF(I316="","Source missing",""),IF(OR(J316="",J316&lt;S_Today-S_RecheckDays),"Re-check still in role","")))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8"/>
      <c r="K317" s="27"/>
      <c r="L317" s="27"/>
      <c r="M317" s="32" t="str">
        <f aca="false">IF(B317="","",IFERROR(INDEX(L_RoleOK,MATCH(D317,L_RoleName,0)),"No"))</f>
        <v/>
      </c>
      <c r="N317" s="32" t="str">
        <f aca="false">IF(B317="","",_xlfn.TEXTJOIN(", ",TRUE(),IF(COUNTIF($B$3:$B$502,B317)&gt;1,"Duplicate name",""),IF(I317="","Source missing",""),IF(OR(J317="",J317&lt;S_Today-S_RecheckDays),"Re-check still in role","")))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8"/>
      <c r="K318" s="27"/>
      <c r="L318" s="27"/>
      <c r="M318" s="32" t="str">
        <f aca="false">IF(B318="","",IFERROR(INDEX(L_RoleOK,MATCH(D318,L_RoleName,0)),"No"))</f>
        <v/>
      </c>
      <c r="N318" s="32" t="str">
        <f aca="false">IF(B318="","",_xlfn.TEXTJOIN(", ",TRUE(),IF(COUNTIF($B$3:$B$502,B318)&gt;1,"Duplicate name",""),IF(I318="","Source missing",""),IF(OR(J318="",J318&lt;S_Today-S_RecheckDays),"Re-check still in role","")))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8"/>
      <c r="K319" s="27"/>
      <c r="L319" s="27"/>
      <c r="M319" s="32" t="str">
        <f aca="false">IF(B319="","",IFERROR(INDEX(L_RoleOK,MATCH(D319,L_RoleName,0)),"No"))</f>
        <v/>
      </c>
      <c r="N319" s="32" t="str">
        <f aca="false">IF(B319="","",_xlfn.TEXTJOIN(", ",TRUE(),IF(COUNTIF($B$3:$B$502,B319)&gt;1,"Duplicate name",""),IF(I319="","Source missing",""),IF(OR(J319="",J319&lt;S_Today-S_RecheckDays),"Re-check still in role","")))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8"/>
      <c r="K320" s="27"/>
      <c r="L320" s="27"/>
      <c r="M320" s="32" t="str">
        <f aca="false">IF(B320="","",IFERROR(INDEX(L_RoleOK,MATCH(D320,L_RoleName,0)),"No"))</f>
        <v/>
      </c>
      <c r="N320" s="32" t="str">
        <f aca="false">IF(B320="","",_xlfn.TEXTJOIN(", ",TRUE(),IF(COUNTIF($B$3:$B$502,B320)&gt;1,"Duplicate name",""),IF(I320="","Source missing",""),IF(OR(J320="",J320&lt;S_Today-S_RecheckDays),"Re-check still in role","")))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8"/>
      <c r="K321" s="27"/>
      <c r="L321" s="27"/>
      <c r="M321" s="32" t="str">
        <f aca="false">IF(B321="","",IFERROR(INDEX(L_RoleOK,MATCH(D321,L_RoleName,0)),"No"))</f>
        <v/>
      </c>
      <c r="N321" s="32" t="str">
        <f aca="false">IF(B321="","",_xlfn.TEXTJOIN(", ",TRUE(),IF(COUNTIF($B$3:$B$502,B321)&gt;1,"Duplicate name",""),IF(I321="","Source missing",""),IF(OR(J321="",J321&lt;S_Today-S_RecheckDays),"Re-check still in role","")))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8"/>
      <c r="K322" s="27"/>
      <c r="L322" s="27"/>
      <c r="M322" s="32" t="str">
        <f aca="false">IF(B322="","",IFERROR(INDEX(L_RoleOK,MATCH(D322,L_RoleName,0)),"No"))</f>
        <v/>
      </c>
      <c r="N322" s="32" t="str">
        <f aca="false">IF(B322="","",_xlfn.TEXTJOIN(", ",TRUE(),IF(COUNTIF($B$3:$B$502,B322)&gt;1,"Duplicate name",""),IF(I322="","Source missing",""),IF(OR(J322="",J322&lt;S_Today-S_RecheckDays),"Re-check still in role","")))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8"/>
      <c r="K323" s="27"/>
      <c r="L323" s="27"/>
      <c r="M323" s="32" t="str">
        <f aca="false">IF(B323="","",IFERROR(INDEX(L_RoleOK,MATCH(D323,L_RoleName,0)),"No"))</f>
        <v/>
      </c>
      <c r="N323" s="32" t="str">
        <f aca="false">IF(B323="","",_xlfn.TEXTJOIN(", ",TRUE(),IF(COUNTIF($B$3:$B$502,B323)&gt;1,"Duplicate name",""),IF(I323="","Source missing",""),IF(OR(J323="",J323&lt;S_Today-S_RecheckDays),"Re-check still in role","")))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8"/>
      <c r="K324" s="27"/>
      <c r="L324" s="27"/>
      <c r="M324" s="32" t="str">
        <f aca="false">IF(B324="","",IFERROR(INDEX(L_RoleOK,MATCH(D324,L_RoleName,0)),"No"))</f>
        <v/>
      </c>
      <c r="N324" s="32" t="str">
        <f aca="false">IF(B324="","",_xlfn.TEXTJOIN(", ",TRUE(),IF(COUNTIF($B$3:$B$502,B324)&gt;1,"Duplicate name",""),IF(I324="","Source missing",""),IF(OR(J324="",J324&lt;S_Today-S_RecheckDays),"Re-check still in role","")))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8"/>
      <c r="K325" s="27"/>
      <c r="L325" s="27"/>
      <c r="M325" s="32" t="str">
        <f aca="false">IF(B325="","",IFERROR(INDEX(L_RoleOK,MATCH(D325,L_RoleName,0)),"No"))</f>
        <v/>
      </c>
      <c r="N325" s="32" t="str">
        <f aca="false">IF(B325="","",_xlfn.TEXTJOIN(", ",TRUE(),IF(COUNTIF($B$3:$B$502,B325)&gt;1,"Duplicate name",""),IF(I325="","Source missing",""),IF(OR(J325="",J325&lt;S_Today-S_RecheckDays),"Re-check still in role","")))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8"/>
      <c r="K326" s="27"/>
      <c r="L326" s="27"/>
      <c r="M326" s="32" t="str">
        <f aca="false">IF(B326="","",IFERROR(INDEX(L_RoleOK,MATCH(D326,L_RoleName,0)),"No"))</f>
        <v/>
      </c>
      <c r="N326" s="32" t="str">
        <f aca="false">IF(B326="","",_xlfn.TEXTJOIN(", ",TRUE(),IF(COUNTIF($B$3:$B$502,B326)&gt;1,"Duplicate name",""),IF(I326="","Source missing",""),IF(OR(J326="",J326&lt;S_Today-S_RecheckDays),"Re-check still in role","")))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8"/>
      <c r="K327" s="27"/>
      <c r="L327" s="27"/>
      <c r="M327" s="32" t="str">
        <f aca="false">IF(B327="","",IFERROR(INDEX(L_RoleOK,MATCH(D327,L_RoleName,0)),"No"))</f>
        <v/>
      </c>
      <c r="N327" s="32" t="str">
        <f aca="false">IF(B327="","",_xlfn.TEXTJOIN(", ",TRUE(),IF(COUNTIF($B$3:$B$502,B327)&gt;1,"Duplicate name",""),IF(I327="","Source missing",""),IF(OR(J327="",J327&lt;S_Today-S_RecheckDays),"Re-check still in role","")))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8"/>
      <c r="K328" s="27"/>
      <c r="L328" s="27"/>
      <c r="M328" s="32" t="str">
        <f aca="false">IF(B328="","",IFERROR(INDEX(L_RoleOK,MATCH(D328,L_RoleName,0)),"No"))</f>
        <v/>
      </c>
      <c r="N328" s="32" t="str">
        <f aca="false">IF(B328="","",_xlfn.TEXTJOIN(", ",TRUE(),IF(COUNTIF($B$3:$B$502,B328)&gt;1,"Duplicate name",""),IF(I328="","Source missing",""),IF(OR(J328="",J328&lt;S_Today-S_RecheckDays),"Re-check still in role","")))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8"/>
      <c r="K329" s="27"/>
      <c r="L329" s="27"/>
      <c r="M329" s="32" t="str">
        <f aca="false">IF(B329="","",IFERROR(INDEX(L_RoleOK,MATCH(D329,L_RoleName,0)),"No"))</f>
        <v/>
      </c>
      <c r="N329" s="32" t="str">
        <f aca="false">IF(B329="","",_xlfn.TEXTJOIN(", ",TRUE(),IF(COUNTIF($B$3:$B$502,B329)&gt;1,"Duplicate name",""),IF(I329="","Source missing",""),IF(OR(J329="",J329&lt;S_Today-S_RecheckDays),"Re-check still in role","")))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8"/>
      <c r="K330" s="27"/>
      <c r="L330" s="27"/>
      <c r="M330" s="32" t="str">
        <f aca="false">IF(B330="","",IFERROR(INDEX(L_RoleOK,MATCH(D330,L_RoleName,0)),"No"))</f>
        <v/>
      </c>
      <c r="N330" s="32" t="str">
        <f aca="false">IF(B330="","",_xlfn.TEXTJOIN(", ",TRUE(),IF(COUNTIF($B$3:$B$502,B330)&gt;1,"Duplicate name",""),IF(I330="","Source missing",""),IF(OR(J330="",J330&lt;S_Today-S_RecheckDays),"Re-check still in role","")))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8"/>
      <c r="K331" s="27"/>
      <c r="L331" s="27"/>
      <c r="M331" s="32" t="str">
        <f aca="false">IF(B331="","",IFERROR(INDEX(L_RoleOK,MATCH(D331,L_RoleName,0)),"No"))</f>
        <v/>
      </c>
      <c r="N331" s="32" t="str">
        <f aca="false">IF(B331="","",_xlfn.TEXTJOIN(", ",TRUE(),IF(COUNTIF($B$3:$B$502,B331)&gt;1,"Duplicate name",""),IF(I331="","Source missing",""),IF(OR(J331="",J331&lt;S_Today-S_RecheckDays),"Re-check still in role","")))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8"/>
      <c r="K332" s="27"/>
      <c r="L332" s="27"/>
      <c r="M332" s="32" t="str">
        <f aca="false">IF(B332="","",IFERROR(INDEX(L_RoleOK,MATCH(D332,L_RoleName,0)),"No"))</f>
        <v/>
      </c>
      <c r="N332" s="32" t="str">
        <f aca="false">IF(B332="","",_xlfn.TEXTJOIN(", ",TRUE(),IF(COUNTIF($B$3:$B$502,B332)&gt;1,"Duplicate name",""),IF(I332="","Source missing",""),IF(OR(J332="",J332&lt;S_Today-S_RecheckDays),"Re-check still in role","")))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8"/>
      <c r="K333" s="27"/>
      <c r="L333" s="27"/>
      <c r="M333" s="32" t="str">
        <f aca="false">IF(B333="","",IFERROR(INDEX(L_RoleOK,MATCH(D333,L_RoleName,0)),"No"))</f>
        <v/>
      </c>
      <c r="N333" s="32" t="str">
        <f aca="false">IF(B333="","",_xlfn.TEXTJOIN(", ",TRUE(),IF(COUNTIF($B$3:$B$502,B333)&gt;1,"Duplicate name",""),IF(I333="","Source missing",""),IF(OR(J333="",J333&lt;S_Today-S_RecheckDays),"Re-check still in role","")))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8"/>
      <c r="K334" s="27"/>
      <c r="L334" s="27"/>
      <c r="M334" s="32" t="str">
        <f aca="false">IF(B334="","",IFERROR(INDEX(L_RoleOK,MATCH(D334,L_RoleName,0)),"No"))</f>
        <v/>
      </c>
      <c r="N334" s="32" t="str">
        <f aca="false">IF(B334="","",_xlfn.TEXTJOIN(", ",TRUE(),IF(COUNTIF($B$3:$B$502,B334)&gt;1,"Duplicate name",""),IF(I334="","Source missing",""),IF(OR(J334="",J334&lt;S_Today-S_RecheckDays),"Re-check still in role","")))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8"/>
      <c r="K335" s="27"/>
      <c r="L335" s="27"/>
      <c r="M335" s="32" t="str">
        <f aca="false">IF(B335="","",IFERROR(INDEX(L_RoleOK,MATCH(D335,L_RoleName,0)),"No"))</f>
        <v/>
      </c>
      <c r="N335" s="32" t="str">
        <f aca="false">IF(B335="","",_xlfn.TEXTJOIN(", ",TRUE(),IF(COUNTIF($B$3:$B$502,B335)&gt;1,"Duplicate name",""),IF(I335="","Source missing",""),IF(OR(J335="",J335&lt;S_Today-S_RecheckDays),"Re-check still in role","")))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8"/>
      <c r="K336" s="27"/>
      <c r="L336" s="27"/>
      <c r="M336" s="32" t="str">
        <f aca="false">IF(B336="","",IFERROR(INDEX(L_RoleOK,MATCH(D336,L_RoleName,0)),"No"))</f>
        <v/>
      </c>
      <c r="N336" s="32" t="str">
        <f aca="false">IF(B336="","",_xlfn.TEXTJOIN(", ",TRUE(),IF(COUNTIF($B$3:$B$502,B336)&gt;1,"Duplicate name",""),IF(I336="","Source missing",""),IF(OR(J336="",J336&lt;S_Today-S_RecheckDays),"Re-check still in role","")))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8"/>
      <c r="K337" s="27"/>
      <c r="L337" s="27"/>
      <c r="M337" s="32" t="str">
        <f aca="false">IF(B337="","",IFERROR(INDEX(L_RoleOK,MATCH(D337,L_RoleName,0)),"No"))</f>
        <v/>
      </c>
      <c r="N337" s="32" t="str">
        <f aca="false">IF(B337="","",_xlfn.TEXTJOIN(", ",TRUE(),IF(COUNTIF($B$3:$B$502,B337)&gt;1,"Duplicate name",""),IF(I337="","Source missing",""),IF(OR(J337="",J337&lt;S_Today-S_RecheckDays),"Re-check still in role","")))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8"/>
      <c r="K338" s="27"/>
      <c r="L338" s="27"/>
      <c r="M338" s="32" t="str">
        <f aca="false">IF(B338="","",IFERROR(INDEX(L_RoleOK,MATCH(D338,L_RoleName,0)),"No"))</f>
        <v/>
      </c>
      <c r="N338" s="32" t="str">
        <f aca="false">IF(B338="","",_xlfn.TEXTJOIN(", ",TRUE(),IF(COUNTIF($B$3:$B$502,B338)&gt;1,"Duplicate name",""),IF(I338="","Source missing",""),IF(OR(J338="",J338&lt;S_Today-S_RecheckDays),"Re-check still in role","")))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8"/>
      <c r="K339" s="27"/>
      <c r="L339" s="27"/>
      <c r="M339" s="32" t="str">
        <f aca="false">IF(B339="","",IFERROR(INDEX(L_RoleOK,MATCH(D339,L_RoleName,0)),"No"))</f>
        <v/>
      </c>
      <c r="N339" s="32" t="str">
        <f aca="false">IF(B339="","",_xlfn.TEXTJOIN(", ",TRUE(),IF(COUNTIF($B$3:$B$502,B339)&gt;1,"Duplicate name",""),IF(I339="","Source missing",""),IF(OR(J339="",J339&lt;S_Today-S_RecheckDays),"Re-check still in role","")))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8"/>
      <c r="K340" s="27"/>
      <c r="L340" s="27"/>
      <c r="M340" s="32" t="str">
        <f aca="false">IF(B340="","",IFERROR(INDEX(L_RoleOK,MATCH(D340,L_RoleName,0)),"No"))</f>
        <v/>
      </c>
      <c r="N340" s="32" t="str">
        <f aca="false">IF(B340="","",_xlfn.TEXTJOIN(", ",TRUE(),IF(COUNTIF($B$3:$B$502,B340)&gt;1,"Duplicate name",""),IF(I340="","Source missing",""),IF(OR(J340="",J340&lt;S_Today-S_RecheckDays),"Re-check still in role","")))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8"/>
      <c r="K341" s="27"/>
      <c r="L341" s="27"/>
      <c r="M341" s="32" t="str">
        <f aca="false">IF(B341="","",IFERROR(INDEX(L_RoleOK,MATCH(D341,L_RoleName,0)),"No"))</f>
        <v/>
      </c>
      <c r="N341" s="32" t="str">
        <f aca="false">IF(B341="","",_xlfn.TEXTJOIN(", ",TRUE(),IF(COUNTIF($B$3:$B$502,B341)&gt;1,"Duplicate name",""),IF(I341="","Source missing",""),IF(OR(J341="",J341&lt;S_Today-S_RecheckDays),"Re-check still in role","")))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8"/>
      <c r="K342" s="27"/>
      <c r="L342" s="27"/>
      <c r="M342" s="32" t="str">
        <f aca="false">IF(B342="","",IFERROR(INDEX(L_RoleOK,MATCH(D342,L_RoleName,0)),"No"))</f>
        <v/>
      </c>
      <c r="N342" s="32" t="str">
        <f aca="false">IF(B342="","",_xlfn.TEXTJOIN(", ",TRUE(),IF(COUNTIF($B$3:$B$502,B342)&gt;1,"Duplicate name",""),IF(I342="","Source missing",""),IF(OR(J342="",J342&lt;S_Today-S_RecheckDays),"Re-check still in role","")))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8"/>
      <c r="K343" s="27"/>
      <c r="L343" s="27"/>
      <c r="M343" s="32" t="str">
        <f aca="false">IF(B343="","",IFERROR(INDEX(L_RoleOK,MATCH(D343,L_RoleName,0)),"No"))</f>
        <v/>
      </c>
      <c r="N343" s="32" t="str">
        <f aca="false">IF(B343="","",_xlfn.TEXTJOIN(", ",TRUE(),IF(COUNTIF($B$3:$B$502,B343)&gt;1,"Duplicate name",""),IF(I343="","Source missing",""),IF(OR(J343="",J343&lt;S_Today-S_RecheckDays),"Re-check still in role","")))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8"/>
      <c r="K344" s="27"/>
      <c r="L344" s="27"/>
      <c r="M344" s="32" t="str">
        <f aca="false">IF(B344="","",IFERROR(INDEX(L_RoleOK,MATCH(D344,L_RoleName,0)),"No"))</f>
        <v/>
      </c>
      <c r="N344" s="32" t="str">
        <f aca="false">IF(B344="","",_xlfn.TEXTJOIN(", ",TRUE(),IF(COUNTIF($B$3:$B$502,B344)&gt;1,"Duplicate name",""),IF(I344="","Source missing",""),IF(OR(J344="",J344&lt;S_Today-S_RecheckDays),"Re-check still in role","")))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8"/>
      <c r="K345" s="27"/>
      <c r="L345" s="27"/>
      <c r="M345" s="32" t="str">
        <f aca="false">IF(B345="","",IFERROR(INDEX(L_RoleOK,MATCH(D345,L_RoleName,0)),"No"))</f>
        <v/>
      </c>
      <c r="N345" s="32" t="str">
        <f aca="false">IF(B345="","",_xlfn.TEXTJOIN(", ",TRUE(),IF(COUNTIF($B$3:$B$502,B345)&gt;1,"Duplicate name",""),IF(I345="","Source missing",""),IF(OR(J345="",J345&lt;S_Today-S_RecheckDays),"Re-check still in role","")))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8"/>
      <c r="K346" s="27"/>
      <c r="L346" s="27"/>
      <c r="M346" s="32" t="str">
        <f aca="false">IF(B346="","",IFERROR(INDEX(L_RoleOK,MATCH(D346,L_RoleName,0)),"No"))</f>
        <v/>
      </c>
      <c r="N346" s="32" t="str">
        <f aca="false">IF(B346="","",_xlfn.TEXTJOIN(", ",TRUE(),IF(COUNTIF($B$3:$B$502,B346)&gt;1,"Duplicate name",""),IF(I346="","Source missing",""),IF(OR(J346="",J346&lt;S_Today-S_RecheckDays),"Re-check still in role","")))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8"/>
      <c r="K347" s="27"/>
      <c r="L347" s="27"/>
      <c r="M347" s="32" t="str">
        <f aca="false">IF(B347="","",IFERROR(INDEX(L_RoleOK,MATCH(D347,L_RoleName,0)),"No"))</f>
        <v/>
      </c>
      <c r="N347" s="32" t="str">
        <f aca="false">IF(B347="","",_xlfn.TEXTJOIN(", ",TRUE(),IF(COUNTIF($B$3:$B$502,B347)&gt;1,"Duplicate name",""),IF(I347="","Source missing",""),IF(OR(J347="",J347&lt;S_Today-S_RecheckDays),"Re-check still in role","")))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8"/>
      <c r="K348" s="27"/>
      <c r="L348" s="27"/>
      <c r="M348" s="32" t="str">
        <f aca="false">IF(B348="","",IFERROR(INDEX(L_RoleOK,MATCH(D348,L_RoleName,0)),"No"))</f>
        <v/>
      </c>
      <c r="N348" s="32" t="str">
        <f aca="false">IF(B348="","",_xlfn.TEXTJOIN(", ",TRUE(),IF(COUNTIF($B$3:$B$502,B348)&gt;1,"Duplicate name",""),IF(I348="","Source missing",""),IF(OR(J348="",J348&lt;S_Today-S_RecheckDays),"Re-check still in role","")))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8"/>
      <c r="K349" s="27"/>
      <c r="L349" s="27"/>
      <c r="M349" s="32" t="str">
        <f aca="false">IF(B349="","",IFERROR(INDEX(L_RoleOK,MATCH(D349,L_RoleName,0)),"No"))</f>
        <v/>
      </c>
      <c r="N349" s="32" t="str">
        <f aca="false">IF(B349="","",_xlfn.TEXTJOIN(", ",TRUE(),IF(COUNTIF($B$3:$B$502,B349)&gt;1,"Duplicate name",""),IF(I349="","Source missing",""),IF(OR(J349="",J349&lt;S_Today-S_RecheckDays),"Re-check still in role","")))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8"/>
      <c r="K350" s="27"/>
      <c r="L350" s="27"/>
      <c r="M350" s="32" t="str">
        <f aca="false">IF(B350="","",IFERROR(INDEX(L_RoleOK,MATCH(D350,L_RoleName,0)),"No"))</f>
        <v/>
      </c>
      <c r="N350" s="32" t="str">
        <f aca="false">IF(B350="","",_xlfn.TEXTJOIN(", ",TRUE(),IF(COUNTIF($B$3:$B$502,B350)&gt;1,"Duplicate name",""),IF(I350="","Source missing",""),IF(OR(J350="",J350&lt;S_Today-S_RecheckDays),"Re-check still in role","")))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8"/>
      <c r="K351" s="27"/>
      <c r="L351" s="27"/>
      <c r="M351" s="32" t="str">
        <f aca="false">IF(B351="","",IFERROR(INDEX(L_RoleOK,MATCH(D351,L_RoleName,0)),"No"))</f>
        <v/>
      </c>
      <c r="N351" s="32" t="str">
        <f aca="false">IF(B351="","",_xlfn.TEXTJOIN(", ",TRUE(),IF(COUNTIF($B$3:$B$502,B351)&gt;1,"Duplicate name",""),IF(I351="","Source missing",""),IF(OR(J351="",J351&lt;S_Today-S_RecheckDays),"Re-check still in role","")))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8"/>
      <c r="K352" s="27"/>
      <c r="L352" s="27"/>
      <c r="M352" s="32" t="str">
        <f aca="false">IF(B352="","",IFERROR(INDEX(L_RoleOK,MATCH(D352,L_RoleName,0)),"No"))</f>
        <v/>
      </c>
      <c r="N352" s="32" t="str">
        <f aca="false">IF(B352="","",_xlfn.TEXTJOIN(", ",TRUE(),IF(COUNTIF($B$3:$B$502,B352)&gt;1,"Duplicate name",""),IF(I352="","Source missing",""),IF(OR(J352="",J352&lt;S_Today-S_RecheckDays),"Re-check still in role","")))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8"/>
      <c r="K353" s="27"/>
      <c r="L353" s="27"/>
      <c r="M353" s="32" t="str">
        <f aca="false">IF(B353="","",IFERROR(INDEX(L_RoleOK,MATCH(D353,L_RoleName,0)),"No"))</f>
        <v/>
      </c>
      <c r="N353" s="32" t="str">
        <f aca="false">IF(B353="","",_xlfn.TEXTJOIN(", ",TRUE(),IF(COUNTIF($B$3:$B$502,B353)&gt;1,"Duplicate name",""),IF(I353="","Source missing",""),IF(OR(J353="",J353&lt;S_Today-S_RecheckDays),"Re-check still in role","")))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8"/>
      <c r="K354" s="27"/>
      <c r="L354" s="27"/>
      <c r="M354" s="32" t="str">
        <f aca="false">IF(B354="","",IFERROR(INDEX(L_RoleOK,MATCH(D354,L_RoleName,0)),"No"))</f>
        <v/>
      </c>
      <c r="N354" s="32" t="str">
        <f aca="false">IF(B354="","",_xlfn.TEXTJOIN(", ",TRUE(),IF(COUNTIF($B$3:$B$502,B354)&gt;1,"Duplicate name",""),IF(I354="","Source missing",""),IF(OR(J354="",J354&lt;S_Today-S_RecheckDays),"Re-check still in role","")))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8"/>
      <c r="K355" s="27"/>
      <c r="L355" s="27"/>
      <c r="M355" s="32" t="str">
        <f aca="false">IF(B355="","",IFERROR(INDEX(L_RoleOK,MATCH(D355,L_RoleName,0)),"No"))</f>
        <v/>
      </c>
      <c r="N355" s="32" t="str">
        <f aca="false">IF(B355="","",_xlfn.TEXTJOIN(", ",TRUE(),IF(COUNTIF($B$3:$B$502,B355)&gt;1,"Duplicate name",""),IF(I355="","Source missing",""),IF(OR(J355="",J355&lt;S_Today-S_RecheckDays),"Re-check still in role","")))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8"/>
      <c r="K356" s="27"/>
      <c r="L356" s="27"/>
      <c r="M356" s="32" t="str">
        <f aca="false">IF(B356="","",IFERROR(INDEX(L_RoleOK,MATCH(D356,L_RoleName,0)),"No"))</f>
        <v/>
      </c>
      <c r="N356" s="32" t="str">
        <f aca="false">IF(B356="","",_xlfn.TEXTJOIN(", ",TRUE(),IF(COUNTIF($B$3:$B$502,B356)&gt;1,"Duplicate name",""),IF(I356="","Source missing",""),IF(OR(J356="",J356&lt;S_Today-S_RecheckDays),"Re-check still in role","")))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8"/>
      <c r="K357" s="27"/>
      <c r="L357" s="27"/>
      <c r="M357" s="32" t="str">
        <f aca="false">IF(B357="","",IFERROR(INDEX(L_RoleOK,MATCH(D357,L_RoleName,0)),"No"))</f>
        <v/>
      </c>
      <c r="N357" s="32" t="str">
        <f aca="false">IF(B357="","",_xlfn.TEXTJOIN(", ",TRUE(),IF(COUNTIF($B$3:$B$502,B357)&gt;1,"Duplicate name",""),IF(I357="","Source missing",""),IF(OR(J357="",J357&lt;S_Today-S_RecheckDays),"Re-check still in role","")))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8"/>
      <c r="K358" s="27"/>
      <c r="L358" s="27"/>
      <c r="M358" s="32" t="str">
        <f aca="false">IF(B358="","",IFERROR(INDEX(L_RoleOK,MATCH(D358,L_RoleName,0)),"No"))</f>
        <v/>
      </c>
      <c r="N358" s="32" t="str">
        <f aca="false">IF(B358="","",_xlfn.TEXTJOIN(", ",TRUE(),IF(COUNTIF($B$3:$B$502,B358)&gt;1,"Duplicate name",""),IF(I358="","Source missing",""),IF(OR(J358="",J358&lt;S_Today-S_RecheckDays),"Re-check still in role","")))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8"/>
      <c r="K359" s="27"/>
      <c r="L359" s="27"/>
      <c r="M359" s="32" t="str">
        <f aca="false">IF(B359="","",IFERROR(INDEX(L_RoleOK,MATCH(D359,L_RoleName,0)),"No"))</f>
        <v/>
      </c>
      <c r="N359" s="32" t="str">
        <f aca="false">IF(B359="","",_xlfn.TEXTJOIN(", ",TRUE(),IF(COUNTIF($B$3:$B$502,B359)&gt;1,"Duplicate name",""),IF(I359="","Source missing",""),IF(OR(J359="",J359&lt;S_Today-S_RecheckDays),"Re-check still in role","")))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8"/>
      <c r="K360" s="27"/>
      <c r="L360" s="27"/>
      <c r="M360" s="32" t="str">
        <f aca="false">IF(B360="","",IFERROR(INDEX(L_RoleOK,MATCH(D360,L_RoleName,0)),"No"))</f>
        <v/>
      </c>
      <c r="N360" s="32" t="str">
        <f aca="false">IF(B360="","",_xlfn.TEXTJOIN(", ",TRUE(),IF(COUNTIF($B$3:$B$502,B360)&gt;1,"Duplicate name",""),IF(I360="","Source missing",""),IF(OR(J360="",J360&lt;S_Today-S_RecheckDays),"Re-check still in role","")))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8"/>
      <c r="K361" s="27"/>
      <c r="L361" s="27"/>
      <c r="M361" s="32" t="str">
        <f aca="false">IF(B361="","",IFERROR(INDEX(L_RoleOK,MATCH(D361,L_RoleName,0)),"No"))</f>
        <v/>
      </c>
      <c r="N361" s="32" t="str">
        <f aca="false">IF(B361="","",_xlfn.TEXTJOIN(", ",TRUE(),IF(COUNTIF($B$3:$B$502,B361)&gt;1,"Duplicate name",""),IF(I361="","Source missing",""),IF(OR(J361="",J361&lt;S_Today-S_RecheckDays),"Re-check still in role","")))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8"/>
      <c r="K362" s="27"/>
      <c r="L362" s="27"/>
      <c r="M362" s="32" t="str">
        <f aca="false">IF(B362="","",IFERROR(INDEX(L_RoleOK,MATCH(D362,L_RoleName,0)),"No"))</f>
        <v/>
      </c>
      <c r="N362" s="32" t="str">
        <f aca="false">IF(B362="","",_xlfn.TEXTJOIN(", ",TRUE(),IF(COUNTIF($B$3:$B$502,B362)&gt;1,"Duplicate name",""),IF(I362="","Source missing",""),IF(OR(J362="",J362&lt;S_Today-S_RecheckDays),"Re-check still in role","")))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8"/>
      <c r="K363" s="27"/>
      <c r="L363" s="27"/>
      <c r="M363" s="32" t="str">
        <f aca="false">IF(B363="","",IFERROR(INDEX(L_RoleOK,MATCH(D363,L_RoleName,0)),"No"))</f>
        <v/>
      </c>
      <c r="N363" s="32" t="str">
        <f aca="false">IF(B363="","",_xlfn.TEXTJOIN(", ",TRUE(),IF(COUNTIF($B$3:$B$502,B363)&gt;1,"Duplicate name",""),IF(I363="","Source missing",""),IF(OR(J363="",J363&lt;S_Today-S_RecheckDays),"Re-check still in role","")))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8"/>
      <c r="K364" s="27"/>
      <c r="L364" s="27"/>
      <c r="M364" s="32" t="str">
        <f aca="false">IF(B364="","",IFERROR(INDEX(L_RoleOK,MATCH(D364,L_RoleName,0)),"No"))</f>
        <v/>
      </c>
      <c r="N364" s="32" t="str">
        <f aca="false">IF(B364="","",_xlfn.TEXTJOIN(", ",TRUE(),IF(COUNTIF($B$3:$B$502,B364)&gt;1,"Duplicate name",""),IF(I364="","Source missing",""),IF(OR(J364="",J364&lt;S_Today-S_RecheckDays),"Re-check still in role","")))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8"/>
      <c r="K365" s="27"/>
      <c r="L365" s="27"/>
      <c r="M365" s="32" t="str">
        <f aca="false">IF(B365="","",IFERROR(INDEX(L_RoleOK,MATCH(D365,L_RoleName,0)),"No"))</f>
        <v/>
      </c>
      <c r="N365" s="32" t="str">
        <f aca="false">IF(B365="","",_xlfn.TEXTJOIN(", ",TRUE(),IF(COUNTIF($B$3:$B$502,B365)&gt;1,"Duplicate name",""),IF(I365="","Source missing",""),IF(OR(J365="",J365&lt;S_Today-S_RecheckDays),"Re-check still in role","")))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8"/>
      <c r="K366" s="27"/>
      <c r="L366" s="27"/>
      <c r="M366" s="32" t="str">
        <f aca="false">IF(B366="","",IFERROR(INDEX(L_RoleOK,MATCH(D366,L_RoleName,0)),"No"))</f>
        <v/>
      </c>
      <c r="N366" s="32" t="str">
        <f aca="false">IF(B366="","",_xlfn.TEXTJOIN(", ",TRUE(),IF(COUNTIF($B$3:$B$502,B366)&gt;1,"Duplicate name",""),IF(I366="","Source missing",""),IF(OR(J366="",J366&lt;S_Today-S_RecheckDays),"Re-check still in role","")))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8"/>
      <c r="K367" s="27"/>
      <c r="L367" s="27"/>
      <c r="M367" s="32" t="str">
        <f aca="false">IF(B367="","",IFERROR(INDEX(L_RoleOK,MATCH(D367,L_RoleName,0)),"No"))</f>
        <v/>
      </c>
      <c r="N367" s="32" t="str">
        <f aca="false">IF(B367="","",_xlfn.TEXTJOIN(", ",TRUE(),IF(COUNTIF($B$3:$B$502,B367)&gt;1,"Duplicate name",""),IF(I367="","Source missing",""),IF(OR(J367="",J367&lt;S_Today-S_RecheckDays),"Re-check still in role","")))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8"/>
      <c r="K368" s="27"/>
      <c r="L368" s="27"/>
      <c r="M368" s="32" t="str">
        <f aca="false">IF(B368="","",IFERROR(INDEX(L_RoleOK,MATCH(D368,L_RoleName,0)),"No"))</f>
        <v/>
      </c>
      <c r="N368" s="32" t="str">
        <f aca="false">IF(B368="","",_xlfn.TEXTJOIN(", ",TRUE(),IF(COUNTIF($B$3:$B$502,B368)&gt;1,"Duplicate name",""),IF(I368="","Source missing",""),IF(OR(J368="",J368&lt;S_Today-S_RecheckDays),"Re-check still in role","")))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8"/>
      <c r="K369" s="27"/>
      <c r="L369" s="27"/>
      <c r="M369" s="32" t="str">
        <f aca="false">IF(B369="","",IFERROR(INDEX(L_RoleOK,MATCH(D369,L_RoleName,0)),"No"))</f>
        <v/>
      </c>
      <c r="N369" s="32" t="str">
        <f aca="false">IF(B369="","",_xlfn.TEXTJOIN(", ",TRUE(),IF(COUNTIF($B$3:$B$502,B369)&gt;1,"Duplicate name",""),IF(I369="","Source missing",""),IF(OR(J369="",J369&lt;S_Today-S_RecheckDays),"Re-check still in role","")))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8"/>
      <c r="K370" s="27"/>
      <c r="L370" s="27"/>
      <c r="M370" s="32" t="str">
        <f aca="false">IF(B370="","",IFERROR(INDEX(L_RoleOK,MATCH(D370,L_RoleName,0)),"No"))</f>
        <v/>
      </c>
      <c r="N370" s="32" t="str">
        <f aca="false">IF(B370="","",_xlfn.TEXTJOIN(", ",TRUE(),IF(COUNTIF($B$3:$B$502,B370)&gt;1,"Duplicate name",""),IF(I370="","Source missing",""),IF(OR(J370="",J370&lt;S_Today-S_RecheckDays),"Re-check still in role","")))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8"/>
      <c r="K371" s="27"/>
      <c r="L371" s="27"/>
      <c r="M371" s="32" t="str">
        <f aca="false">IF(B371="","",IFERROR(INDEX(L_RoleOK,MATCH(D371,L_RoleName,0)),"No"))</f>
        <v/>
      </c>
      <c r="N371" s="32" t="str">
        <f aca="false">IF(B371="","",_xlfn.TEXTJOIN(", ",TRUE(),IF(COUNTIF($B$3:$B$502,B371)&gt;1,"Duplicate name",""),IF(I371="","Source missing",""),IF(OR(J371="",J371&lt;S_Today-S_RecheckDays),"Re-check still in role","")))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8"/>
      <c r="K372" s="27"/>
      <c r="L372" s="27"/>
      <c r="M372" s="32" t="str">
        <f aca="false">IF(B372="","",IFERROR(INDEX(L_RoleOK,MATCH(D372,L_RoleName,0)),"No"))</f>
        <v/>
      </c>
      <c r="N372" s="32" t="str">
        <f aca="false">IF(B372="","",_xlfn.TEXTJOIN(", ",TRUE(),IF(COUNTIF($B$3:$B$502,B372)&gt;1,"Duplicate name",""),IF(I372="","Source missing",""),IF(OR(J372="",J372&lt;S_Today-S_RecheckDays),"Re-check still in role","")))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8"/>
      <c r="K373" s="27"/>
      <c r="L373" s="27"/>
      <c r="M373" s="32" t="str">
        <f aca="false">IF(B373="","",IFERROR(INDEX(L_RoleOK,MATCH(D373,L_RoleName,0)),"No"))</f>
        <v/>
      </c>
      <c r="N373" s="32" t="str">
        <f aca="false">IF(B373="","",_xlfn.TEXTJOIN(", ",TRUE(),IF(COUNTIF($B$3:$B$502,B373)&gt;1,"Duplicate name",""),IF(I373="","Source missing",""),IF(OR(J373="",J373&lt;S_Today-S_RecheckDays),"Re-check still in role","")))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8"/>
      <c r="K374" s="27"/>
      <c r="L374" s="27"/>
      <c r="M374" s="32" t="str">
        <f aca="false">IF(B374="","",IFERROR(INDEX(L_RoleOK,MATCH(D374,L_RoleName,0)),"No"))</f>
        <v/>
      </c>
      <c r="N374" s="32" t="str">
        <f aca="false">IF(B374="","",_xlfn.TEXTJOIN(", ",TRUE(),IF(COUNTIF($B$3:$B$502,B374)&gt;1,"Duplicate name",""),IF(I374="","Source missing",""),IF(OR(J374="",J374&lt;S_Today-S_RecheckDays),"Re-check still in role","")))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8"/>
      <c r="K375" s="27"/>
      <c r="L375" s="27"/>
      <c r="M375" s="32" t="str">
        <f aca="false">IF(B375="","",IFERROR(INDEX(L_RoleOK,MATCH(D375,L_RoleName,0)),"No"))</f>
        <v/>
      </c>
      <c r="N375" s="32" t="str">
        <f aca="false">IF(B375="","",_xlfn.TEXTJOIN(", ",TRUE(),IF(COUNTIF($B$3:$B$502,B375)&gt;1,"Duplicate name",""),IF(I375="","Source missing",""),IF(OR(J375="",J375&lt;S_Today-S_RecheckDays),"Re-check still in role","")))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8"/>
      <c r="K376" s="27"/>
      <c r="L376" s="27"/>
      <c r="M376" s="32" t="str">
        <f aca="false">IF(B376="","",IFERROR(INDEX(L_RoleOK,MATCH(D376,L_RoleName,0)),"No"))</f>
        <v/>
      </c>
      <c r="N376" s="32" t="str">
        <f aca="false">IF(B376="","",_xlfn.TEXTJOIN(", ",TRUE(),IF(COUNTIF($B$3:$B$502,B376)&gt;1,"Duplicate name",""),IF(I376="","Source missing",""),IF(OR(J376="",J376&lt;S_Today-S_RecheckDays),"Re-check still in role","")))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8"/>
      <c r="K377" s="27"/>
      <c r="L377" s="27"/>
      <c r="M377" s="32" t="str">
        <f aca="false">IF(B377="","",IFERROR(INDEX(L_RoleOK,MATCH(D377,L_RoleName,0)),"No"))</f>
        <v/>
      </c>
      <c r="N377" s="32" t="str">
        <f aca="false">IF(B377="","",_xlfn.TEXTJOIN(", ",TRUE(),IF(COUNTIF($B$3:$B$502,B377)&gt;1,"Duplicate name",""),IF(I377="","Source missing",""),IF(OR(J377="",J377&lt;S_Today-S_RecheckDays),"Re-check still in role","")))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8"/>
      <c r="K378" s="27"/>
      <c r="L378" s="27"/>
      <c r="M378" s="32" t="str">
        <f aca="false">IF(B378="","",IFERROR(INDEX(L_RoleOK,MATCH(D378,L_RoleName,0)),"No"))</f>
        <v/>
      </c>
      <c r="N378" s="32" t="str">
        <f aca="false">IF(B378="","",_xlfn.TEXTJOIN(", ",TRUE(),IF(COUNTIF($B$3:$B$502,B378)&gt;1,"Duplicate name",""),IF(I378="","Source missing",""),IF(OR(J378="",J378&lt;S_Today-S_RecheckDays),"Re-check still in role","")))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8"/>
      <c r="K379" s="27"/>
      <c r="L379" s="27"/>
      <c r="M379" s="32" t="str">
        <f aca="false">IF(B379="","",IFERROR(INDEX(L_RoleOK,MATCH(D379,L_RoleName,0)),"No"))</f>
        <v/>
      </c>
      <c r="N379" s="32" t="str">
        <f aca="false">IF(B379="","",_xlfn.TEXTJOIN(", ",TRUE(),IF(COUNTIF($B$3:$B$502,B379)&gt;1,"Duplicate name",""),IF(I379="","Source missing",""),IF(OR(J379="",J379&lt;S_Today-S_RecheckDays),"Re-check still in role","")))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8"/>
      <c r="K380" s="27"/>
      <c r="L380" s="27"/>
      <c r="M380" s="32" t="str">
        <f aca="false">IF(B380="","",IFERROR(INDEX(L_RoleOK,MATCH(D380,L_RoleName,0)),"No"))</f>
        <v/>
      </c>
      <c r="N380" s="32" t="str">
        <f aca="false">IF(B380="","",_xlfn.TEXTJOIN(", ",TRUE(),IF(COUNTIF($B$3:$B$502,B380)&gt;1,"Duplicate name",""),IF(I380="","Source missing",""),IF(OR(J380="",J380&lt;S_Today-S_RecheckDays),"Re-check still in role","")))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8"/>
      <c r="K381" s="27"/>
      <c r="L381" s="27"/>
      <c r="M381" s="32" t="str">
        <f aca="false">IF(B381="","",IFERROR(INDEX(L_RoleOK,MATCH(D381,L_RoleName,0)),"No"))</f>
        <v/>
      </c>
      <c r="N381" s="32" t="str">
        <f aca="false">IF(B381="","",_xlfn.TEXTJOIN(", ",TRUE(),IF(COUNTIF($B$3:$B$502,B381)&gt;1,"Duplicate name",""),IF(I381="","Source missing",""),IF(OR(J381="",J381&lt;S_Today-S_RecheckDays),"Re-check still in role","")))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8"/>
      <c r="K382" s="27"/>
      <c r="L382" s="27"/>
      <c r="M382" s="32" t="str">
        <f aca="false">IF(B382="","",IFERROR(INDEX(L_RoleOK,MATCH(D382,L_RoleName,0)),"No"))</f>
        <v/>
      </c>
      <c r="N382" s="32" t="str">
        <f aca="false">IF(B382="","",_xlfn.TEXTJOIN(", ",TRUE(),IF(COUNTIF($B$3:$B$502,B382)&gt;1,"Duplicate name",""),IF(I382="","Source missing",""),IF(OR(J382="",J382&lt;S_Today-S_RecheckDays),"Re-check still in role","")))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8"/>
      <c r="K383" s="27"/>
      <c r="L383" s="27"/>
      <c r="M383" s="32" t="str">
        <f aca="false">IF(B383="","",IFERROR(INDEX(L_RoleOK,MATCH(D383,L_RoleName,0)),"No"))</f>
        <v/>
      </c>
      <c r="N383" s="32" t="str">
        <f aca="false">IF(B383="","",_xlfn.TEXTJOIN(", ",TRUE(),IF(COUNTIF($B$3:$B$502,B383)&gt;1,"Duplicate name",""),IF(I383="","Source missing",""),IF(OR(J383="",J383&lt;S_Today-S_RecheckDays),"Re-check still in role","")))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8"/>
      <c r="K384" s="27"/>
      <c r="L384" s="27"/>
      <c r="M384" s="32" t="str">
        <f aca="false">IF(B384="","",IFERROR(INDEX(L_RoleOK,MATCH(D384,L_RoleName,0)),"No"))</f>
        <v/>
      </c>
      <c r="N384" s="32" t="str">
        <f aca="false">IF(B384="","",_xlfn.TEXTJOIN(", ",TRUE(),IF(COUNTIF($B$3:$B$502,B384)&gt;1,"Duplicate name",""),IF(I384="","Source missing",""),IF(OR(J384="",J384&lt;S_Today-S_RecheckDays),"Re-check still in role","")))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8"/>
      <c r="K385" s="27"/>
      <c r="L385" s="27"/>
      <c r="M385" s="32" t="str">
        <f aca="false">IF(B385="","",IFERROR(INDEX(L_RoleOK,MATCH(D385,L_RoleName,0)),"No"))</f>
        <v/>
      </c>
      <c r="N385" s="32" t="str">
        <f aca="false">IF(B385="","",_xlfn.TEXTJOIN(", ",TRUE(),IF(COUNTIF($B$3:$B$502,B385)&gt;1,"Duplicate name",""),IF(I385="","Source missing",""),IF(OR(J385="",J385&lt;S_Today-S_RecheckDays),"Re-check still in role","")))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8"/>
      <c r="K386" s="27"/>
      <c r="L386" s="27"/>
      <c r="M386" s="32" t="str">
        <f aca="false">IF(B386="","",IFERROR(INDEX(L_RoleOK,MATCH(D386,L_RoleName,0)),"No"))</f>
        <v/>
      </c>
      <c r="N386" s="32" t="str">
        <f aca="false">IF(B386="","",_xlfn.TEXTJOIN(", ",TRUE(),IF(COUNTIF($B$3:$B$502,B386)&gt;1,"Duplicate name",""),IF(I386="","Source missing",""),IF(OR(J386="",J386&lt;S_Today-S_RecheckDays),"Re-check still in role","")))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8"/>
      <c r="K387" s="27"/>
      <c r="L387" s="27"/>
      <c r="M387" s="32" t="str">
        <f aca="false">IF(B387="","",IFERROR(INDEX(L_RoleOK,MATCH(D387,L_RoleName,0)),"No"))</f>
        <v/>
      </c>
      <c r="N387" s="32" t="str">
        <f aca="false">IF(B387="","",_xlfn.TEXTJOIN(", ",TRUE(),IF(COUNTIF($B$3:$B$502,B387)&gt;1,"Duplicate name",""),IF(I387="","Source missing",""),IF(OR(J387="",J387&lt;S_Today-S_RecheckDays),"Re-check still in role","")))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8"/>
      <c r="K388" s="27"/>
      <c r="L388" s="27"/>
      <c r="M388" s="32" t="str">
        <f aca="false">IF(B388="","",IFERROR(INDEX(L_RoleOK,MATCH(D388,L_RoleName,0)),"No"))</f>
        <v/>
      </c>
      <c r="N388" s="32" t="str">
        <f aca="false">IF(B388="","",_xlfn.TEXTJOIN(", ",TRUE(),IF(COUNTIF($B$3:$B$502,B388)&gt;1,"Duplicate name",""),IF(I388="","Source missing",""),IF(OR(J388="",J388&lt;S_Today-S_RecheckDays),"Re-check still in role","")))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8"/>
      <c r="K389" s="27"/>
      <c r="L389" s="27"/>
      <c r="M389" s="32" t="str">
        <f aca="false">IF(B389="","",IFERROR(INDEX(L_RoleOK,MATCH(D389,L_RoleName,0)),"No"))</f>
        <v/>
      </c>
      <c r="N389" s="32" t="str">
        <f aca="false">IF(B389="","",_xlfn.TEXTJOIN(", ",TRUE(),IF(COUNTIF($B$3:$B$502,B389)&gt;1,"Duplicate name",""),IF(I389="","Source missing",""),IF(OR(J389="",J389&lt;S_Today-S_RecheckDays),"Re-check still in role","")))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8"/>
      <c r="K390" s="27"/>
      <c r="L390" s="27"/>
      <c r="M390" s="32" t="str">
        <f aca="false">IF(B390="","",IFERROR(INDEX(L_RoleOK,MATCH(D390,L_RoleName,0)),"No"))</f>
        <v/>
      </c>
      <c r="N390" s="32" t="str">
        <f aca="false">IF(B390="","",_xlfn.TEXTJOIN(", ",TRUE(),IF(COUNTIF($B$3:$B$502,B390)&gt;1,"Duplicate name",""),IF(I390="","Source missing",""),IF(OR(J390="",J390&lt;S_Today-S_RecheckDays),"Re-check still in role","")))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8"/>
      <c r="K391" s="27"/>
      <c r="L391" s="27"/>
      <c r="M391" s="32" t="str">
        <f aca="false">IF(B391="","",IFERROR(INDEX(L_RoleOK,MATCH(D391,L_RoleName,0)),"No"))</f>
        <v/>
      </c>
      <c r="N391" s="32" t="str">
        <f aca="false">IF(B391="","",_xlfn.TEXTJOIN(", ",TRUE(),IF(COUNTIF($B$3:$B$502,B391)&gt;1,"Duplicate name",""),IF(I391="","Source missing",""),IF(OR(J391="",J391&lt;S_Today-S_RecheckDays),"Re-check still in role","")))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8"/>
      <c r="K392" s="27"/>
      <c r="L392" s="27"/>
      <c r="M392" s="32" t="str">
        <f aca="false">IF(B392="","",IFERROR(INDEX(L_RoleOK,MATCH(D392,L_RoleName,0)),"No"))</f>
        <v/>
      </c>
      <c r="N392" s="32" t="str">
        <f aca="false">IF(B392="","",_xlfn.TEXTJOIN(", ",TRUE(),IF(COUNTIF($B$3:$B$502,B392)&gt;1,"Duplicate name",""),IF(I392="","Source missing",""),IF(OR(J392="",J392&lt;S_Today-S_RecheckDays),"Re-check still in role","")))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8"/>
      <c r="K393" s="27"/>
      <c r="L393" s="27"/>
      <c r="M393" s="32" t="str">
        <f aca="false">IF(B393="","",IFERROR(INDEX(L_RoleOK,MATCH(D393,L_RoleName,0)),"No"))</f>
        <v/>
      </c>
      <c r="N393" s="32" t="str">
        <f aca="false">IF(B393="","",_xlfn.TEXTJOIN(", ",TRUE(),IF(COUNTIF($B$3:$B$502,B393)&gt;1,"Duplicate name",""),IF(I393="","Source missing",""),IF(OR(J393="",J393&lt;S_Today-S_RecheckDays),"Re-check still in role","")))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8"/>
      <c r="K394" s="27"/>
      <c r="L394" s="27"/>
      <c r="M394" s="32" t="str">
        <f aca="false">IF(B394="","",IFERROR(INDEX(L_RoleOK,MATCH(D394,L_RoleName,0)),"No"))</f>
        <v/>
      </c>
      <c r="N394" s="32" t="str">
        <f aca="false">IF(B394="","",_xlfn.TEXTJOIN(", ",TRUE(),IF(COUNTIF($B$3:$B$502,B394)&gt;1,"Duplicate name",""),IF(I394="","Source missing",""),IF(OR(J394="",J394&lt;S_Today-S_RecheckDays),"Re-check still in role","")))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8"/>
      <c r="K395" s="27"/>
      <c r="L395" s="27"/>
      <c r="M395" s="32" t="str">
        <f aca="false">IF(B395="","",IFERROR(INDEX(L_RoleOK,MATCH(D395,L_RoleName,0)),"No"))</f>
        <v/>
      </c>
      <c r="N395" s="32" t="str">
        <f aca="false">IF(B395="","",_xlfn.TEXTJOIN(", ",TRUE(),IF(COUNTIF($B$3:$B$502,B395)&gt;1,"Duplicate name",""),IF(I395="","Source missing",""),IF(OR(J395="",J395&lt;S_Today-S_RecheckDays),"Re-check still in role","")))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8"/>
      <c r="K396" s="27"/>
      <c r="L396" s="27"/>
      <c r="M396" s="32" t="str">
        <f aca="false">IF(B396="","",IFERROR(INDEX(L_RoleOK,MATCH(D396,L_RoleName,0)),"No"))</f>
        <v/>
      </c>
      <c r="N396" s="32" t="str">
        <f aca="false">IF(B396="","",_xlfn.TEXTJOIN(", ",TRUE(),IF(COUNTIF($B$3:$B$502,B396)&gt;1,"Duplicate name",""),IF(I396="","Source missing",""),IF(OR(J396="",J396&lt;S_Today-S_RecheckDays),"Re-check still in role","")))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8"/>
      <c r="K397" s="27"/>
      <c r="L397" s="27"/>
      <c r="M397" s="32" t="str">
        <f aca="false">IF(B397="","",IFERROR(INDEX(L_RoleOK,MATCH(D397,L_RoleName,0)),"No"))</f>
        <v/>
      </c>
      <c r="N397" s="32" t="str">
        <f aca="false">IF(B397="","",_xlfn.TEXTJOIN(", ",TRUE(),IF(COUNTIF($B$3:$B$502,B397)&gt;1,"Duplicate name",""),IF(I397="","Source missing",""),IF(OR(J397="",J397&lt;S_Today-S_RecheckDays),"Re-check still in role","")))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8"/>
      <c r="K398" s="27"/>
      <c r="L398" s="27"/>
      <c r="M398" s="32" t="str">
        <f aca="false">IF(B398="","",IFERROR(INDEX(L_RoleOK,MATCH(D398,L_RoleName,0)),"No"))</f>
        <v/>
      </c>
      <c r="N398" s="32" t="str">
        <f aca="false">IF(B398="","",_xlfn.TEXTJOIN(", ",TRUE(),IF(COUNTIF($B$3:$B$502,B398)&gt;1,"Duplicate name",""),IF(I398="","Source missing",""),IF(OR(J398="",J398&lt;S_Today-S_RecheckDays),"Re-check still in role","")))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8"/>
      <c r="K399" s="27"/>
      <c r="L399" s="27"/>
      <c r="M399" s="32" t="str">
        <f aca="false">IF(B399="","",IFERROR(INDEX(L_RoleOK,MATCH(D399,L_RoleName,0)),"No"))</f>
        <v/>
      </c>
      <c r="N399" s="32" t="str">
        <f aca="false">IF(B399="","",_xlfn.TEXTJOIN(", ",TRUE(),IF(COUNTIF($B$3:$B$502,B399)&gt;1,"Duplicate name",""),IF(I399="","Source missing",""),IF(OR(J399="",J399&lt;S_Today-S_RecheckDays),"Re-check still in role","")))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8"/>
      <c r="K400" s="27"/>
      <c r="L400" s="27"/>
      <c r="M400" s="32" t="str">
        <f aca="false">IF(B400="","",IFERROR(INDEX(L_RoleOK,MATCH(D400,L_RoleName,0)),"No"))</f>
        <v/>
      </c>
      <c r="N400" s="32" t="str">
        <f aca="false">IF(B400="","",_xlfn.TEXTJOIN(", ",TRUE(),IF(COUNTIF($B$3:$B$502,B400)&gt;1,"Duplicate name",""),IF(I400="","Source missing",""),IF(OR(J400="",J400&lt;S_Today-S_RecheckDays),"Re-check still in role","")))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8"/>
      <c r="K401" s="27"/>
      <c r="L401" s="27"/>
      <c r="M401" s="32" t="str">
        <f aca="false">IF(B401="","",IFERROR(INDEX(L_RoleOK,MATCH(D401,L_RoleName,0)),"No"))</f>
        <v/>
      </c>
      <c r="N401" s="32" t="str">
        <f aca="false">IF(B401="","",_xlfn.TEXTJOIN(", ",TRUE(),IF(COUNTIF($B$3:$B$502,B401)&gt;1,"Duplicate name",""),IF(I401="","Source missing",""),IF(OR(J401="",J401&lt;S_Today-S_RecheckDays),"Re-check still in role","")))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8"/>
      <c r="K402" s="27"/>
      <c r="L402" s="27"/>
      <c r="M402" s="32" t="str">
        <f aca="false">IF(B402="","",IFERROR(INDEX(L_RoleOK,MATCH(D402,L_RoleName,0)),"No"))</f>
        <v/>
      </c>
      <c r="N402" s="32" t="str">
        <f aca="false">IF(B402="","",_xlfn.TEXTJOIN(", ",TRUE(),IF(COUNTIF($B$3:$B$502,B402)&gt;1,"Duplicate name",""),IF(I402="","Source missing",""),IF(OR(J402="",J402&lt;S_Today-S_RecheckDays),"Re-check still in role","")))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8"/>
      <c r="K403" s="27"/>
      <c r="L403" s="27"/>
      <c r="M403" s="32" t="str">
        <f aca="false">IF(B403="","",IFERROR(INDEX(L_RoleOK,MATCH(D403,L_RoleName,0)),"No"))</f>
        <v/>
      </c>
      <c r="N403" s="32" t="str">
        <f aca="false">IF(B403="","",_xlfn.TEXTJOIN(", ",TRUE(),IF(COUNTIF($B$3:$B$502,B403)&gt;1,"Duplicate name",""),IF(I403="","Source missing",""),IF(OR(J403="",J403&lt;S_Today-S_RecheckDays),"Re-check still in role","")))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8"/>
      <c r="K404" s="27"/>
      <c r="L404" s="27"/>
      <c r="M404" s="32" t="str">
        <f aca="false">IF(B404="","",IFERROR(INDEX(L_RoleOK,MATCH(D404,L_RoleName,0)),"No"))</f>
        <v/>
      </c>
      <c r="N404" s="32" t="str">
        <f aca="false">IF(B404="","",_xlfn.TEXTJOIN(", ",TRUE(),IF(COUNTIF($B$3:$B$502,B404)&gt;1,"Duplicate name",""),IF(I404="","Source missing",""),IF(OR(J404="",J404&lt;S_Today-S_RecheckDays),"Re-check still in role","")))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8"/>
      <c r="K405" s="27"/>
      <c r="L405" s="27"/>
      <c r="M405" s="32" t="str">
        <f aca="false">IF(B405="","",IFERROR(INDEX(L_RoleOK,MATCH(D405,L_RoleName,0)),"No"))</f>
        <v/>
      </c>
      <c r="N405" s="32" t="str">
        <f aca="false">IF(B405="","",_xlfn.TEXTJOIN(", ",TRUE(),IF(COUNTIF($B$3:$B$502,B405)&gt;1,"Duplicate name",""),IF(I405="","Source missing",""),IF(OR(J405="",J405&lt;S_Today-S_RecheckDays),"Re-check still in role","")))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8"/>
      <c r="K406" s="27"/>
      <c r="L406" s="27"/>
      <c r="M406" s="32" t="str">
        <f aca="false">IF(B406="","",IFERROR(INDEX(L_RoleOK,MATCH(D406,L_RoleName,0)),"No"))</f>
        <v/>
      </c>
      <c r="N406" s="32" t="str">
        <f aca="false">IF(B406="","",_xlfn.TEXTJOIN(", ",TRUE(),IF(COUNTIF($B$3:$B$502,B406)&gt;1,"Duplicate name",""),IF(I406="","Source missing",""),IF(OR(J406="",J406&lt;S_Today-S_RecheckDays),"Re-check still in role","")))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8"/>
      <c r="K407" s="27"/>
      <c r="L407" s="27"/>
      <c r="M407" s="32" t="str">
        <f aca="false">IF(B407="","",IFERROR(INDEX(L_RoleOK,MATCH(D407,L_RoleName,0)),"No"))</f>
        <v/>
      </c>
      <c r="N407" s="32" t="str">
        <f aca="false">IF(B407="","",_xlfn.TEXTJOIN(", ",TRUE(),IF(COUNTIF($B$3:$B$502,B407)&gt;1,"Duplicate name",""),IF(I407="","Source missing",""),IF(OR(J407="",J407&lt;S_Today-S_RecheckDays),"Re-check still in role","")))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8"/>
      <c r="K408" s="27"/>
      <c r="L408" s="27"/>
      <c r="M408" s="32" t="str">
        <f aca="false">IF(B408="","",IFERROR(INDEX(L_RoleOK,MATCH(D408,L_RoleName,0)),"No"))</f>
        <v/>
      </c>
      <c r="N408" s="32" t="str">
        <f aca="false">IF(B408="","",_xlfn.TEXTJOIN(", ",TRUE(),IF(COUNTIF($B$3:$B$502,B408)&gt;1,"Duplicate name",""),IF(I408="","Source missing",""),IF(OR(J408="",J408&lt;S_Today-S_RecheckDays),"Re-check still in role","")))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8"/>
      <c r="K409" s="27"/>
      <c r="L409" s="27"/>
      <c r="M409" s="32" t="str">
        <f aca="false">IF(B409="","",IFERROR(INDEX(L_RoleOK,MATCH(D409,L_RoleName,0)),"No"))</f>
        <v/>
      </c>
      <c r="N409" s="32" t="str">
        <f aca="false">IF(B409="","",_xlfn.TEXTJOIN(", ",TRUE(),IF(COUNTIF($B$3:$B$502,B409)&gt;1,"Duplicate name",""),IF(I409="","Source missing",""),IF(OR(J409="",J409&lt;S_Today-S_RecheckDays),"Re-check still in role","")))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8"/>
      <c r="K410" s="27"/>
      <c r="L410" s="27"/>
      <c r="M410" s="32" t="str">
        <f aca="false">IF(B410="","",IFERROR(INDEX(L_RoleOK,MATCH(D410,L_RoleName,0)),"No"))</f>
        <v/>
      </c>
      <c r="N410" s="32" t="str">
        <f aca="false">IF(B410="","",_xlfn.TEXTJOIN(", ",TRUE(),IF(COUNTIF($B$3:$B$502,B410)&gt;1,"Duplicate name",""),IF(I410="","Source missing",""),IF(OR(J410="",J410&lt;S_Today-S_RecheckDays),"Re-check still in role","")))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8"/>
      <c r="K411" s="27"/>
      <c r="L411" s="27"/>
      <c r="M411" s="32" t="str">
        <f aca="false">IF(B411="","",IFERROR(INDEX(L_RoleOK,MATCH(D411,L_RoleName,0)),"No"))</f>
        <v/>
      </c>
      <c r="N411" s="32" t="str">
        <f aca="false">IF(B411="","",_xlfn.TEXTJOIN(", ",TRUE(),IF(COUNTIF($B$3:$B$502,B411)&gt;1,"Duplicate name",""),IF(I411="","Source missing",""),IF(OR(J411="",J411&lt;S_Today-S_RecheckDays),"Re-check still in role","")))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8"/>
      <c r="K412" s="27"/>
      <c r="L412" s="27"/>
      <c r="M412" s="32" t="str">
        <f aca="false">IF(B412="","",IFERROR(INDEX(L_RoleOK,MATCH(D412,L_RoleName,0)),"No"))</f>
        <v/>
      </c>
      <c r="N412" s="32" t="str">
        <f aca="false">IF(B412="","",_xlfn.TEXTJOIN(", ",TRUE(),IF(COUNTIF($B$3:$B$502,B412)&gt;1,"Duplicate name",""),IF(I412="","Source missing",""),IF(OR(J412="",J412&lt;S_Today-S_RecheckDays),"Re-check still in role","")))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8"/>
      <c r="K413" s="27"/>
      <c r="L413" s="27"/>
      <c r="M413" s="32" t="str">
        <f aca="false">IF(B413="","",IFERROR(INDEX(L_RoleOK,MATCH(D413,L_RoleName,0)),"No"))</f>
        <v/>
      </c>
      <c r="N413" s="32" t="str">
        <f aca="false">IF(B413="","",_xlfn.TEXTJOIN(", ",TRUE(),IF(COUNTIF($B$3:$B$502,B413)&gt;1,"Duplicate name",""),IF(I413="","Source missing",""),IF(OR(J413="",J413&lt;S_Today-S_RecheckDays),"Re-check still in role","")))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8"/>
      <c r="K414" s="27"/>
      <c r="L414" s="27"/>
      <c r="M414" s="32" t="str">
        <f aca="false">IF(B414="","",IFERROR(INDEX(L_RoleOK,MATCH(D414,L_RoleName,0)),"No"))</f>
        <v/>
      </c>
      <c r="N414" s="32" t="str">
        <f aca="false">IF(B414="","",_xlfn.TEXTJOIN(", ",TRUE(),IF(COUNTIF($B$3:$B$502,B414)&gt;1,"Duplicate name",""),IF(I414="","Source missing",""),IF(OR(J414="",J414&lt;S_Today-S_RecheckDays),"Re-check still in role","")))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8"/>
      <c r="K415" s="27"/>
      <c r="L415" s="27"/>
      <c r="M415" s="32" t="str">
        <f aca="false">IF(B415="","",IFERROR(INDEX(L_RoleOK,MATCH(D415,L_RoleName,0)),"No"))</f>
        <v/>
      </c>
      <c r="N415" s="32" t="str">
        <f aca="false">IF(B415="","",_xlfn.TEXTJOIN(", ",TRUE(),IF(COUNTIF($B$3:$B$502,B415)&gt;1,"Duplicate name",""),IF(I415="","Source missing",""),IF(OR(J415="",J415&lt;S_Today-S_RecheckDays),"Re-check still in role","")))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8"/>
      <c r="K416" s="27"/>
      <c r="L416" s="27"/>
      <c r="M416" s="32" t="str">
        <f aca="false">IF(B416="","",IFERROR(INDEX(L_RoleOK,MATCH(D416,L_RoleName,0)),"No"))</f>
        <v/>
      </c>
      <c r="N416" s="32" t="str">
        <f aca="false">IF(B416="","",_xlfn.TEXTJOIN(", ",TRUE(),IF(COUNTIF($B$3:$B$502,B416)&gt;1,"Duplicate name",""),IF(I416="","Source missing",""),IF(OR(J416="",J416&lt;S_Today-S_RecheckDays),"Re-check still in role","")))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8"/>
      <c r="K417" s="27"/>
      <c r="L417" s="27"/>
      <c r="M417" s="32" t="str">
        <f aca="false">IF(B417="","",IFERROR(INDEX(L_RoleOK,MATCH(D417,L_RoleName,0)),"No"))</f>
        <v/>
      </c>
      <c r="N417" s="32" t="str">
        <f aca="false">IF(B417="","",_xlfn.TEXTJOIN(", ",TRUE(),IF(COUNTIF($B$3:$B$502,B417)&gt;1,"Duplicate name",""),IF(I417="","Source missing",""),IF(OR(J417="",J417&lt;S_Today-S_RecheckDays),"Re-check still in role","")))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8"/>
      <c r="K418" s="27"/>
      <c r="L418" s="27"/>
      <c r="M418" s="32" t="str">
        <f aca="false">IF(B418="","",IFERROR(INDEX(L_RoleOK,MATCH(D418,L_RoleName,0)),"No"))</f>
        <v/>
      </c>
      <c r="N418" s="32" t="str">
        <f aca="false">IF(B418="","",_xlfn.TEXTJOIN(", ",TRUE(),IF(COUNTIF($B$3:$B$502,B418)&gt;1,"Duplicate name",""),IF(I418="","Source missing",""),IF(OR(J418="",J418&lt;S_Today-S_RecheckDays),"Re-check still in role","")))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8"/>
      <c r="K419" s="27"/>
      <c r="L419" s="27"/>
      <c r="M419" s="32" t="str">
        <f aca="false">IF(B419="","",IFERROR(INDEX(L_RoleOK,MATCH(D419,L_RoleName,0)),"No"))</f>
        <v/>
      </c>
      <c r="N419" s="32" t="str">
        <f aca="false">IF(B419="","",_xlfn.TEXTJOIN(", ",TRUE(),IF(COUNTIF($B$3:$B$502,B419)&gt;1,"Duplicate name",""),IF(I419="","Source missing",""),IF(OR(J419="",J419&lt;S_Today-S_RecheckDays),"Re-check still in role","")))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8"/>
      <c r="K420" s="27"/>
      <c r="L420" s="27"/>
      <c r="M420" s="32" t="str">
        <f aca="false">IF(B420="","",IFERROR(INDEX(L_RoleOK,MATCH(D420,L_RoleName,0)),"No"))</f>
        <v/>
      </c>
      <c r="N420" s="32" t="str">
        <f aca="false">IF(B420="","",_xlfn.TEXTJOIN(", ",TRUE(),IF(COUNTIF($B$3:$B$502,B420)&gt;1,"Duplicate name",""),IF(I420="","Source missing",""),IF(OR(J420="",J420&lt;S_Today-S_RecheckDays),"Re-check still in role","")))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8"/>
      <c r="K421" s="27"/>
      <c r="L421" s="27"/>
      <c r="M421" s="32" t="str">
        <f aca="false">IF(B421="","",IFERROR(INDEX(L_RoleOK,MATCH(D421,L_RoleName,0)),"No"))</f>
        <v/>
      </c>
      <c r="N421" s="32" t="str">
        <f aca="false">IF(B421="","",_xlfn.TEXTJOIN(", ",TRUE(),IF(COUNTIF($B$3:$B$502,B421)&gt;1,"Duplicate name",""),IF(I421="","Source missing",""),IF(OR(J421="",J421&lt;S_Today-S_RecheckDays),"Re-check still in role","")))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8"/>
      <c r="K422" s="27"/>
      <c r="L422" s="27"/>
      <c r="M422" s="32" t="str">
        <f aca="false">IF(B422="","",IFERROR(INDEX(L_RoleOK,MATCH(D422,L_RoleName,0)),"No"))</f>
        <v/>
      </c>
      <c r="N422" s="32" t="str">
        <f aca="false">IF(B422="","",_xlfn.TEXTJOIN(", ",TRUE(),IF(COUNTIF($B$3:$B$502,B422)&gt;1,"Duplicate name",""),IF(I422="","Source missing",""),IF(OR(J422="",J422&lt;S_Today-S_RecheckDays),"Re-check still in role","")))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8"/>
      <c r="K423" s="27"/>
      <c r="L423" s="27"/>
      <c r="M423" s="32" t="str">
        <f aca="false">IF(B423="","",IFERROR(INDEX(L_RoleOK,MATCH(D423,L_RoleName,0)),"No"))</f>
        <v/>
      </c>
      <c r="N423" s="32" t="str">
        <f aca="false">IF(B423="","",_xlfn.TEXTJOIN(", ",TRUE(),IF(COUNTIF($B$3:$B$502,B423)&gt;1,"Duplicate name",""),IF(I423="","Source missing",""),IF(OR(J423="",J423&lt;S_Today-S_RecheckDays),"Re-check still in role","")))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8"/>
      <c r="K424" s="27"/>
      <c r="L424" s="27"/>
      <c r="M424" s="32" t="str">
        <f aca="false">IF(B424="","",IFERROR(INDEX(L_RoleOK,MATCH(D424,L_RoleName,0)),"No"))</f>
        <v/>
      </c>
      <c r="N424" s="32" t="str">
        <f aca="false">IF(B424="","",_xlfn.TEXTJOIN(", ",TRUE(),IF(COUNTIF($B$3:$B$502,B424)&gt;1,"Duplicate name",""),IF(I424="","Source missing",""),IF(OR(J424="",J424&lt;S_Today-S_RecheckDays),"Re-check still in role","")))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8"/>
      <c r="K425" s="27"/>
      <c r="L425" s="27"/>
      <c r="M425" s="32" t="str">
        <f aca="false">IF(B425="","",IFERROR(INDEX(L_RoleOK,MATCH(D425,L_RoleName,0)),"No"))</f>
        <v/>
      </c>
      <c r="N425" s="32" t="str">
        <f aca="false">IF(B425="","",_xlfn.TEXTJOIN(", ",TRUE(),IF(COUNTIF($B$3:$B$502,B425)&gt;1,"Duplicate name",""),IF(I425="","Source missing",""),IF(OR(J425="",J425&lt;S_Today-S_RecheckDays),"Re-check still in role","")))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8"/>
      <c r="K426" s="27"/>
      <c r="L426" s="27"/>
      <c r="M426" s="32" t="str">
        <f aca="false">IF(B426="","",IFERROR(INDEX(L_RoleOK,MATCH(D426,L_RoleName,0)),"No"))</f>
        <v/>
      </c>
      <c r="N426" s="32" t="str">
        <f aca="false">IF(B426="","",_xlfn.TEXTJOIN(", ",TRUE(),IF(COUNTIF($B$3:$B$502,B426)&gt;1,"Duplicate name",""),IF(I426="","Source missing",""),IF(OR(J426="",J426&lt;S_Today-S_RecheckDays),"Re-check still in role","")))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8"/>
      <c r="K427" s="27"/>
      <c r="L427" s="27"/>
      <c r="M427" s="32" t="str">
        <f aca="false">IF(B427="","",IFERROR(INDEX(L_RoleOK,MATCH(D427,L_RoleName,0)),"No"))</f>
        <v/>
      </c>
      <c r="N427" s="32" t="str">
        <f aca="false">IF(B427="","",_xlfn.TEXTJOIN(", ",TRUE(),IF(COUNTIF($B$3:$B$502,B427)&gt;1,"Duplicate name",""),IF(I427="","Source missing",""),IF(OR(J427="",J427&lt;S_Today-S_RecheckDays),"Re-check still in role","")))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8"/>
      <c r="K428" s="27"/>
      <c r="L428" s="27"/>
      <c r="M428" s="32" t="str">
        <f aca="false">IF(B428="","",IFERROR(INDEX(L_RoleOK,MATCH(D428,L_RoleName,0)),"No"))</f>
        <v/>
      </c>
      <c r="N428" s="32" t="str">
        <f aca="false">IF(B428="","",_xlfn.TEXTJOIN(", ",TRUE(),IF(COUNTIF($B$3:$B$502,B428)&gt;1,"Duplicate name",""),IF(I428="","Source missing",""),IF(OR(J428="",J428&lt;S_Today-S_RecheckDays),"Re-check still in role","")))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8"/>
      <c r="K429" s="27"/>
      <c r="L429" s="27"/>
      <c r="M429" s="32" t="str">
        <f aca="false">IF(B429="","",IFERROR(INDEX(L_RoleOK,MATCH(D429,L_RoleName,0)),"No"))</f>
        <v/>
      </c>
      <c r="N429" s="32" t="str">
        <f aca="false">IF(B429="","",_xlfn.TEXTJOIN(", ",TRUE(),IF(COUNTIF($B$3:$B$502,B429)&gt;1,"Duplicate name",""),IF(I429="","Source missing",""),IF(OR(J429="",J429&lt;S_Today-S_RecheckDays),"Re-check still in role","")))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8"/>
      <c r="K430" s="27"/>
      <c r="L430" s="27"/>
      <c r="M430" s="32" t="str">
        <f aca="false">IF(B430="","",IFERROR(INDEX(L_RoleOK,MATCH(D430,L_RoleName,0)),"No"))</f>
        <v/>
      </c>
      <c r="N430" s="32" t="str">
        <f aca="false">IF(B430="","",_xlfn.TEXTJOIN(", ",TRUE(),IF(COUNTIF($B$3:$B$502,B430)&gt;1,"Duplicate name",""),IF(I430="","Source missing",""),IF(OR(J430="",J430&lt;S_Today-S_RecheckDays),"Re-check still in role","")))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8"/>
      <c r="K431" s="27"/>
      <c r="L431" s="27"/>
      <c r="M431" s="32" t="str">
        <f aca="false">IF(B431="","",IFERROR(INDEX(L_RoleOK,MATCH(D431,L_RoleName,0)),"No"))</f>
        <v/>
      </c>
      <c r="N431" s="32" t="str">
        <f aca="false">IF(B431="","",_xlfn.TEXTJOIN(", ",TRUE(),IF(COUNTIF($B$3:$B$502,B431)&gt;1,"Duplicate name",""),IF(I431="","Source missing",""),IF(OR(J431="",J431&lt;S_Today-S_RecheckDays),"Re-check still in role","")))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8"/>
      <c r="K432" s="27"/>
      <c r="L432" s="27"/>
      <c r="M432" s="32" t="str">
        <f aca="false">IF(B432="","",IFERROR(INDEX(L_RoleOK,MATCH(D432,L_RoleName,0)),"No"))</f>
        <v/>
      </c>
      <c r="N432" s="32" t="str">
        <f aca="false">IF(B432="","",_xlfn.TEXTJOIN(", ",TRUE(),IF(COUNTIF($B$3:$B$502,B432)&gt;1,"Duplicate name",""),IF(I432="","Source missing",""),IF(OR(J432="",J432&lt;S_Today-S_RecheckDays),"Re-check still in role","")))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8"/>
      <c r="K433" s="27"/>
      <c r="L433" s="27"/>
      <c r="M433" s="32" t="str">
        <f aca="false">IF(B433="","",IFERROR(INDEX(L_RoleOK,MATCH(D433,L_RoleName,0)),"No"))</f>
        <v/>
      </c>
      <c r="N433" s="32" t="str">
        <f aca="false">IF(B433="","",_xlfn.TEXTJOIN(", ",TRUE(),IF(COUNTIF($B$3:$B$502,B433)&gt;1,"Duplicate name",""),IF(I433="","Source missing",""),IF(OR(J433="",J433&lt;S_Today-S_RecheckDays),"Re-check still in role","")))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8"/>
      <c r="K434" s="27"/>
      <c r="L434" s="27"/>
      <c r="M434" s="32" t="str">
        <f aca="false">IF(B434="","",IFERROR(INDEX(L_RoleOK,MATCH(D434,L_RoleName,0)),"No"))</f>
        <v/>
      </c>
      <c r="N434" s="32" t="str">
        <f aca="false">IF(B434="","",_xlfn.TEXTJOIN(", ",TRUE(),IF(COUNTIF($B$3:$B$502,B434)&gt;1,"Duplicate name",""),IF(I434="","Source missing",""),IF(OR(J434="",J434&lt;S_Today-S_RecheckDays),"Re-check still in role","")))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8"/>
      <c r="K435" s="27"/>
      <c r="L435" s="27"/>
      <c r="M435" s="32" t="str">
        <f aca="false">IF(B435="","",IFERROR(INDEX(L_RoleOK,MATCH(D435,L_RoleName,0)),"No"))</f>
        <v/>
      </c>
      <c r="N435" s="32" t="str">
        <f aca="false">IF(B435="","",_xlfn.TEXTJOIN(", ",TRUE(),IF(COUNTIF($B$3:$B$502,B435)&gt;1,"Duplicate name",""),IF(I435="","Source missing",""),IF(OR(J435="",J435&lt;S_Today-S_RecheckDays),"Re-check still in role","")))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8"/>
      <c r="K436" s="27"/>
      <c r="L436" s="27"/>
      <c r="M436" s="32" t="str">
        <f aca="false">IF(B436="","",IFERROR(INDEX(L_RoleOK,MATCH(D436,L_RoleName,0)),"No"))</f>
        <v/>
      </c>
      <c r="N436" s="32" t="str">
        <f aca="false">IF(B436="","",_xlfn.TEXTJOIN(", ",TRUE(),IF(COUNTIF($B$3:$B$502,B436)&gt;1,"Duplicate name",""),IF(I436="","Source missing",""),IF(OR(J436="",J436&lt;S_Today-S_RecheckDays),"Re-check still in role","")))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8"/>
      <c r="K437" s="27"/>
      <c r="L437" s="27"/>
      <c r="M437" s="32" t="str">
        <f aca="false">IF(B437="","",IFERROR(INDEX(L_RoleOK,MATCH(D437,L_RoleName,0)),"No"))</f>
        <v/>
      </c>
      <c r="N437" s="32" t="str">
        <f aca="false">IF(B437="","",_xlfn.TEXTJOIN(", ",TRUE(),IF(COUNTIF($B$3:$B$502,B437)&gt;1,"Duplicate name",""),IF(I437="","Source missing",""),IF(OR(J437="",J437&lt;S_Today-S_RecheckDays),"Re-check still in role","")))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8"/>
      <c r="K438" s="27"/>
      <c r="L438" s="27"/>
      <c r="M438" s="32" t="str">
        <f aca="false">IF(B438="","",IFERROR(INDEX(L_RoleOK,MATCH(D438,L_RoleName,0)),"No"))</f>
        <v/>
      </c>
      <c r="N438" s="32" t="str">
        <f aca="false">IF(B438="","",_xlfn.TEXTJOIN(", ",TRUE(),IF(COUNTIF($B$3:$B$502,B438)&gt;1,"Duplicate name",""),IF(I438="","Source missing",""),IF(OR(J438="",J438&lt;S_Today-S_RecheckDays),"Re-check still in role","")))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8"/>
      <c r="K439" s="27"/>
      <c r="L439" s="27"/>
      <c r="M439" s="32" t="str">
        <f aca="false">IF(B439="","",IFERROR(INDEX(L_RoleOK,MATCH(D439,L_RoleName,0)),"No"))</f>
        <v/>
      </c>
      <c r="N439" s="32" t="str">
        <f aca="false">IF(B439="","",_xlfn.TEXTJOIN(", ",TRUE(),IF(COUNTIF($B$3:$B$502,B439)&gt;1,"Duplicate name",""),IF(I439="","Source missing",""),IF(OR(J439="",J439&lt;S_Today-S_RecheckDays),"Re-check still in role","")))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8"/>
      <c r="K440" s="27"/>
      <c r="L440" s="27"/>
      <c r="M440" s="32" t="str">
        <f aca="false">IF(B440="","",IFERROR(INDEX(L_RoleOK,MATCH(D440,L_RoleName,0)),"No"))</f>
        <v/>
      </c>
      <c r="N440" s="32" t="str">
        <f aca="false">IF(B440="","",_xlfn.TEXTJOIN(", ",TRUE(),IF(COUNTIF($B$3:$B$502,B440)&gt;1,"Duplicate name",""),IF(I440="","Source missing",""),IF(OR(J440="",J440&lt;S_Today-S_RecheckDays),"Re-check still in role","")))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8"/>
      <c r="K441" s="27"/>
      <c r="L441" s="27"/>
      <c r="M441" s="32" t="str">
        <f aca="false">IF(B441="","",IFERROR(INDEX(L_RoleOK,MATCH(D441,L_RoleName,0)),"No"))</f>
        <v/>
      </c>
      <c r="N441" s="32" t="str">
        <f aca="false">IF(B441="","",_xlfn.TEXTJOIN(", ",TRUE(),IF(COUNTIF($B$3:$B$502,B441)&gt;1,"Duplicate name",""),IF(I441="","Source missing",""),IF(OR(J441="",J441&lt;S_Today-S_RecheckDays),"Re-check still in role","")))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8"/>
      <c r="K442" s="27"/>
      <c r="L442" s="27"/>
      <c r="M442" s="32" t="str">
        <f aca="false">IF(B442="","",IFERROR(INDEX(L_RoleOK,MATCH(D442,L_RoleName,0)),"No"))</f>
        <v/>
      </c>
      <c r="N442" s="32" t="str">
        <f aca="false">IF(B442="","",_xlfn.TEXTJOIN(", ",TRUE(),IF(COUNTIF($B$3:$B$502,B442)&gt;1,"Duplicate name",""),IF(I442="","Source missing",""),IF(OR(J442="",J442&lt;S_Today-S_RecheckDays),"Re-check still in role","")))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8"/>
      <c r="K443" s="27"/>
      <c r="L443" s="27"/>
      <c r="M443" s="32" t="str">
        <f aca="false">IF(B443="","",IFERROR(INDEX(L_RoleOK,MATCH(D443,L_RoleName,0)),"No"))</f>
        <v/>
      </c>
      <c r="N443" s="32" t="str">
        <f aca="false">IF(B443="","",_xlfn.TEXTJOIN(", ",TRUE(),IF(COUNTIF($B$3:$B$502,B443)&gt;1,"Duplicate name",""),IF(I443="","Source missing",""),IF(OR(J443="",J443&lt;S_Today-S_RecheckDays),"Re-check still in role","")))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8"/>
      <c r="K444" s="27"/>
      <c r="L444" s="27"/>
      <c r="M444" s="32" t="str">
        <f aca="false">IF(B444="","",IFERROR(INDEX(L_RoleOK,MATCH(D444,L_RoleName,0)),"No"))</f>
        <v/>
      </c>
      <c r="N444" s="32" t="str">
        <f aca="false">IF(B444="","",_xlfn.TEXTJOIN(", ",TRUE(),IF(COUNTIF($B$3:$B$502,B444)&gt;1,"Duplicate name",""),IF(I444="","Source missing",""),IF(OR(J444="",J444&lt;S_Today-S_RecheckDays),"Re-check still in role","")))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8"/>
      <c r="K445" s="27"/>
      <c r="L445" s="27"/>
      <c r="M445" s="32" t="str">
        <f aca="false">IF(B445="","",IFERROR(INDEX(L_RoleOK,MATCH(D445,L_RoleName,0)),"No"))</f>
        <v/>
      </c>
      <c r="N445" s="32" t="str">
        <f aca="false">IF(B445="","",_xlfn.TEXTJOIN(", ",TRUE(),IF(COUNTIF($B$3:$B$502,B445)&gt;1,"Duplicate name",""),IF(I445="","Source missing",""),IF(OR(J445="",J445&lt;S_Today-S_RecheckDays),"Re-check still in role","")))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8"/>
      <c r="K446" s="27"/>
      <c r="L446" s="27"/>
      <c r="M446" s="32" t="str">
        <f aca="false">IF(B446="","",IFERROR(INDEX(L_RoleOK,MATCH(D446,L_RoleName,0)),"No"))</f>
        <v/>
      </c>
      <c r="N446" s="32" t="str">
        <f aca="false">IF(B446="","",_xlfn.TEXTJOIN(", ",TRUE(),IF(COUNTIF($B$3:$B$502,B446)&gt;1,"Duplicate name",""),IF(I446="","Source missing",""),IF(OR(J446="",J446&lt;S_Today-S_RecheckDays),"Re-check still in role","")))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8"/>
      <c r="K447" s="27"/>
      <c r="L447" s="27"/>
      <c r="M447" s="32" t="str">
        <f aca="false">IF(B447="","",IFERROR(INDEX(L_RoleOK,MATCH(D447,L_RoleName,0)),"No"))</f>
        <v/>
      </c>
      <c r="N447" s="32" t="str">
        <f aca="false">IF(B447="","",_xlfn.TEXTJOIN(", ",TRUE(),IF(COUNTIF($B$3:$B$502,B447)&gt;1,"Duplicate name",""),IF(I447="","Source missing",""),IF(OR(J447="",J447&lt;S_Today-S_RecheckDays),"Re-check still in role","")))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8"/>
      <c r="K448" s="27"/>
      <c r="L448" s="27"/>
      <c r="M448" s="32" t="str">
        <f aca="false">IF(B448="","",IFERROR(INDEX(L_RoleOK,MATCH(D448,L_RoleName,0)),"No"))</f>
        <v/>
      </c>
      <c r="N448" s="32" t="str">
        <f aca="false">IF(B448="","",_xlfn.TEXTJOIN(", ",TRUE(),IF(COUNTIF($B$3:$B$502,B448)&gt;1,"Duplicate name",""),IF(I448="","Source missing",""),IF(OR(J448="",J448&lt;S_Today-S_RecheckDays),"Re-check still in role","")))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8"/>
      <c r="K449" s="27"/>
      <c r="L449" s="27"/>
      <c r="M449" s="32" t="str">
        <f aca="false">IF(B449="","",IFERROR(INDEX(L_RoleOK,MATCH(D449,L_RoleName,0)),"No"))</f>
        <v/>
      </c>
      <c r="N449" s="32" t="str">
        <f aca="false">IF(B449="","",_xlfn.TEXTJOIN(", ",TRUE(),IF(COUNTIF($B$3:$B$502,B449)&gt;1,"Duplicate name",""),IF(I449="","Source missing",""),IF(OR(J449="",J449&lt;S_Today-S_RecheckDays),"Re-check still in role","")))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8"/>
      <c r="K450" s="27"/>
      <c r="L450" s="27"/>
      <c r="M450" s="32" t="str">
        <f aca="false">IF(B450="","",IFERROR(INDEX(L_RoleOK,MATCH(D450,L_RoleName,0)),"No"))</f>
        <v/>
      </c>
      <c r="N450" s="32" t="str">
        <f aca="false">IF(B450="","",_xlfn.TEXTJOIN(", ",TRUE(),IF(COUNTIF($B$3:$B$502,B450)&gt;1,"Duplicate name",""),IF(I450="","Source missing",""),IF(OR(J450="",J450&lt;S_Today-S_RecheckDays),"Re-check still in role","")))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8"/>
      <c r="K451" s="27"/>
      <c r="L451" s="27"/>
      <c r="M451" s="32" t="str">
        <f aca="false">IF(B451="","",IFERROR(INDEX(L_RoleOK,MATCH(D451,L_RoleName,0)),"No"))</f>
        <v/>
      </c>
      <c r="N451" s="32" t="str">
        <f aca="false">IF(B451="","",_xlfn.TEXTJOIN(", ",TRUE(),IF(COUNTIF($B$3:$B$502,B451)&gt;1,"Duplicate name",""),IF(I451="","Source missing",""),IF(OR(J451="",J451&lt;S_Today-S_RecheckDays),"Re-check still in role","")))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8"/>
      <c r="K452" s="27"/>
      <c r="L452" s="27"/>
      <c r="M452" s="32" t="str">
        <f aca="false">IF(B452="","",IFERROR(INDEX(L_RoleOK,MATCH(D452,L_RoleName,0)),"No"))</f>
        <v/>
      </c>
      <c r="N452" s="32" t="str">
        <f aca="false">IF(B452="","",_xlfn.TEXTJOIN(", ",TRUE(),IF(COUNTIF($B$3:$B$502,B452)&gt;1,"Duplicate name",""),IF(I452="","Source missing",""),IF(OR(J452="",J452&lt;S_Today-S_RecheckDays),"Re-check still in role","")))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8"/>
      <c r="K453" s="27"/>
      <c r="L453" s="27"/>
      <c r="M453" s="32" t="str">
        <f aca="false">IF(B453="","",IFERROR(INDEX(L_RoleOK,MATCH(D453,L_RoleName,0)),"No"))</f>
        <v/>
      </c>
      <c r="N453" s="32" t="str">
        <f aca="false">IF(B453="","",_xlfn.TEXTJOIN(", ",TRUE(),IF(COUNTIF($B$3:$B$502,B453)&gt;1,"Duplicate name",""),IF(I453="","Source missing",""),IF(OR(J453="",J453&lt;S_Today-S_RecheckDays),"Re-check still in role","")))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8"/>
      <c r="K454" s="27"/>
      <c r="L454" s="27"/>
      <c r="M454" s="32" t="str">
        <f aca="false">IF(B454="","",IFERROR(INDEX(L_RoleOK,MATCH(D454,L_RoleName,0)),"No"))</f>
        <v/>
      </c>
      <c r="N454" s="32" t="str">
        <f aca="false">IF(B454="","",_xlfn.TEXTJOIN(", ",TRUE(),IF(COUNTIF($B$3:$B$502,B454)&gt;1,"Duplicate name",""),IF(I454="","Source missing",""),IF(OR(J454="",J454&lt;S_Today-S_RecheckDays),"Re-check still in role","")))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8"/>
      <c r="K455" s="27"/>
      <c r="L455" s="27"/>
      <c r="M455" s="32" t="str">
        <f aca="false">IF(B455="","",IFERROR(INDEX(L_RoleOK,MATCH(D455,L_RoleName,0)),"No"))</f>
        <v/>
      </c>
      <c r="N455" s="32" t="str">
        <f aca="false">IF(B455="","",_xlfn.TEXTJOIN(", ",TRUE(),IF(COUNTIF($B$3:$B$502,B455)&gt;1,"Duplicate name",""),IF(I455="","Source missing",""),IF(OR(J455="",J455&lt;S_Today-S_RecheckDays),"Re-check still in role","")))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8"/>
      <c r="K456" s="27"/>
      <c r="L456" s="27"/>
      <c r="M456" s="32" t="str">
        <f aca="false">IF(B456="","",IFERROR(INDEX(L_RoleOK,MATCH(D456,L_RoleName,0)),"No"))</f>
        <v/>
      </c>
      <c r="N456" s="32" t="str">
        <f aca="false">IF(B456="","",_xlfn.TEXTJOIN(", ",TRUE(),IF(COUNTIF($B$3:$B$502,B456)&gt;1,"Duplicate name",""),IF(I456="","Source missing",""),IF(OR(J456="",J456&lt;S_Today-S_RecheckDays),"Re-check still in role","")))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8"/>
      <c r="K457" s="27"/>
      <c r="L457" s="27"/>
      <c r="M457" s="32" t="str">
        <f aca="false">IF(B457="","",IFERROR(INDEX(L_RoleOK,MATCH(D457,L_RoleName,0)),"No"))</f>
        <v/>
      </c>
      <c r="N457" s="32" t="str">
        <f aca="false">IF(B457="","",_xlfn.TEXTJOIN(", ",TRUE(),IF(COUNTIF($B$3:$B$502,B457)&gt;1,"Duplicate name",""),IF(I457="","Source missing",""),IF(OR(J457="",J457&lt;S_Today-S_RecheckDays),"Re-check still in role","")))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8"/>
      <c r="K458" s="27"/>
      <c r="L458" s="27"/>
      <c r="M458" s="32" t="str">
        <f aca="false">IF(B458="","",IFERROR(INDEX(L_RoleOK,MATCH(D458,L_RoleName,0)),"No"))</f>
        <v/>
      </c>
      <c r="N458" s="32" t="str">
        <f aca="false">IF(B458="","",_xlfn.TEXTJOIN(", ",TRUE(),IF(COUNTIF($B$3:$B$502,B458)&gt;1,"Duplicate name",""),IF(I458="","Source missing",""),IF(OR(J458="",J458&lt;S_Today-S_RecheckDays),"Re-check still in role","")))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8"/>
      <c r="K459" s="27"/>
      <c r="L459" s="27"/>
      <c r="M459" s="32" t="str">
        <f aca="false">IF(B459="","",IFERROR(INDEX(L_RoleOK,MATCH(D459,L_RoleName,0)),"No"))</f>
        <v/>
      </c>
      <c r="N459" s="32" t="str">
        <f aca="false">IF(B459="","",_xlfn.TEXTJOIN(", ",TRUE(),IF(COUNTIF($B$3:$B$502,B459)&gt;1,"Duplicate name",""),IF(I459="","Source missing",""),IF(OR(J459="",J459&lt;S_Today-S_RecheckDays),"Re-check still in role","")))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8"/>
      <c r="K460" s="27"/>
      <c r="L460" s="27"/>
      <c r="M460" s="32" t="str">
        <f aca="false">IF(B460="","",IFERROR(INDEX(L_RoleOK,MATCH(D460,L_RoleName,0)),"No"))</f>
        <v/>
      </c>
      <c r="N460" s="32" t="str">
        <f aca="false">IF(B460="","",_xlfn.TEXTJOIN(", ",TRUE(),IF(COUNTIF($B$3:$B$502,B460)&gt;1,"Duplicate name",""),IF(I460="","Source missing",""),IF(OR(J460="",J460&lt;S_Today-S_RecheckDays),"Re-check still in role","")))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8"/>
      <c r="K461" s="27"/>
      <c r="L461" s="27"/>
      <c r="M461" s="32" t="str">
        <f aca="false">IF(B461="","",IFERROR(INDEX(L_RoleOK,MATCH(D461,L_RoleName,0)),"No"))</f>
        <v/>
      </c>
      <c r="N461" s="32" t="str">
        <f aca="false">IF(B461="","",_xlfn.TEXTJOIN(", ",TRUE(),IF(COUNTIF($B$3:$B$502,B461)&gt;1,"Duplicate name",""),IF(I461="","Source missing",""),IF(OR(J461="",J461&lt;S_Today-S_RecheckDays),"Re-check still in role","")))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8"/>
      <c r="K462" s="27"/>
      <c r="L462" s="27"/>
      <c r="M462" s="32" t="str">
        <f aca="false">IF(B462="","",IFERROR(INDEX(L_RoleOK,MATCH(D462,L_RoleName,0)),"No"))</f>
        <v/>
      </c>
      <c r="N462" s="32" t="str">
        <f aca="false">IF(B462="","",_xlfn.TEXTJOIN(", ",TRUE(),IF(COUNTIF($B$3:$B$502,B462)&gt;1,"Duplicate name",""),IF(I462="","Source missing",""),IF(OR(J462="",J462&lt;S_Today-S_RecheckDays),"Re-check still in role","")))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8"/>
      <c r="K463" s="27"/>
      <c r="L463" s="27"/>
      <c r="M463" s="32" t="str">
        <f aca="false">IF(B463="","",IFERROR(INDEX(L_RoleOK,MATCH(D463,L_RoleName,0)),"No"))</f>
        <v/>
      </c>
      <c r="N463" s="32" t="str">
        <f aca="false">IF(B463="","",_xlfn.TEXTJOIN(", ",TRUE(),IF(COUNTIF($B$3:$B$502,B463)&gt;1,"Duplicate name",""),IF(I463="","Source missing",""),IF(OR(J463="",J463&lt;S_Today-S_RecheckDays),"Re-check still in role","")))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8"/>
      <c r="K464" s="27"/>
      <c r="L464" s="27"/>
      <c r="M464" s="32" t="str">
        <f aca="false">IF(B464="","",IFERROR(INDEX(L_RoleOK,MATCH(D464,L_RoleName,0)),"No"))</f>
        <v/>
      </c>
      <c r="N464" s="32" t="str">
        <f aca="false">IF(B464="","",_xlfn.TEXTJOIN(", ",TRUE(),IF(COUNTIF($B$3:$B$502,B464)&gt;1,"Duplicate name",""),IF(I464="","Source missing",""),IF(OR(J464="",J464&lt;S_Today-S_RecheckDays),"Re-check still in role","")))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8"/>
      <c r="K465" s="27"/>
      <c r="L465" s="27"/>
      <c r="M465" s="32" t="str">
        <f aca="false">IF(B465="","",IFERROR(INDEX(L_RoleOK,MATCH(D465,L_RoleName,0)),"No"))</f>
        <v/>
      </c>
      <c r="N465" s="32" t="str">
        <f aca="false">IF(B465="","",_xlfn.TEXTJOIN(", ",TRUE(),IF(COUNTIF($B$3:$B$502,B465)&gt;1,"Duplicate name",""),IF(I465="","Source missing",""),IF(OR(J465="",J465&lt;S_Today-S_RecheckDays),"Re-check still in role","")))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8"/>
      <c r="K466" s="27"/>
      <c r="L466" s="27"/>
      <c r="M466" s="32" t="str">
        <f aca="false">IF(B466="","",IFERROR(INDEX(L_RoleOK,MATCH(D466,L_RoleName,0)),"No"))</f>
        <v/>
      </c>
      <c r="N466" s="32" t="str">
        <f aca="false">IF(B466="","",_xlfn.TEXTJOIN(", ",TRUE(),IF(COUNTIF($B$3:$B$502,B466)&gt;1,"Duplicate name",""),IF(I466="","Source missing",""),IF(OR(J466="",J466&lt;S_Today-S_RecheckDays),"Re-check still in role","")))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8"/>
      <c r="K467" s="27"/>
      <c r="L467" s="27"/>
      <c r="M467" s="32" t="str">
        <f aca="false">IF(B467="","",IFERROR(INDEX(L_RoleOK,MATCH(D467,L_RoleName,0)),"No"))</f>
        <v/>
      </c>
      <c r="N467" s="32" t="str">
        <f aca="false">IF(B467="","",_xlfn.TEXTJOIN(", ",TRUE(),IF(COUNTIF($B$3:$B$502,B467)&gt;1,"Duplicate name",""),IF(I467="","Source missing",""),IF(OR(J467="",J467&lt;S_Today-S_RecheckDays),"Re-check still in role","")))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8"/>
      <c r="K468" s="27"/>
      <c r="L468" s="27"/>
      <c r="M468" s="32" t="str">
        <f aca="false">IF(B468="","",IFERROR(INDEX(L_RoleOK,MATCH(D468,L_RoleName,0)),"No"))</f>
        <v/>
      </c>
      <c r="N468" s="32" t="str">
        <f aca="false">IF(B468="","",_xlfn.TEXTJOIN(", ",TRUE(),IF(COUNTIF($B$3:$B$502,B468)&gt;1,"Duplicate name",""),IF(I468="","Source missing",""),IF(OR(J468="",J468&lt;S_Today-S_RecheckDays),"Re-check still in role","")))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8"/>
      <c r="K469" s="27"/>
      <c r="L469" s="27"/>
      <c r="M469" s="32" t="str">
        <f aca="false">IF(B469="","",IFERROR(INDEX(L_RoleOK,MATCH(D469,L_RoleName,0)),"No"))</f>
        <v/>
      </c>
      <c r="N469" s="32" t="str">
        <f aca="false">IF(B469="","",_xlfn.TEXTJOIN(", ",TRUE(),IF(COUNTIF($B$3:$B$502,B469)&gt;1,"Duplicate name",""),IF(I469="","Source missing",""),IF(OR(J469="",J469&lt;S_Today-S_RecheckDays),"Re-check still in role","")))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8"/>
      <c r="K470" s="27"/>
      <c r="L470" s="27"/>
      <c r="M470" s="32" t="str">
        <f aca="false">IF(B470="","",IFERROR(INDEX(L_RoleOK,MATCH(D470,L_RoleName,0)),"No"))</f>
        <v/>
      </c>
      <c r="N470" s="32" t="str">
        <f aca="false">IF(B470="","",_xlfn.TEXTJOIN(", ",TRUE(),IF(COUNTIF($B$3:$B$502,B470)&gt;1,"Duplicate name",""),IF(I470="","Source missing",""),IF(OR(J470="",J470&lt;S_Today-S_RecheckDays),"Re-check still in role","")))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8"/>
      <c r="K471" s="27"/>
      <c r="L471" s="27"/>
      <c r="M471" s="32" t="str">
        <f aca="false">IF(B471="","",IFERROR(INDEX(L_RoleOK,MATCH(D471,L_RoleName,0)),"No"))</f>
        <v/>
      </c>
      <c r="N471" s="32" t="str">
        <f aca="false">IF(B471="","",_xlfn.TEXTJOIN(", ",TRUE(),IF(COUNTIF($B$3:$B$502,B471)&gt;1,"Duplicate name",""),IF(I471="","Source missing",""),IF(OR(J471="",J471&lt;S_Today-S_RecheckDays),"Re-check still in role","")))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8"/>
      <c r="K472" s="27"/>
      <c r="L472" s="27"/>
      <c r="M472" s="32" t="str">
        <f aca="false">IF(B472="","",IFERROR(INDEX(L_RoleOK,MATCH(D472,L_RoleName,0)),"No"))</f>
        <v/>
      </c>
      <c r="N472" s="32" t="str">
        <f aca="false">IF(B472="","",_xlfn.TEXTJOIN(", ",TRUE(),IF(COUNTIF($B$3:$B$502,B472)&gt;1,"Duplicate name",""),IF(I472="","Source missing",""),IF(OR(J472="",J472&lt;S_Today-S_RecheckDays),"Re-check still in role","")))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8"/>
      <c r="K473" s="27"/>
      <c r="L473" s="27"/>
      <c r="M473" s="32" t="str">
        <f aca="false">IF(B473="","",IFERROR(INDEX(L_RoleOK,MATCH(D473,L_RoleName,0)),"No"))</f>
        <v/>
      </c>
      <c r="N473" s="32" t="str">
        <f aca="false">IF(B473="","",_xlfn.TEXTJOIN(", ",TRUE(),IF(COUNTIF($B$3:$B$502,B473)&gt;1,"Duplicate name",""),IF(I473="","Source missing",""),IF(OR(J473="",J473&lt;S_Today-S_RecheckDays),"Re-check still in role","")))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8"/>
      <c r="K474" s="27"/>
      <c r="L474" s="27"/>
      <c r="M474" s="32" t="str">
        <f aca="false">IF(B474="","",IFERROR(INDEX(L_RoleOK,MATCH(D474,L_RoleName,0)),"No"))</f>
        <v/>
      </c>
      <c r="N474" s="32" t="str">
        <f aca="false">IF(B474="","",_xlfn.TEXTJOIN(", ",TRUE(),IF(COUNTIF($B$3:$B$502,B474)&gt;1,"Duplicate name",""),IF(I474="","Source missing",""),IF(OR(J474="",J474&lt;S_Today-S_RecheckDays),"Re-check still in role","")))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8"/>
      <c r="K475" s="27"/>
      <c r="L475" s="27"/>
      <c r="M475" s="32" t="str">
        <f aca="false">IF(B475="","",IFERROR(INDEX(L_RoleOK,MATCH(D475,L_RoleName,0)),"No"))</f>
        <v/>
      </c>
      <c r="N475" s="32" t="str">
        <f aca="false">IF(B475="","",_xlfn.TEXTJOIN(", ",TRUE(),IF(COUNTIF($B$3:$B$502,B475)&gt;1,"Duplicate name",""),IF(I475="","Source missing",""),IF(OR(J475="",J475&lt;S_Today-S_RecheckDays),"Re-check still in role","")))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8"/>
      <c r="K476" s="27"/>
      <c r="L476" s="27"/>
      <c r="M476" s="32" t="str">
        <f aca="false">IF(B476="","",IFERROR(INDEX(L_RoleOK,MATCH(D476,L_RoleName,0)),"No"))</f>
        <v/>
      </c>
      <c r="N476" s="32" t="str">
        <f aca="false">IF(B476="","",_xlfn.TEXTJOIN(", ",TRUE(),IF(COUNTIF($B$3:$B$502,B476)&gt;1,"Duplicate name",""),IF(I476="","Source missing",""),IF(OR(J476="",J476&lt;S_Today-S_RecheckDays),"Re-check still in role","")))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8"/>
      <c r="K477" s="27"/>
      <c r="L477" s="27"/>
      <c r="M477" s="32" t="str">
        <f aca="false">IF(B477="","",IFERROR(INDEX(L_RoleOK,MATCH(D477,L_RoleName,0)),"No"))</f>
        <v/>
      </c>
      <c r="N477" s="32" t="str">
        <f aca="false">IF(B477="","",_xlfn.TEXTJOIN(", ",TRUE(),IF(COUNTIF($B$3:$B$502,B477)&gt;1,"Duplicate name",""),IF(I477="","Source missing",""),IF(OR(J477="",J477&lt;S_Today-S_RecheckDays),"Re-check still in role","")))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8"/>
      <c r="K478" s="27"/>
      <c r="L478" s="27"/>
      <c r="M478" s="32" t="str">
        <f aca="false">IF(B478="","",IFERROR(INDEX(L_RoleOK,MATCH(D478,L_RoleName,0)),"No"))</f>
        <v/>
      </c>
      <c r="N478" s="32" t="str">
        <f aca="false">IF(B478="","",_xlfn.TEXTJOIN(", ",TRUE(),IF(COUNTIF($B$3:$B$502,B478)&gt;1,"Duplicate name",""),IF(I478="","Source missing",""),IF(OR(J478="",J478&lt;S_Today-S_RecheckDays),"Re-check still in role","")))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8"/>
      <c r="K479" s="27"/>
      <c r="L479" s="27"/>
      <c r="M479" s="32" t="str">
        <f aca="false">IF(B479="","",IFERROR(INDEX(L_RoleOK,MATCH(D479,L_RoleName,0)),"No"))</f>
        <v/>
      </c>
      <c r="N479" s="32" t="str">
        <f aca="false">IF(B479="","",_xlfn.TEXTJOIN(", ",TRUE(),IF(COUNTIF($B$3:$B$502,B479)&gt;1,"Duplicate name",""),IF(I479="","Source missing",""),IF(OR(J479="",J479&lt;S_Today-S_RecheckDays),"Re-check still in role","")))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8"/>
      <c r="K480" s="27"/>
      <c r="L480" s="27"/>
      <c r="M480" s="32" t="str">
        <f aca="false">IF(B480="","",IFERROR(INDEX(L_RoleOK,MATCH(D480,L_RoleName,0)),"No"))</f>
        <v/>
      </c>
      <c r="N480" s="32" t="str">
        <f aca="false">IF(B480="","",_xlfn.TEXTJOIN(", ",TRUE(),IF(COUNTIF($B$3:$B$502,B480)&gt;1,"Duplicate name",""),IF(I480="","Source missing",""),IF(OR(J480="",J480&lt;S_Today-S_RecheckDays),"Re-check still in role","")))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8"/>
      <c r="K481" s="27"/>
      <c r="L481" s="27"/>
      <c r="M481" s="32" t="str">
        <f aca="false">IF(B481="","",IFERROR(INDEX(L_RoleOK,MATCH(D481,L_RoleName,0)),"No"))</f>
        <v/>
      </c>
      <c r="N481" s="32" t="str">
        <f aca="false">IF(B481="","",_xlfn.TEXTJOIN(", ",TRUE(),IF(COUNTIF($B$3:$B$502,B481)&gt;1,"Duplicate name",""),IF(I481="","Source missing",""),IF(OR(J481="",J481&lt;S_Today-S_RecheckDays),"Re-check still in role","")))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8"/>
      <c r="K482" s="27"/>
      <c r="L482" s="27"/>
      <c r="M482" s="32" t="str">
        <f aca="false">IF(B482="","",IFERROR(INDEX(L_RoleOK,MATCH(D482,L_RoleName,0)),"No"))</f>
        <v/>
      </c>
      <c r="N482" s="32" t="str">
        <f aca="false">IF(B482="","",_xlfn.TEXTJOIN(", ",TRUE(),IF(COUNTIF($B$3:$B$502,B482)&gt;1,"Duplicate name",""),IF(I482="","Source missing",""),IF(OR(J482="",J482&lt;S_Today-S_RecheckDays),"Re-check still in role","")))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8"/>
      <c r="K483" s="27"/>
      <c r="L483" s="27"/>
      <c r="M483" s="32" t="str">
        <f aca="false">IF(B483="","",IFERROR(INDEX(L_RoleOK,MATCH(D483,L_RoleName,0)),"No"))</f>
        <v/>
      </c>
      <c r="N483" s="32" t="str">
        <f aca="false">IF(B483="","",_xlfn.TEXTJOIN(", ",TRUE(),IF(COUNTIF($B$3:$B$502,B483)&gt;1,"Duplicate name",""),IF(I483="","Source missing",""),IF(OR(J483="",J483&lt;S_Today-S_RecheckDays),"Re-check still in role","")))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8"/>
      <c r="K484" s="27"/>
      <c r="L484" s="27"/>
      <c r="M484" s="32" t="str">
        <f aca="false">IF(B484="","",IFERROR(INDEX(L_RoleOK,MATCH(D484,L_RoleName,0)),"No"))</f>
        <v/>
      </c>
      <c r="N484" s="32" t="str">
        <f aca="false">IF(B484="","",_xlfn.TEXTJOIN(", ",TRUE(),IF(COUNTIF($B$3:$B$502,B484)&gt;1,"Duplicate name",""),IF(I484="","Source missing",""),IF(OR(J484="",J484&lt;S_Today-S_RecheckDays),"Re-check still in role","")))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8"/>
      <c r="K485" s="27"/>
      <c r="L485" s="27"/>
      <c r="M485" s="32" t="str">
        <f aca="false">IF(B485="","",IFERROR(INDEX(L_RoleOK,MATCH(D485,L_RoleName,0)),"No"))</f>
        <v/>
      </c>
      <c r="N485" s="32" t="str">
        <f aca="false">IF(B485="","",_xlfn.TEXTJOIN(", ",TRUE(),IF(COUNTIF($B$3:$B$502,B485)&gt;1,"Duplicate name",""),IF(I485="","Source missing",""),IF(OR(J485="",J485&lt;S_Today-S_RecheckDays),"Re-check still in role","")))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8"/>
      <c r="K486" s="27"/>
      <c r="L486" s="27"/>
      <c r="M486" s="32" t="str">
        <f aca="false">IF(B486="","",IFERROR(INDEX(L_RoleOK,MATCH(D486,L_RoleName,0)),"No"))</f>
        <v/>
      </c>
      <c r="N486" s="32" t="str">
        <f aca="false">IF(B486="","",_xlfn.TEXTJOIN(", ",TRUE(),IF(COUNTIF($B$3:$B$502,B486)&gt;1,"Duplicate name",""),IF(I486="","Source missing",""),IF(OR(J486="",J486&lt;S_Today-S_RecheckDays),"Re-check still in role","")))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8"/>
      <c r="K487" s="27"/>
      <c r="L487" s="27"/>
      <c r="M487" s="32" t="str">
        <f aca="false">IF(B487="","",IFERROR(INDEX(L_RoleOK,MATCH(D487,L_RoleName,0)),"No"))</f>
        <v/>
      </c>
      <c r="N487" s="32" t="str">
        <f aca="false">IF(B487="","",_xlfn.TEXTJOIN(", ",TRUE(),IF(COUNTIF($B$3:$B$502,B487)&gt;1,"Duplicate name",""),IF(I487="","Source missing",""),IF(OR(J487="",J487&lt;S_Today-S_RecheckDays),"Re-check still in role","")))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8"/>
      <c r="K488" s="27"/>
      <c r="L488" s="27"/>
      <c r="M488" s="32" t="str">
        <f aca="false">IF(B488="","",IFERROR(INDEX(L_RoleOK,MATCH(D488,L_RoleName,0)),"No"))</f>
        <v/>
      </c>
      <c r="N488" s="32" t="str">
        <f aca="false">IF(B488="","",_xlfn.TEXTJOIN(", ",TRUE(),IF(COUNTIF($B$3:$B$502,B488)&gt;1,"Duplicate name",""),IF(I488="","Source missing",""),IF(OR(J488="",J488&lt;S_Today-S_RecheckDays),"Re-check still in role","")))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8"/>
      <c r="K489" s="27"/>
      <c r="L489" s="27"/>
      <c r="M489" s="32" t="str">
        <f aca="false">IF(B489="","",IFERROR(INDEX(L_RoleOK,MATCH(D489,L_RoleName,0)),"No"))</f>
        <v/>
      </c>
      <c r="N489" s="32" t="str">
        <f aca="false">IF(B489="","",_xlfn.TEXTJOIN(", ",TRUE(),IF(COUNTIF($B$3:$B$502,B489)&gt;1,"Duplicate name",""),IF(I489="","Source missing",""),IF(OR(J489="",J489&lt;S_Today-S_RecheckDays),"Re-check still in role","")))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8"/>
      <c r="K490" s="27"/>
      <c r="L490" s="27"/>
      <c r="M490" s="32" t="str">
        <f aca="false">IF(B490="","",IFERROR(INDEX(L_RoleOK,MATCH(D490,L_RoleName,0)),"No"))</f>
        <v/>
      </c>
      <c r="N490" s="32" t="str">
        <f aca="false">IF(B490="","",_xlfn.TEXTJOIN(", ",TRUE(),IF(COUNTIF($B$3:$B$502,B490)&gt;1,"Duplicate name",""),IF(I490="","Source missing",""),IF(OR(J490="",J490&lt;S_Today-S_RecheckDays),"Re-check still in role","")))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8"/>
      <c r="K491" s="27"/>
      <c r="L491" s="27"/>
      <c r="M491" s="32" t="str">
        <f aca="false">IF(B491="","",IFERROR(INDEX(L_RoleOK,MATCH(D491,L_RoleName,0)),"No"))</f>
        <v/>
      </c>
      <c r="N491" s="32" t="str">
        <f aca="false">IF(B491="","",_xlfn.TEXTJOIN(", ",TRUE(),IF(COUNTIF($B$3:$B$502,B491)&gt;1,"Duplicate name",""),IF(I491="","Source missing",""),IF(OR(J491="",J491&lt;S_Today-S_RecheckDays),"Re-check still in role","")))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8"/>
      <c r="K492" s="27"/>
      <c r="L492" s="27"/>
      <c r="M492" s="32" t="str">
        <f aca="false">IF(B492="","",IFERROR(INDEX(L_RoleOK,MATCH(D492,L_RoleName,0)),"No"))</f>
        <v/>
      </c>
      <c r="N492" s="32" t="str">
        <f aca="false">IF(B492="","",_xlfn.TEXTJOIN(", ",TRUE(),IF(COUNTIF($B$3:$B$502,B492)&gt;1,"Duplicate name",""),IF(I492="","Source missing",""),IF(OR(J492="",J492&lt;S_Today-S_RecheckDays),"Re-check still in role","")))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8"/>
      <c r="K493" s="27"/>
      <c r="L493" s="27"/>
      <c r="M493" s="32" t="str">
        <f aca="false">IF(B493="","",IFERROR(INDEX(L_RoleOK,MATCH(D493,L_RoleName,0)),"No"))</f>
        <v/>
      </c>
      <c r="N493" s="32" t="str">
        <f aca="false">IF(B493="","",_xlfn.TEXTJOIN(", ",TRUE(),IF(COUNTIF($B$3:$B$502,B493)&gt;1,"Duplicate name",""),IF(I493="","Source missing",""),IF(OR(J493="",J493&lt;S_Today-S_RecheckDays),"Re-check still in role","")))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8"/>
      <c r="K494" s="27"/>
      <c r="L494" s="27"/>
      <c r="M494" s="32" t="str">
        <f aca="false">IF(B494="","",IFERROR(INDEX(L_RoleOK,MATCH(D494,L_RoleName,0)),"No"))</f>
        <v/>
      </c>
      <c r="N494" s="32" t="str">
        <f aca="false">IF(B494="","",_xlfn.TEXTJOIN(", ",TRUE(),IF(COUNTIF($B$3:$B$502,B494)&gt;1,"Duplicate name",""),IF(I494="","Source missing",""),IF(OR(J494="",J494&lt;S_Today-S_RecheckDays),"Re-check still in role","")))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8"/>
      <c r="K495" s="27"/>
      <c r="L495" s="27"/>
      <c r="M495" s="32" t="str">
        <f aca="false">IF(B495="","",IFERROR(INDEX(L_RoleOK,MATCH(D495,L_RoleName,0)),"No"))</f>
        <v/>
      </c>
      <c r="N495" s="32" t="str">
        <f aca="false">IF(B495="","",_xlfn.TEXTJOIN(", ",TRUE(),IF(COUNTIF($B$3:$B$502,B495)&gt;1,"Duplicate name",""),IF(I495="","Source missing",""),IF(OR(J495="",J495&lt;S_Today-S_RecheckDays),"Re-check still in role","")))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8"/>
      <c r="K496" s="27"/>
      <c r="L496" s="27"/>
      <c r="M496" s="32" t="str">
        <f aca="false">IF(B496="","",IFERROR(INDEX(L_RoleOK,MATCH(D496,L_RoleName,0)),"No"))</f>
        <v/>
      </c>
      <c r="N496" s="32" t="str">
        <f aca="false">IF(B496="","",_xlfn.TEXTJOIN(", ",TRUE(),IF(COUNTIF($B$3:$B$502,B496)&gt;1,"Duplicate name",""),IF(I496="","Source missing",""),IF(OR(J496="",J496&lt;S_Today-S_RecheckDays),"Re-check still in role","")))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8"/>
      <c r="K497" s="27"/>
      <c r="L497" s="27"/>
      <c r="M497" s="32" t="str">
        <f aca="false">IF(B497="","",IFERROR(INDEX(L_RoleOK,MATCH(D497,L_RoleName,0)),"No"))</f>
        <v/>
      </c>
      <c r="N497" s="32" t="str">
        <f aca="false">IF(B497="","",_xlfn.TEXTJOIN(", ",TRUE(),IF(COUNTIF($B$3:$B$502,B497)&gt;1,"Duplicate name",""),IF(I497="","Source missing",""),IF(OR(J497="",J497&lt;S_Today-S_RecheckDays),"Re-check still in role","")))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8"/>
      <c r="K498" s="27"/>
      <c r="L498" s="27"/>
      <c r="M498" s="32" t="str">
        <f aca="false">IF(B498="","",IFERROR(INDEX(L_RoleOK,MATCH(D498,L_RoleName,0)),"No"))</f>
        <v/>
      </c>
      <c r="N498" s="32" t="str">
        <f aca="false">IF(B498="","",_xlfn.TEXTJOIN(", ",TRUE(),IF(COUNTIF($B$3:$B$502,B498)&gt;1,"Duplicate name",""),IF(I498="","Source missing",""),IF(OR(J498="",J498&lt;S_Today-S_RecheckDays),"Re-check still in role","")))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8"/>
      <c r="K499" s="27"/>
      <c r="L499" s="27"/>
      <c r="M499" s="32" t="str">
        <f aca="false">IF(B499="","",IFERROR(INDEX(L_RoleOK,MATCH(D499,L_RoleName,0)),"No"))</f>
        <v/>
      </c>
      <c r="N499" s="32" t="str">
        <f aca="false">IF(B499="","",_xlfn.TEXTJOIN(", ",TRUE(),IF(COUNTIF($B$3:$B$502,B499)&gt;1,"Duplicate name",""),IF(I499="","Source missing",""),IF(OR(J499="",J499&lt;S_Today-S_RecheckDays),"Re-check still in role","")))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8"/>
      <c r="K500" s="27"/>
      <c r="L500" s="27"/>
      <c r="M500" s="32" t="str">
        <f aca="false">IF(B500="","",IFERROR(INDEX(L_RoleOK,MATCH(D500,L_RoleName,0)),"No"))</f>
        <v/>
      </c>
      <c r="N500" s="32" t="str">
        <f aca="false">IF(B500="","",_xlfn.TEXTJOIN(", ",TRUE(),IF(COUNTIF($B$3:$B$502,B500)&gt;1,"Duplicate name",""),IF(I500="","Source missing",""),IF(OR(J500="",J500&lt;S_Today-S_RecheckDays),"Re-check still in role","")))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8"/>
      <c r="K501" s="27"/>
      <c r="L501" s="27"/>
      <c r="M501" s="32" t="str">
        <f aca="false">IF(B501="","",IFERROR(INDEX(L_RoleOK,MATCH(D501,L_RoleName,0)),"No"))</f>
        <v/>
      </c>
      <c r="N501" s="32" t="str">
        <f aca="false">IF(B501="","",_xlfn.TEXTJOIN(", ",TRUE(),IF(COUNTIF($B$3:$B$502,B501)&gt;1,"Duplicate name",""),IF(I501="","Source missing",""),IF(OR(J501="",J501&lt;S_Today-S_RecheckDays),"Re-check still in role","")))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8"/>
      <c r="K502" s="27"/>
      <c r="L502" s="27"/>
      <c r="M502" s="32" t="str">
        <f aca="false">IF(B502="","",IFERROR(INDEX(L_RoleOK,MATCH(D502,L_RoleName,0)),"No"))</f>
        <v/>
      </c>
      <c r="N502" s="32" t="str">
        <f aca="false">IF(B502="","",_xlfn.TEXTJOIN(", ",TRUE(),IF(COUNTIF($B$3:$B$502,B502)&gt;1,"Duplicate name",""),IF(I502="","Source missing",""),IF(OR(J502="",J502&lt;S_Today-S_RecheckDays),"Re-check still in role","")))</f>
        <v/>
      </c>
    </row>
  </sheetData>
  <mergeCells count="1">
    <mergeCell ref="A1:L1"/>
  </mergeCells>
  <dataValidations count="6">
    <dataValidation allowBlank="true" error="Choose a value from the list." errorStyle="stop" errorTitle="Not in the list" operator="between" showDropDown="false" showErrorMessage="false" showInputMessage="false" sqref="A3:A502" type="list">
      <formula1>R_Company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D3:D502" type="list">
      <formula1>L_RoleName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E3:E502" type="list">
      <formula1>L_Relationship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F3:F502" type="list">
      <formula1>L_YesNoUnknown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K3:K502" type="list">
      <formula1>L_YesNo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L3:L502" type="list">
      <formula1>L_YesNo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AC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0" min="9" style="0" width="13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6" min="13" style="0" width="12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20"/>
    <col collapsed="false" customWidth="true" hidden="false" outlineLevel="0" max="20" min="20" style="0" width="24"/>
    <col collapsed="false" customWidth="true" hidden="false" outlineLevel="0" max="22" min="21" style="0" width="12"/>
    <col collapsed="false" customWidth="true" hidden="false" outlineLevel="0" max="23" min="23" style="0" width="34"/>
    <col collapsed="false" customWidth="true" hidden="false" outlineLevel="0" max="24" min="24" style="0" width="7"/>
    <col collapsed="false" customWidth="true" hidden="false" outlineLevel="0" max="25" min="25" style="0" width="18"/>
    <col collapsed="false" customWidth="true" hidden="false" outlineLevel="0" max="26" min="26" style="0" width="10"/>
    <col collapsed="false" customWidth="true" hidden="false" outlineLevel="0" max="27" min="27" style="0" width="30"/>
    <col collapsed="false" customWidth="true" hidden="false" outlineLevel="0" max="29" min="28" style="0" width="8"/>
  </cols>
  <sheetData>
    <row r="1" customFormat="false" ht="30" hidden="false" customHeight="true" outlineLevel="0" collapsed="false">
      <c r="A1" s="25" t="s">
        <v>302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customFormat="false" ht="31.5" hidden="false" customHeight="true" outlineLevel="0" collapsed="false">
      <c r="A2" s="26" t="s">
        <v>26</v>
      </c>
      <c r="B2" s="26" t="s">
        <v>27</v>
      </c>
      <c r="C2" s="26" t="s">
        <v>28</v>
      </c>
      <c r="D2" s="26" t="s">
        <v>29</v>
      </c>
      <c r="E2" s="26" t="s">
        <v>303</v>
      </c>
      <c r="F2" s="26" t="s">
        <v>304</v>
      </c>
      <c r="G2" s="26" t="s">
        <v>305</v>
      </c>
      <c r="H2" s="26" t="s">
        <v>134</v>
      </c>
      <c r="I2" s="26" t="s">
        <v>306</v>
      </c>
      <c r="J2" s="26" t="s">
        <v>307</v>
      </c>
      <c r="K2" s="26" t="s">
        <v>308</v>
      </c>
      <c r="L2" s="26" t="s">
        <v>30</v>
      </c>
      <c r="M2" s="26" t="s">
        <v>309</v>
      </c>
      <c r="N2" s="26" t="s">
        <v>310</v>
      </c>
      <c r="O2" s="26" t="s">
        <v>311</v>
      </c>
      <c r="P2" s="26" t="s">
        <v>32</v>
      </c>
      <c r="Q2" s="26" t="s">
        <v>46</v>
      </c>
      <c r="R2" s="26" t="s">
        <v>312</v>
      </c>
      <c r="S2" s="26" t="s">
        <v>59</v>
      </c>
      <c r="T2" s="26" t="s">
        <v>313</v>
      </c>
      <c r="U2" s="26" t="s">
        <v>314</v>
      </c>
      <c r="V2" s="26" t="s">
        <v>60</v>
      </c>
      <c r="W2" s="26" t="s">
        <v>315</v>
      </c>
      <c r="X2" s="31" t="s">
        <v>316</v>
      </c>
      <c r="Y2" s="31" t="s">
        <v>317</v>
      </c>
      <c r="Z2" s="31" t="s">
        <v>191</v>
      </c>
      <c r="AA2" s="31" t="s">
        <v>257</v>
      </c>
      <c r="AB2" s="31" t="s">
        <v>318</v>
      </c>
      <c r="AC2" s="31" t="s">
        <v>319</v>
      </c>
    </row>
    <row r="3" customFormat="false" ht="15" hidden="false" customHeight="false" outlineLevel="0" collapsed="false">
      <c r="A3" s="27" t="s">
        <v>159</v>
      </c>
      <c r="B3" s="27" t="s">
        <v>320</v>
      </c>
      <c r="C3" s="27" t="s">
        <v>321</v>
      </c>
      <c r="D3" s="27" t="s">
        <v>127</v>
      </c>
      <c r="E3" s="27" t="s">
        <v>283</v>
      </c>
      <c r="F3" s="27" t="s">
        <v>132</v>
      </c>
      <c r="G3" s="27" t="s">
        <v>322</v>
      </c>
      <c r="H3" s="27" t="s">
        <v>142</v>
      </c>
      <c r="I3" s="29" t="n">
        <v>40000</v>
      </c>
      <c r="J3" s="29" t="n">
        <v>40000</v>
      </c>
      <c r="K3" s="27"/>
      <c r="L3" s="27"/>
      <c r="M3" s="28"/>
      <c r="N3" s="28" t="n">
        <f aca="true">TODAY()-300</f>
        <v>46007</v>
      </c>
      <c r="O3" s="28" t="n">
        <f aca="true">TODAY()+60</f>
        <v>46367</v>
      </c>
      <c r="P3" s="28" t="n">
        <f aca="true">TODAY()+30</f>
        <v>46337</v>
      </c>
      <c r="Q3" s="27" t="s">
        <v>323</v>
      </c>
      <c r="R3" s="27" t="s">
        <v>324</v>
      </c>
      <c r="S3" s="27"/>
      <c r="T3" s="27"/>
      <c r="U3" s="28"/>
      <c r="V3" s="28" t="n">
        <f aca="true">TODAY()-300</f>
        <v>46007</v>
      </c>
      <c r="W3" s="27" t="s">
        <v>325</v>
      </c>
      <c r="X3" s="32" t="str">
        <f aca="false">IF(A3="","",IF(OR(C3="Planned",C3="Contacted",C3="Meeting",C3="Proposal sent",C3="Negotiation"),"Yes","No"))</f>
        <v>No</v>
      </c>
      <c r="Y3" s="32" t="str">
        <f aca="false">IF(A3="","",IF(AND(C3="Won",P3&lt;&gt;"",P3&lt;=S_Today+S_RenewalDays,COUNTIFS($A$3:$A$502,A3,$F$3:$F$502,"Yes",$X$3:$X$502,"Yes")=0),"Renewal due",IF(X3&lt;&gt;"Yes","",IF(OR(L3="",M3=""),"Missing next action",IF(M3&lt;S_Today,"Overdue",IF(AND(C3="Contacted",_xlfn.MAXIFS(Interactions!$A$3:$A$502,Interactions!$B$3:$B$502,A3,Interactions!$F$3:$F$502,"Sent by us")&gt;0,_xlfn.MAXIFS(Interactions!$A$3:$A$502,Interactions!$B$3:$B$502,A3,Interactions!$F$3:$F$502,"Sent by us")&lt;=S_Today-S_NoReplyDays,MAX(_xlfn.MAXIFS(Interactions!$A$3:$A$502,Interactions!$B$3:$B$502,A3,Interactions!$F$3:$F$502,"Received from them"),_xlfn.MAXIFS(Interactions!$A$3:$A$502,Interactions!$B$3:$B$502,A3,Interactions!$F$3:$F$502,"Two-way"))&lt;_xlfn.MAXIFS(Interactions!$A$3:$A$502,Interactions!$B$3:$B$502,A3,Interactions!$F$3:$F$502,"Sent by us")),"No reply",IF(M3&lt;=S_Today+7,"Due this week","")))))))</f>
        <v>Renewal due</v>
      </c>
      <c r="Z3" s="34" t="n">
        <f aca="false">IF(OR(A3="",Y3=""),"",IF(Y3="Renewal due",100000,IF(Y3="Overdue",200000,IF(Y3="No reply",300000,IF(Y3="Due this week",400000,500000))))+IF(Y3="Renewal due",P3-40000,IF(Y3="Missing next action",0,M3-40000))+ROW()/100000)</f>
        <v>106337.00003</v>
      </c>
      <c r="AA3" s="32" t="str">
        <f aca="false">IF(A3="","",_xlfn.TEXTJOIN(", ",TRUE(),IF(AND(X3="Yes",D3=""),"No owner",IF(AND(D3&lt;&gt;"",COUNTIFS(R_TeamName,D3,R_TeamActive,"No")&gt;0),"Needs new owner","")),IF(AND(OR(C3="Proposal sent",C3="Negotiation"),H3="",I3="",K3=""),"Add package or proposed value",""),IF(AND(C3="Won",OR(P3="",V3="")),"Won needs renewal date and closed on",""),IF(AND(C3="Won",G3="Cash",J3=""),"Add agreed value",""),IF(AND(C3="Lost",OR(S3="",V3="")),"Lost needs reason and closed on",""),IF(AND(C3="Nurture",OR(T3="",U3="")),"Nurture needs reason and date","")))</f>
        <v/>
      </c>
      <c r="AB3" s="34" t="str">
        <f aca="false">IF(AND(C3="Won",V3&lt;&gt;"",V3&gt;=S_SemStart,V3&lt;=S_SemEnd),V3+ROW()/100000,"")</f>
        <v/>
      </c>
      <c r="AC3" s="34" t="str">
        <f aca="false">IF(AND(C3="Lost",V3&lt;&gt;"",V3&gt;=S_SemStart,V3&lt;=S_SemEnd),V3+ROW()/100000,"")</f>
        <v/>
      </c>
    </row>
    <row r="4" customFormat="false" ht="15" hidden="false" customHeight="false" outlineLevel="0" collapsed="false">
      <c r="A4" s="27" t="s">
        <v>203</v>
      </c>
      <c r="B4" s="27" t="s">
        <v>326</v>
      </c>
      <c r="C4" s="27" t="s">
        <v>62</v>
      </c>
      <c r="D4" s="27" t="s">
        <v>129</v>
      </c>
      <c r="E4" s="27" t="s">
        <v>288</v>
      </c>
      <c r="F4" s="27" t="s">
        <v>132</v>
      </c>
      <c r="G4" s="27" t="s">
        <v>322</v>
      </c>
      <c r="H4" s="27"/>
      <c r="I4" s="29"/>
      <c r="J4" s="29"/>
      <c r="K4" s="27"/>
      <c r="L4" s="27" t="s">
        <v>327</v>
      </c>
      <c r="M4" s="28" t="n">
        <f aca="true">TODAY()-3</f>
        <v>46304</v>
      </c>
      <c r="N4" s="28"/>
      <c r="O4" s="28"/>
      <c r="P4" s="28"/>
      <c r="Q4" s="27" t="s">
        <v>292</v>
      </c>
      <c r="R4" s="27"/>
      <c r="S4" s="27"/>
      <c r="T4" s="27"/>
      <c r="U4" s="28"/>
      <c r="V4" s="28"/>
      <c r="W4" s="27" t="s">
        <v>328</v>
      </c>
      <c r="X4" s="32" t="str">
        <f aca="false">IF(A4="","",IF(OR(C4="Planned",C4="Contacted",C4="Meeting",C4="Proposal sent",C4="Negotiation"),"Yes","No"))</f>
        <v>Yes</v>
      </c>
      <c r="Y4" s="32" t="str">
        <f aca="false">IF(A4="","",IF(AND(C4="Won",P4&lt;&gt;"",P4&lt;=S_Today+S_RenewalDays,COUNTIFS($A$3:$A$502,A4,$F$3:$F$502,"Yes",$X$3:$X$502,"Yes")=0),"Renewal due",IF(X4&lt;&gt;"Yes","",IF(OR(L4="",M4=""),"Missing next action",IF(M4&lt;S_Today,"Overdue",IF(AND(C4="Contacted",_xlfn.MAXIFS(Interactions!$A$3:$A$502,Interactions!$B$3:$B$502,A4,Interactions!$F$3:$F$502,"Sent by us")&gt;0,_xlfn.MAXIFS(Interactions!$A$3:$A$502,Interactions!$B$3:$B$502,A4,Interactions!$F$3:$F$502,"Sent by us")&lt;=S_Today-S_NoReplyDays,MAX(_xlfn.MAXIFS(Interactions!$A$3:$A$502,Interactions!$B$3:$B$502,A4,Interactions!$F$3:$F$502,"Received from them"),_xlfn.MAXIFS(Interactions!$A$3:$A$502,Interactions!$B$3:$B$502,A4,Interactions!$F$3:$F$502,"Two-way"))&lt;_xlfn.MAXIFS(Interactions!$A$3:$A$502,Interactions!$B$3:$B$502,A4,Interactions!$F$3:$F$502,"Sent by us")),"No reply",IF(M4&lt;=S_Today+7,"Due this week","")))))))</f>
        <v>Overdue</v>
      </c>
      <c r="Z4" s="34" t="n">
        <f aca="false">IF(OR(A4="",Y4=""),"",IF(Y4="Renewal due",100000,IF(Y4="Overdue",200000,IF(Y4="No reply",300000,IF(Y4="Due this week",400000,500000))))+IF(Y4="Renewal due",P4-40000,IF(Y4="Missing next action",0,M4-40000))+ROW()/100000)</f>
        <v>206304.00004</v>
      </c>
      <c r="AA4" s="32" t="str">
        <f aca="false">IF(A4="","",_xlfn.TEXTJOIN(", ",TRUE(),IF(AND(X4="Yes",D4=""),"No owner",IF(AND(D4&lt;&gt;"",COUNTIFS(R_TeamName,D4,R_TeamActive,"No")&gt;0),"Needs new owner","")),IF(AND(OR(C4="Proposal sent",C4="Negotiation"),H4="",I4="",K4=""),"Add package or proposed value",""),IF(AND(C4="Won",OR(P4="",V4="")),"Won needs renewal date and closed on",""),IF(AND(C4="Won",G4="Cash",J4=""),"Add agreed value",""),IF(AND(C4="Lost",OR(S4="",V4="")),"Lost needs reason and closed on",""),IF(AND(C4="Nurture",OR(T4="",U4="")),"Nurture needs reason and date","")))</f>
        <v/>
      </c>
      <c r="AB4" s="34" t="str">
        <f aca="false">IF(AND(C4="Won",V4&lt;&gt;"",V4&gt;=S_SemStart,V4&lt;=S_SemEnd),V4+ROW()/100000,"")</f>
        <v/>
      </c>
      <c r="AC4" s="34" t="str">
        <f aca="false">IF(AND(C4="Lost",V4&lt;&gt;"",V4&gt;=S_SemStart,V4&lt;=S_SemEnd),V4+ROW()/100000,"")</f>
        <v/>
      </c>
    </row>
    <row r="5" customFormat="false" ht="15" hidden="false" customHeight="false" outlineLevel="0" collapsed="false">
      <c r="A5" s="27" t="s">
        <v>222</v>
      </c>
      <c r="B5" s="27" t="s">
        <v>329</v>
      </c>
      <c r="C5" s="27" t="s">
        <v>63</v>
      </c>
      <c r="D5" s="27" t="s">
        <v>124</v>
      </c>
      <c r="E5" s="27" t="s">
        <v>294</v>
      </c>
      <c r="F5" s="27" t="s">
        <v>132</v>
      </c>
      <c r="G5" s="27" t="s">
        <v>330</v>
      </c>
      <c r="H5" s="27"/>
      <c r="I5" s="29"/>
      <c r="J5" s="29"/>
      <c r="K5" s="27" t="s">
        <v>331</v>
      </c>
      <c r="L5" s="27" t="s">
        <v>332</v>
      </c>
      <c r="M5" s="28" t="n">
        <f aca="true">TODAY()+4</f>
        <v>46311</v>
      </c>
      <c r="N5" s="28"/>
      <c r="O5" s="28"/>
      <c r="P5" s="28"/>
      <c r="Q5" s="27" t="s">
        <v>292</v>
      </c>
      <c r="R5" s="27"/>
      <c r="S5" s="27"/>
      <c r="T5" s="27"/>
      <c r="U5" s="28"/>
      <c r="V5" s="28"/>
      <c r="W5" s="27" t="s">
        <v>333</v>
      </c>
      <c r="X5" s="32" t="str">
        <f aca="false">IF(A5="","",IF(OR(C5="Planned",C5="Contacted",C5="Meeting",C5="Proposal sent",C5="Negotiation"),"Yes","No"))</f>
        <v>Yes</v>
      </c>
      <c r="Y5" s="32" t="str">
        <f aca="false">IF(A5="","",IF(AND(C5="Won",P5&lt;&gt;"",P5&lt;=S_Today+S_RenewalDays,COUNTIFS($A$3:$A$502,A5,$F$3:$F$502,"Yes",$X$3:$X$502,"Yes")=0),"Renewal due",IF(X5&lt;&gt;"Yes","",IF(OR(L5="",M5=""),"Missing next action",IF(M5&lt;S_Today,"Overdue",IF(AND(C5="Contacted",_xlfn.MAXIFS(Interactions!$A$3:$A$502,Interactions!$B$3:$B$502,A5,Interactions!$F$3:$F$502,"Sent by us")&gt;0,_xlfn.MAXIFS(Interactions!$A$3:$A$502,Interactions!$B$3:$B$502,A5,Interactions!$F$3:$F$502,"Sent by us")&lt;=S_Today-S_NoReplyDays,MAX(_xlfn.MAXIFS(Interactions!$A$3:$A$502,Interactions!$B$3:$B$502,A5,Interactions!$F$3:$F$502,"Received from them"),_xlfn.MAXIFS(Interactions!$A$3:$A$502,Interactions!$B$3:$B$502,A5,Interactions!$F$3:$F$502,"Two-way"))&lt;_xlfn.MAXIFS(Interactions!$A$3:$A$502,Interactions!$B$3:$B$502,A5,Interactions!$F$3:$F$502,"Sent by us")),"No reply",IF(M5&lt;=S_Today+7,"Due this week","")))))))</f>
        <v>Due this week</v>
      </c>
      <c r="Z5" s="34" t="n">
        <f aca="false">IF(OR(A5="",Y5=""),"",IF(Y5="Renewal due",100000,IF(Y5="Overdue",200000,IF(Y5="No reply",300000,IF(Y5="Due this week",400000,500000))))+IF(Y5="Renewal due",P5-40000,IF(Y5="Missing next action",0,M5-40000))+ROW()/100000)</f>
        <v>406311.00005</v>
      </c>
      <c r="AA5" s="32" t="str">
        <f aca="false">IF(A5="","",_xlfn.TEXTJOIN(", ",TRUE(),IF(AND(X5="Yes",D5=""),"No owner",IF(AND(D5&lt;&gt;"",COUNTIFS(R_TeamName,D5,R_TeamActive,"No")&gt;0),"Needs new owner","")),IF(AND(OR(C5="Proposal sent",C5="Negotiation"),H5="",I5="",K5=""),"Add package or proposed value",""),IF(AND(C5="Won",OR(P5="",V5="")),"Won needs renewal date and closed on",""),IF(AND(C5="Won",G5="Cash",J5=""),"Add agreed value",""),IF(AND(C5="Lost",OR(S5="",V5="")),"Lost needs reason and closed on",""),IF(AND(C5="Nurture",OR(T5="",U5="")),"Nurture needs reason and date","")))</f>
        <v/>
      </c>
      <c r="AB5" s="34" t="str">
        <f aca="false">IF(AND(C5="Won",V5&lt;&gt;"",V5&gt;=S_SemStart,V5&lt;=S_SemEnd),V5+ROW()/100000,"")</f>
        <v/>
      </c>
      <c r="AC5" s="34" t="str">
        <f aca="false">IF(AND(C5="Lost",V5&lt;&gt;"",V5&gt;=S_SemStart,V5&lt;=S_SemEnd),V5+ROW()/100000,"")</f>
        <v/>
      </c>
    </row>
    <row r="6" customFormat="false" ht="15" hidden="false" customHeight="false" outlineLevel="0" collapsed="false">
      <c r="A6" s="27" t="s">
        <v>231</v>
      </c>
      <c r="B6" s="27" t="s">
        <v>334</v>
      </c>
      <c r="C6" s="27" t="s">
        <v>64</v>
      </c>
      <c r="D6" s="27" t="s">
        <v>130</v>
      </c>
      <c r="E6" s="27" t="s">
        <v>298</v>
      </c>
      <c r="F6" s="27" t="s">
        <v>132</v>
      </c>
      <c r="G6" s="27" t="s">
        <v>334</v>
      </c>
      <c r="H6" s="27"/>
      <c r="I6" s="29"/>
      <c r="J6" s="29"/>
      <c r="K6" s="27" t="s">
        <v>335</v>
      </c>
      <c r="L6" s="27" t="s">
        <v>336</v>
      </c>
      <c r="M6" s="28" t="n">
        <f aca="true">TODAY()+6</f>
        <v>46313</v>
      </c>
      <c r="N6" s="28"/>
      <c r="O6" s="28"/>
      <c r="P6" s="28"/>
      <c r="Q6" s="27" t="s">
        <v>292</v>
      </c>
      <c r="R6" s="27"/>
      <c r="S6" s="27"/>
      <c r="T6" s="27"/>
      <c r="U6" s="28"/>
      <c r="V6" s="28"/>
      <c r="W6" s="27" t="s">
        <v>337</v>
      </c>
      <c r="X6" s="32" t="str">
        <f aca="false">IF(A6="","",IF(OR(C6="Planned",C6="Contacted",C6="Meeting",C6="Proposal sent",C6="Negotiation"),"Yes","No"))</f>
        <v>Yes</v>
      </c>
      <c r="Y6" s="32" t="str">
        <f aca="false">IF(A6="","",IF(AND(C6="Won",P6&lt;&gt;"",P6&lt;=S_Today+S_RenewalDays,COUNTIFS($A$3:$A$502,A6,$F$3:$F$502,"Yes",$X$3:$X$502,"Yes")=0),"Renewal due",IF(X6&lt;&gt;"Yes","",IF(OR(L6="",M6=""),"Missing next action",IF(M6&lt;S_Today,"Overdue",IF(AND(C6="Contacted",_xlfn.MAXIFS(Interactions!$A$3:$A$502,Interactions!$B$3:$B$502,A6,Interactions!$F$3:$F$502,"Sent by us")&gt;0,_xlfn.MAXIFS(Interactions!$A$3:$A$502,Interactions!$B$3:$B$502,A6,Interactions!$F$3:$F$502,"Sent by us")&lt;=S_Today-S_NoReplyDays,MAX(_xlfn.MAXIFS(Interactions!$A$3:$A$502,Interactions!$B$3:$B$502,A6,Interactions!$F$3:$F$502,"Received from them"),_xlfn.MAXIFS(Interactions!$A$3:$A$502,Interactions!$B$3:$B$502,A6,Interactions!$F$3:$F$502,"Two-way"))&lt;_xlfn.MAXIFS(Interactions!$A$3:$A$502,Interactions!$B$3:$B$502,A6,Interactions!$F$3:$F$502,"Sent by us")),"No reply",IF(M6&lt;=S_Today+7,"Due this week","")))))))</f>
        <v>Due this week</v>
      </c>
      <c r="Z6" s="34" t="n">
        <f aca="false">IF(OR(A6="",Y6=""),"",IF(Y6="Renewal due",100000,IF(Y6="Overdue",200000,IF(Y6="No reply",300000,IF(Y6="Due this week",400000,500000))))+IF(Y6="Renewal due",P6-40000,IF(Y6="Missing next action",0,M6-40000))+ROW()/100000)</f>
        <v>406313.00006</v>
      </c>
      <c r="AA6" s="32" t="str">
        <f aca="false">IF(A6="","",_xlfn.TEXTJOIN(", ",TRUE(),IF(AND(X6="Yes",D6=""),"No owner",IF(AND(D6&lt;&gt;"",COUNTIFS(R_TeamName,D6,R_TeamActive,"No")&gt;0),"Needs new owner","")),IF(AND(OR(C6="Proposal sent",C6="Negotiation"),H6="",I6="",K6=""),"Add package or proposed value",""),IF(AND(C6="Won",OR(P6="",V6="")),"Won needs renewal date and closed on",""),IF(AND(C6="Won",G6="Cash",J6=""),"Add agreed value",""),IF(AND(C6="Lost",OR(S6="",V6="")),"Lost needs reason and closed on",""),IF(AND(C6="Nurture",OR(T6="",U6="")),"Nurture needs reason and date","")))</f>
        <v>Needs new owner</v>
      </c>
      <c r="AB6" s="34" t="str">
        <f aca="false">IF(AND(C6="Won",V6&lt;&gt;"",V6&gt;=S_SemStart,V6&lt;=S_SemEnd),V6+ROW()/100000,"")</f>
        <v/>
      </c>
      <c r="AC6" s="34" t="str">
        <f aca="false">IF(AND(C6="Lost",V6&lt;&gt;"",V6&gt;=S_SemStart,V6&lt;=S_SemEnd),V6+ROW()/100000,"")</f>
        <v/>
      </c>
    </row>
    <row r="7" customFormat="false" ht="15" hidden="false" customHeight="false" outlineLevel="0" collapsed="false">
      <c r="A7" s="27" t="s">
        <v>248</v>
      </c>
      <c r="B7" s="27" t="s">
        <v>338</v>
      </c>
      <c r="C7" s="27" t="s">
        <v>339</v>
      </c>
      <c r="D7" s="27" t="s">
        <v>129</v>
      </c>
      <c r="E7" s="27"/>
      <c r="F7" s="27" t="s">
        <v>132</v>
      </c>
      <c r="G7" s="27" t="s">
        <v>322</v>
      </c>
      <c r="H7" s="27" t="s">
        <v>138</v>
      </c>
      <c r="I7" s="29" t="n">
        <v>8000</v>
      </c>
      <c r="J7" s="29"/>
      <c r="K7" s="27"/>
      <c r="L7" s="27"/>
      <c r="M7" s="28"/>
      <c r="N7" s="28"/>
      <c r="O7" s="28"/>
      <c r="P7" s="28"/>
      <c r="Q7" s="27" t="s">
        <v>292</v>
      </c>
      <c r="R7" s="27"/>
      <c r="S7" s="27" t="s">
        <v>73</v>
      </c>
      <c r="T7" s="27"/>
      <c r="U7" s="28"/>
      <c r="V7" s="28" t="n">
        <f aca="true">TODAY()-25</f>
        <v>46282</v>
      </c>
      <c r="W7" s="27"/>
      <c r="X7" s="32" t="str">
        <f aca="false">IF(A7="","",IF(OR(C7="Planned",C7="Contacted",C7="Meeting",C7="Proposal sent",C7="Negotiation"),"Yes","No"))</f>
        <v>No</v>
      </c>
      <c r="Y7" s="32" t="str">
        <f aca="false">IF(A7="","",IF(AND(C7="Won",P7&lt;&gt;"",P7&lt;=S_Today+S_RenewalDays,COUNTIFS($A$3:$A$502,A7,$F$3:$F$502,"Yes",$X$3:$X$502,"Yes")=0),"Renewal due",IF(X7&lt;&gt;"Yes","",IF(OR(L7="",M7=""),"Missing next action",IF(M7&lt;S_Today,"Overdue",IF(AND(C7="Contacted",_xlfn.MAXIFS(Interactions!$A$3:$A$502,Interactions!$B$3:$B$502,A7,Interactions!$F$3:$F$502,"Sent by us")&gt;0,_xlfn.MAXIFS(Interactions!$A$3:$A$502,Interactions!$B$3:$B$502,A7,Interactions!$F$3:$F$502,"Sent by us")&lt;=S_Today-S_NoReplyDays,MAX(_xlfn.MAXIFS(Interactions!$A$3:$A$502,Interactions!$B$3:$B$502,A7,Interactions!$F$3:$F$502,"Received from them"),_xlfn.MAXIFS(Interactions!$A$3:$A$502,Interactions!$B$3:$B$502,A7,Interactions!$F$3:$F$502,"Two-way"))&lt;_xlfn.MAXIFS(Interactions!$A$3:$A$502,Interactions!$B$3:$B$502,A7,Interactions!$F$3:$F$502,"Sent by us")),"No reply",IF(M7&lt;=S_Today+7,"Due this week","")))))))</f>
        <v/>
      </c>
      <c r="Z7" s="34" t="str">
        <f aca="false">IF(OR(A7="",Y7=""),"",IF(Y7="Renewal due",100000,IF(Y7="Overdue",200000,IF(Y7="No reply",300000,IF(Y7="Due this week",400000,500000))))+IF(Y7="Renewal due",P7-40000,IF(Y7="Missing next action",0,M7-40000))+ROW()/100000)</f>
        <v/>
      </c>
      <c r="AA7" s="32" t="str">
        <f aca="false">IF(A7="","",_xlfn.TEXTJOIN(", ",TRUE(),IF(AND(X7="Yes",D7=""),"No owner",IF(AND(D7&lt;&gt;"",COUNTIFS(R_TeamName,D7,R_TeamActive,"No")&gt;0),"Needs new owner","")),IF(AND(OR(C7="Proposal sent",C7="Negotiation"),H7="",I7="",K7=""),"Add package or proposed value",""),IF(AND(C7="Won",OR(P7="",V7="")),"Won needs renewal date and closed on",""),IF(AND(C7="Won",G7="Cash",J7=""),"Add agreed value",""),IF(AND(C7="Lost",OR(S7="",V7="")),"Lost needs reason and closed on",""),IF(AND(C7="Nurture",OR(T7="",U7="")),"Nurture needs reason and date","")))</f>
        <v/>
      </c>
      <c r="AB7" s="34" t="str">
        <f aca="false">IF(AND(C7="Won",V7&lt;&gt;"",V7&gt;=S_SemStart,V7&lt;=S_SemEnd),V7+ROW()/100000,"")</f>
        <v/>
      </c>
      <c r="AC7" s="34" t="n">
        <f aca="false">IF(AND(C7="Lost",V7&lt;&gt;"",V7&gt;=S_SemStart,V7&lt;=S_SemEnd),V7+ROW()/100000,"")</f>
        <v>46282.00007</v>
      </c>
    </row>
    <row r="8" customFormat="false" ht="15" hidden="false" customHeight="false" outlineLevel="0" collapsed="false">
      <c r="A8" s="27" t="s">
        <v>246</v>
      </c>
      <c r="B8" s="27" t="s">
        <v>338</v>
      </c>
      <c r="C8" s="27" t="s">
        <v>321</v>
      </c>
      <c r="D8" s="27" t="s">
        <v>127</v>
      </c>
      <c r="E8" s="27"/>
      <c r="F8" s="27" t="s">
        <v>132</v>
      </c>
      <c r="G8" s="27" t="s">
        <v>322</v>
      </c>
      <c r="H8" s="27" t="s">
        <v>138</v>
      </c>
      <c r="I8" s="29" t="n">
        <v>8000</v>
      </c>
      <c r="J8" s="29" t="n">
        <v>8000</v>
      </c>
      <c r="K8" s="27"/>
      <c r="L8" s="27"/>
      <c r="M8" s="28"/>
      <c r="N8" s="28" t="n">
        <f aca="true">TODAY()-30</f>
        <v>46277</v>
      </c>
      <c r="O8" s="28" t="n">
        <f aca="true">TODAY()-29</f>
        <v>46278</v>
      </c>
      <c r="P8" s="28" t="n">
        <f aca="true">TODAY()+300</f>
        <v>46607</v>
      </c>
      <c r="Q8" s="27" t="s">
        <v>292</v>
      </c>
      <c r="R8" s="27"/>
      <c r="S8" s="27"/>
      <c r="T8" s="27"/>
      <c r="U8" s="28"/>
      <c r="V8" s="28" t="n">
        <f aca="true">TODAY()-40</f>
        <v>46267</v>
      </c>
      <c r="W8" s="27"/>
      <c r="X8" s="32" t="str">
        <f aca="false">IF(A8="","",IF(OR(C8="Planned",C8="Contacted",C8="Meeting",C8="Proposal sent",C8="Negotiation"),"Yes","No"))</f>
        <v>No</v>
      </c>
      <c r="Y8" s="32" t="str">
        <f aca="false">IF(A8="","",IF(AND(C8="Won",P8&lt;&gt;"",P8&lt;=S_Today+S_RenewalDays,COUNTIFS($A$3:$A$502,A8,$F$3:$F$502,"Yes",$X$3:$X$502,"Yes")=0),"Renewal due",IF(X8&lt;&gt;"Yes","",IF(OR(L8="",M8=""),"Missing next action",IF(M8&lt;S_Today,"Overdue",IF(AND(C8="Contacted",_xlfn.MAXIFS(Interactions!$A$3:$A$502,Interactions!$B$3:$B$502,A8,Interactions!$F$3:$F$502,"Sent by us")&gt;0,_xlfn.MAXIFS(Interactions!$A$3:$A$502,Interactions!$B$3:$B$502,A8,Interactions!$F$3:$F$502,"Sent by us")&lt;=S_Today-S_NoReplyDays,MAX(_xlfn.MAXIFS(Interactions!$A$3:$A$502,Interactions!$B$3:$B$502,A8,Interactions!$F$3:$F$502,"Received from them"),_xlfn.MAXIFS(Interactions!$A$3:$A$502,Interactions!$B$3:$B$502,A8,Interactions!$F$3:$F$502,"Two-way"))&lt;_xlfn.MAXIFS(Interactions!$A$3:$A$502,Interactions!$B$3:$B$502,A8,Interactions!$F$3:$F$502,"Sent by us")),"No reply",IF(M8&lt;=S_Today+7,"Due this week","")))))))</f>
        <v/>
      </c>
      <c r="Z8" s="34" t="str">
        <f aca="false">IF(OR(A8="",Y8=""),"",IF(Y8="Renewal due",100000,IF(Y8="Overdue",200000,IF(Y8="No reply",300000,IF(Y8="Due this week",400000,500000))))+IF(Y8="Renewal due",P8-40000,IF(Y8="Missing next action",0,M8-40000))+ROW()/100000)</f>
        <v/>
      </c>
      <c r="AA8" s="32" t="str">
        <f aca="false">IF(A8="","",_xlfn.TEXTJOIN(", ",TRUE(),IF(AND(X8="Yes",D8=""),"No owner",IF(AND(D8&lt;&gt;"",COUNTIFS(R_TeamName,D8,R_TeamActive,"No")&gt;0),"Needs new owner","")),IF(AND(OR(C8="Proposal sent",C8="Negotiation"),H8="",I8="",K8=""),"Add package or proposed value",""),IF(AND(C8="Won",OR(P8="",V8="")),"Won needs renewal date and closed on",""),IF(AND(C8="Won",G8="Cash",J8=""),"Add agreed value",""),IF(AND(C8="Lost",OR(S8="",V8="")),"Lost needs reason and closed on",""),IF(AND(C8="Nurture",OR(T8="",U8="")),"Nurture needs reason and date","")))</f>
        <v/>
      </c>
      <c r="AB8" s="34" t="n">
        <f aca="false">IF(AND(C8="Won",V8&lt;&gt;"",V8&gt;=S_SemStart,V8&lt;=S_SemEnd),V8+ROW()/100000,"")</f>
        <v>46267.00008</v>
      </c>
      <c r="AC8" s="34" t="str">
        <f aca="false">IF(AND(C8="Lost",V8&lt;&gt;"",V8&gt;=S_SemStart,V8&lt;=S_SemEnd),V8+ROW()/100000,"")</f>
        <v/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9"/>
      <c r="J9" s="29"/>
      <c r="K9" s="27"/>
      <c r="L9" s="27"/>
      <c r="M9" s="28"/>
      <c r="N9" s="28"/>
      <c r="O9" s="28"/>
      <c r="P9" s="28"/>
      <c r="Q9" s="27"/>
      <c r="R9" s="27"/>
      <c r="S9" s="27"/>
      <c r="T9" s="27"/>
      <c r="U9" s="28"/>
      <c r="V9" s="28"/>
      <c r="W9" s="27"/>
      <c r="X9" s="32" t="str">
        <f aca="false">IF(A9="","",IF(OR(C9="Planned",C9="Contacted",C9="Meeting",C9="Proposal sent",C9="Negotiation"),"Yes","No"))</f>
        <v/>
      </c>
      <c r="Y9" s="32" t="str">
        <f aca="false">IF(A9="","",IF(AND(C9="Won",P9&lt;&gt;"",P9&lt;=S_Today+S_RenewalDays,COUNTIFS($A$3:$A$502,A9,$F$3:$F$502,"Yes",$X$3:$X$502,"Yes")=0),"Renewal due",IF(X9&lt;&gt;"Yes","",IF(OR(L9="",M9=""),"Missing next action",IF(M9&lt;S_Today,"Overdue",IF(AND(C9="Contacted",_xlfn.MAXIFS(Interactions!$A$3:$A$502,Interactions!$B$3:$B$502,A9,Interactions!$F$3:$F$502,"Sent by us")&gt;0,_xlfn.MAXIFS(Interactions!$A$3:$A$502,Interactions!$B$3:$B$502,A9,Interactions!$F$3:$F$502,"Sent by us")&lt;=S_Today-S_NoReplyDays,MAX(_xlfn.MAXIFS(Interactions!$A$3:$A$502,Interactions!$B$3:$B$502,A9,Interactions!$F$3:$F$502,"Received from them"),_xlfn.MAXIFS(Interactions!$A$3:$A$502,Interactions!$B$3:$B$502,A9,Interactions!$F$3:$F$502,"Two-way"))&lt;_xlfn.MAXIFS(Interactions!$A$3:$A$502,Interactions!$B$3:$B$502,A9,Interactions!$F$3:$F$502,"Sent by us")),"No reply",IF(M9&lt;=S_Today+7,"Due this week","")))))))</f>
        <v/>
      </c>
      <c r="Z9" s="34" t="str">
        <f aca="false">IF(OR(A9="",Y9=""),"",IF(Y9="Renewal due",100000,IF(Y9="Overdue",200000,IF(Y9="No reply",300000,IF(Y9="Due this week",400000,500000))))+IF(Y9="Renewal due",P9-40000,IF(Y9="Missing next action",0,M9-40000))+ROW()/100000)</f>
        <v/>
      </c>
      <c r="AA9" s="32" t="str">
        <f aca="false">IF(A9="","",_xlfn.TEXTJOIN(", ",TRUE(),IF(AND(X9="Yes",D9=""),"No owner",IF(AND(D9&lt;&gt;"",COUNTIFS(R_TeamName,D9,R_TeamActive,"No")&gt;0),"Needs new owner","")),IF(AND(OR(C9="Proposal sent",C9="Negotiation"),H9="",I9="",K9=""),"Add package or proposed value",""),IF(AND(C9="Won",OR(P9="",V9="")),"Won needs renewal date and closed on",""),IF(AND(C9="Won",G9="Cash",J9=""),"Add agreed value",""),IF(AND(C9="Lost",OR(S9="",V9="")),"Lost needs reason and closed on",""),IF(AND(C9="Nurture",OR(T9="",U9="")),"Nurture needs reason and date","")))</f>
        <v/>
      </c>
      <c r="AB9" s="34" t="str">
        <f aca="false">IF(AND(C9="Won",V9&lt;&gt;"",V9&gt;=S_SemStart,V9&lt;=S_SemEnd),V9+ROW()/100000,"")</f>
        <v/>
      </c>
      <c r="AC9" s="34" t="str">
        <f aca="false">IF(AND(C9="Lost",V9&lt;&gt;"",V9&gt;=S_SemStart,V9&lt;=S_SemEnd),V9+ROW()/100000,"")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9"/>
      <c r="J10" s="29"/>
      <c r="K10" s="27"/>
      <c r="L10" s="27"/>
      <c r="M10" s="28"/>
      <c r="N10" s="28"/>
      <c r="O10" s="28"/>
      <c r="P10" s="28"/>
      <c r="Q10" s="27"/>
      <c r="R10" s="27"/>
      <c r="S10" s="27"/>
      <c r="T10" s="27"/>
      <c r="U10" s="28"/>
      <c r="V10" s="28"/>
      <c r="W10" s="27"/>
      <c r="X10" s="32" t="str">
        <f aca="false">IF(A10="","",IF(OR(C10="Planned",C10="Contacted",C10="Meeting",C10="Proposal sent",C10="Negotiation"),"Yes","No"))</f>
        <v/>
      </c>
      <c r="Y10" s="32" t="str">
        <f aca="false">IF(A10="","",IF(AND(C10="Won",P10&lt;&gt;"",P10&lt;=S_Today+S_RenewalDays,COUNTIFS($A$3:$A$502,A10,$F$3:$F$502,"Yes",$X$3:$X$502,"Yes")=0),"Renewal due",IF(X10&lt;&gt;"Yes","",IF(OR(L10="",M10=""),"Missing next action",IF(M10&lt;S_Today,"Overdue",IF(AND(C10="Contacted",_xlfn.MAXIFS(Interactions!$A$3:$A$502,Interactions!$B$3:$B$502,A10,Interactions!$F$3:$F$502,"Sent by us")&gt;0,_xlfn.MAXIFS(Interactions!$A$3:$A$502,Interactions!$B$3:$B$502,A10,Interactions!$F$3:$F$502,"Sent by us")&lt;=S_Today-S_NoReplyDays,MAX(_xlfn.MAXIFS(Interactions!$A$3:$A$502,Interactions!$B$3:$B$502,A10,Interactions!$F$3:$F$502,"Received from them"),_xlfn.MAXIFS(Interactions!$A$3:$A$502,Interactions!$B$3:$B$502,A10,Interactions!$F$3:$F$502,"Two-way"))&lt;_xlfn.MAXIFS(Interactions!$A$3:$A$502,Interactions!$B$3:$B$502,A10,Interactions!$F$3:$F$502,"Sent by us")),"No reply",IF(M10&lt;=S_Today+7,"Due this week","")))))))</f>
        <v/>
      </c>
      <c r="Z10" s="34" t="str">
        <f aca="false">IF(OR(A10="",Y10=""),"",IF(Y10="Renewal due",100000,IF(Y10="Overdue",200000,IF(Y10="No reply",300000,IF(Y10="Due this week",400000,500000))))+IF(Y10="Renewal due",P10-40000,IF(Y10="Missing next action",0,M10-40000))+ROW()/100000)</f>
        <v/>
      </c>
      <c r="AA10" s="32" t="str">
        <f aca="false">IF(A10="","",_xlfn.TEXTJOIN(", ",TRUE(),IF(AND(X10="Yes",D10=""),"No owner",IF(AND(D10&lt;&gt;"",COUNTIFS(R_TeamName,D10,R_TeamActive,"No")&gt;0),"Needs new owner","")),IF(AND(OR(C10="Proposal sent",C10="Negotiation"),H10="",I10="",K10=""),"Add package or proposed value",""),IF(AND(C10="Won",OR(P10="",V10="")),"Won needs renewal date and closed on",""),IF(AND(C10="Won",G10="Cash",J10=""),"Add agreed value",""),IF(AND(C10="Lost",OR(S10="",V10="")),"Lost needs reason and closed on",""),IF(AND(C10="Nurture",OR(T10="",U10="")),"Nurture needs reason and date","")))</f>
        <v/>
      </c>
      <c r="AB10" s="34" t="str">
        <f aca="false">IF(AND(C10="Won",V10&lt;&gt;"",V10&gt;=S_SemStart,V10&lt;=S_SemEnd),V10+ROW()/100000,"")</f>
        <v/>
      </c>
      <c r="AC10" s="34" t="str">
        <f aca="false">IF(AND(C10="Lost",V10&lt;&gt;"",V10&gt;=S_SemStart,V10&lt;=S_SemEnd),V10+ROW()/100000,"")</f>
        <v/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9"/>
      <c r="J11" s="29"/>
      <c r="K11" s="27"/>
      <c r="L11" s="27"/>
      <c r="M11" s="28"/>
      <c r="N11" s="28"/>
      <c r="O11" s="28"/>
      <c r="P11" s="28"/>
      <c r="Q11" s="27"/>
      <c r="R11" s="27"/>
      <c r="S11" s="27"/>
      <c r="T11" s="27"/>
      <c r="U11" s="28"/>
      <c r="V11" s="28"/>
      <c r="W11" s="27"/>
      <c r="X11" s="32" t="str">
        <f aca="false">IF(A11="","",IF(OR(C11="Planned",C11="Contacted",C11="Meeting",C11="Proposal sent",C11="Negotiation"),"Yes","No"))</f>
        <v/>
      </c>
      <c r="Y11" s="32" t="str">
        <f aca="false">IF(A11="","",IF(AND(C11="Won",P11&lt;&gt;"",P11&lt;=S_Today+S_RenewalDays,COUNTIFS($A$3:$A$502,A11,$F$3:$F$502,"Yes",$X$3:$X$502,"Yes")=0),"Renewal due",IF(X11&lt;&gt;"Yes","",IF(OR(L11="",M11=""),"Missing next action",IF(M11&lt;S_Today,"Overdue",IF(AND(C11="Contacted",_xlfn.MAXIFS(Interactions!$A$3:$A$502,Interactions!$B$3:$B$502,A11,Interactions!$F$3:$F$502,"Sent by us")&gt;0,_xlfn.MAXIFS(Interactions!$A$3:$A$502,Interactions!$B$3:$B$502,A11,Interactions!$F$3:$F$502,"Sent by us")&lt;=S_Today-S_NoReplyDays,MAX(_xlfn.MAXIFS(Interactions!$A$3:$A$502,Interactions!$B$3:$B$502,A11,Interactions!$F$3:$F$502,"Received from them"),_xlfn.MAXIFS(Interactions!$A$3:$A$502,Interactions!$B$3:$B$502,A11,Interactions!$F$3:$F$502,"Two-way"))&lt;_xlfn.MAXIFS(Interactions!$A$3:$A$502,Interactions!$B$3:$B$502,A11,Interactions!$F$3:$F$502,"Sent by us")),"No reply",IF(M11&lt;=S_Today+7,"Due this week","")))))))</f>
        <v/>
      </c>
      <c r="Z11" s="34" t="str">
        <f aca="false">IF(OR(A11="",Y11=""),"",IF(Y11="Renewal due",100000,IF(Y11="Overdue",200000,IF(Y11="No reply",300000,IF(Y11="Due this week",400000,500000))))+IF(Y11="Renewal due",P11-40000,IF(Y11="Missing next action",0,M11-40000))+ROW()/100000)</f>
        <v/>
      </c>
      <c r="AA11" s="32" t="str">
        <f aca="false">IF(A11="","",_xlfn.TEXTJOIN(", ",TRUE(),IF(AND(X11="Yes",D11=""),"No owner",IF(AND(D11&lt;&gt;"",COUNTIFS(R_TeamName,D11,R_TeamActive,"No")&gt;0),"Needs new owner","")),IF(AND(OR(C11="Proposal sent",C11="Negotiation"),H11="",I11="",K11=""),"Add package or proposed value",""),IF(AND(C11="Won",OR(P11="",V11="")),"Won needs renewal date and closed on",""),IF(AND(C11="Won",G11="Cash",J11=""),"Add agreed value",""),IF(AND(C11="Lost",OR(S11="",V11="")),"Lost needs reason and closed on",""),IF(AND(C11="Nurture",OR(T11="",U11="")),"Nurture needs reason and date","")))</f>
        <v/>
      </c>
      <c r="AB11" s="34" t="str">
        <f aca="false">IF(AND(C11="Won",V11&lt;&gt;"",V11&gt;=S_SemStart,V11&lt;=S_SemEnd),V11+ROW()/100000,"")</f>
        <v/>
      </c>
      <c r="AC11" s="34" t="str">
        <f aca="false">IF(AND(C11="Lost",V11&lt;&gt;"",V11&gt;=S_SemStart,V11&lt;=S_SemEnd),V11+ROW()/100000,"")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9"/>
      <c r="J12" s="29"/>
      <c r="K12" s="27"/>
      <c r="L12" s="27"/>
      <c r="M12" s="28"/>
      <c r="N12" s="28"/>
      <c r="O12" s="28"/>
      <c r="P12" s="28"/>
      <c r="Q12" s="27"/>
      <c r="R12" s="27"/>
      <c r="S12" s="27"/>
      <c r="T12" s="27"/>
      <c r="U12" s="28"/>
      <c r="V12" s="28"/>
      <c r="W12" s="27"/>
      <c r="X12" s="32" t="str">
        <f aca="false">IF(A12="","",IF(OR(C12="Planned",C12="Contacted",C12="Meeting",C12="Proposal sent",C12="Negotiation"),"Yes","No"))</f>
        <v/>
      </c>
      <c r="Y12" s="32" t="str">
        <f aca="false">IF(A12="","",IF(AND(C12="Won",P12&lt;&gt;"",P12&lt;=S_Today+S_RenewalDays,COUNTIFS($A$3:$A$502,A12,$F$3:$F$502,"Yes",$X$3:$X$502,"Yes")=0),"Renewal due",IF(X12&lt;&gt;"Yes","",IF(OR(L12="",M12=""),"Missing next action",IF(M12&lt;S_Today,"Overdue",IF(AND(C12="Contacted",_xlfn.MAXIFS(Interactions!$A$3:$A$502,Interactions!$B$3:$B$502,A12,Interactions!$F$3:$F$502,"Sent by us")&gt;0,_xlfn.MAXIFS(Interactions!$A$3:$A$502,Interactions!$B$3:$B$502,A12,Interactions!$F$3:$F$502,"Sent by us")&lt;=S_Today-S_NoReplyDays,MAX(_xlfn.MAXIFS(Interactions!$A$3:$A$502,Interactions!$B$3:$B$502,A12,Interactions!$F$3:$F$502,"Received from them"),_xlfn.MAXIFS(Interactions!$A$3:$A$502,Interactions!$B$3:$B$502,A12,Interactions!$F$3:$F$502,"Two-way"))&lt;_xlfn.MAXIFS(Interactions!$A$3:$A$502,Interactions!$B$3:$B$502,A12,Interactions!$F$3:$F$502,"Sent by us")),"No reply",IF(M12&lt;=S_Today+7,"Due this week","")))))))</f>
        <v/>
      </c>
      <c r="Z12" s="34" t="str">
        <f aca="false">IF(OR(A12="",Y12=""),"",IF(Y12="Renewal due",100000,IF(Y12="Overdue",200000,IF(Y12="No reply",300000,IF(Y12="Due this week",400000,500000))))+IF(Y12="Renewal due",P12-40000,IF(Y12="Missing next action",0,M12-40000))+ROW()/100000)</f>
        <v/>
      </c>
      <c r="AA12" s="32" t="str">
        <f aca="false">IF(A12="","",_xlfn.TEXTJOIN(", ",TRUE(),IF(AND(X12="Yes",D12=""),"No owner",IF(AND(D12&lt;&gt;"",COUNTIFS(R_TeamName,D12,R_TeamActive,"No")&gt;0),"Needs new owner","")),IF(AND(OR(C12="Proposal sent",C12="Negotiation"),H12="",I12="",K12=""),"Add package or proposed value",""),IF(AND(C12="Won",OR(P12="",V12="")),"Won needs renewal date and closed on",""),IF(AND(C12="Won",G12="Cash",J12=""),"Add agreed value",""),IF(AND(C12="Lost",OR(S12="",V12="")),"Lost needs reason and closed on",""),IF(AND(C12="Nurture",OR(T12="",U12="")),"Nurture needs reason and date","")))</f>
        <v/>
      </c>
      <c r="AB12" s="34" t="str">
        <f aca="false">IF(AND(C12="Won",V12&lt;&gt;"",V12&gt;=S_SemStart,V12&lt;=S_SemEnd),V12+ROW()/100000,"")</f>
        <v/>
      </c>
      <c r="AC12" s="34" t="str">
        <f aca="false">IF(AND(C12="Lost",V12&lt;&gt;"",V12&gt;=S_SemStart,V12&lt;=S_SemEnd),V12+ROW()/100000,"")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9"/>
      <c r="J13" s="29"/>
      <c r="K13" s="27"/>
      <c r="L13" s="27"/>
      <c r="M13" s="28"/>
      <c r="N13" s="28"/>
      <c r="O13" s="28"/>
      <c r="P13" s="28"/>
      <c r="Q13" s="27"/>
      <c r="R13" s="27"/>
      <c r="S13" s="27"/>
      <c r="T13" s="27"/>
      <c r="U13" s="28"/>
      <c r="V13" s="28"/>
      <c r="W13" s="27"/>
      <c r="X13" s="32" t="str">
        <f aca="false">IF(A13="","",IF(OR(C13="Planned",C13="Contacted",C13="Meeting",C13="Proposal sent",C13="Negotiation"),"Yes","No"))</f>
        <v/>
      </c>
      <c r="Y13" s="32" t="str">
        <f aca="false">IF(A13="","",IF(AND(C13="Won",P13&lt;&gt;"",P13&lt;=S_Today+S_RenewalDays,COUNTIFS($A$3:$A$502,A13,$F$3:$F$502,"Yes",$X$3:$X$502,"Yes")=0),"Renewal due",IF(X13&lt;&gt;"Yes","",IF(OR(L13="",M13=""),"Missing next action",IF(M13&lt;S_Today,"Overdue",IF(AND(C13="Contacted",_xlfn.MAXIFS(Interactions!$A$3:$A$502,Interactions!$B$3:$B$502,A13,Interactions!$F$3:$F$502,"Sent by us")&gt;0,_xlfn.MAXIFS(Interactions!$A$3:$A$502,Interactions!$B$3:$B$502,A13,Interactions!$F$3:$F$502,"Sent by us")&lt;=S_Today-S_NoReplyDays,MAX(_xlfn.MAXIFS(Interactions!$A$3:$A$502,Interactions!$B$3:$B$502,A13,Interactions!$F$3:$F$502,"Received from them"),_xlfn.MAXIFS(Interactions!$A$3:$A$502,Interactions!$B$3:$B$502,A13,Interactions!$F$3:$F$502,"Two-way"))&lt;_xlfn.MAXIFS(Interactions!$A$3:$A$502,Interactions!$B$3:$B$502,A13,Interactions!$F$3:$F$502,"Sent by us")),"No reply",IF(M13&lt;=S_Today+7,"Due this week","")))))))</f>
        <v/>
      </c>
      <c r="Z13" s="34" t="str">
        <f aca="false">IF(OR(A13="",Y13=""),"",IF(Y13="Renewal due",100000,IF(Y13="Overdue",200000,IF(Y13="No reply",300000,IF(Y13="Due this week",400000,500000))))+IF(Y13="Renewal due",P13-40000,IF(Y13="Missing next action",0,M13-40000))+ROW()/100000)</f>
        <v/>
      </c>
      <c r="AA13" s="32" t="str">
        <f aca="false">IF(A13="","",_xlfn.TEXTJOIN(", ",TRUE(),IF(AND(X13="Yes",D13=""),"No owner",IF(AND(D13&lt;&gt;"",COUNTIFS(R_TeamName,D13,R_TeamActive,"No")&gt;0),"Needs new owner","")),IF(AND(OR(C13="Proposal sent",C13="Negotiation"),H13="",I13="",K13=""),"Add package or proposed value",""),IF(AND(C13="Won",OR(P13="",V13="")),"Won needs renewal date and closed on",""),IF(AND(C13="Won",G13="Cash",J13=""),"Add agreed value",""),IF(AND(C13="Lost",OR(S13="",V13="")),"Lost needs reason and closed on",""),IF(AND(C13="Nurture",OR(T13="",U13="")),"Nurture needs reason and date","")))</f>
        <v/>
      </c>
      <c r="AB13" s="34" t="str">
        <f aca="false">IF(AND(C13="Won",V13&lt;&gt;"",V13&gt;=S_SemStart,V13&lt;=S_SemEnd),V13+ROW()/100000,"")</f>
        <v/>
      </c>
      <c r="AC13" s="34" t="str">
        <f aca="false">IF(AND(C13="Lost",V13&lt;&gt;"",V13&gt;=S_SemStart,V13&lt;=S_SemEnd),V13+ROW()/100000,"")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9"/>
      <c r="J14" s="29"/>
      <c r="K14" s="27"/>
      <c r="L14" s="27"/>
      <c r="M14" s="28"/>
      <c r="N14" s="28"/>
      <c r="O14" s="28"/>
      <c r="P14" s="28"/>
      <c r="Q14" s="27"/>
      <c r="R14" s="27"/>
      <c r="S14" s="27"/>
      <c r="T14" s="27"/>
      <c r="U14" s="28"/>
      <c r="V14" s="28"/>
      <c r="W14" s="27"/>
      <c r="X14" s="32" t="str">
        <f aca="false">IF(A14="","",IF(OR(C14="Planned",C14="Contacted",C14="Meeting",C14="Proposal sent",C14="Negotiation"),"Yes","No"))</f>
        <v/>
      </c>
      <c r="Y14" s="32" t="str">
        <f aca="false">IF(A14="","",IF(AND(C14="Won",P14&lt;&gt;"",P14&lt;=S_Today+S_RenewalDays,COUNTIFS($A$3:$A$502,A14,$F$3:$F$502,"Yes",$X$3:$X$502,"Yes")=0),"Renewal due",IF(X14&lt;&gt;"Yes","",IF(OR(L14="",M14=""),"Missing next action",IF(M14&lt;S_Today,"Overdue",IF(AND(C14="Contacted",_xlfn.MAXIFS(Interactions!$A$3:$A$502,Interactions!$B$3:$B$502,A14,Interactions!$F$3:$F$502,"Sent by us")&gt;0,_xlfn.MAXIFS(Interactions!$A$3:$A$502,Interactions!$B$3:$B$502,A14,Interactions!$F$3:$F$502,"Sent by us")&lt;=S_Today-S_NoReplyDays,MAX(_xlfn.MAXIFS(Interactions!$A$3:$A$502,Interactions!$B$3:$B$502,A14,Interactions!$F$3:$F$502,"Received from them"),_xlfn.MAXIFS(Interactions!$A$3:$A$502,Interactions!$B$3:$B$502,A14,Interactions!$F$3:$F$502,"Two-way"))&lt;_xlfn.MAXIFS(Interactions!$A$3:$A$502,Interactions!$B$3:$B$502,A14,Interactions!$F$3:$F$502,"Sent by us")),"No reply",IF(M14&lt;=S_Today+7,"Due this week","")))))))</f>
        <v/>
      </c>
      <c r="Z14" s="34" t="str">
        <f aca="false">IF(OR(A14="",Y14=""),"",IF(Y14="Renewal due",100000,IF(Y14="Overdue",200000,IF(Y14="No reply",300000,IF(Y14="Due this week",400000,500000))))+IF(Y14="Renewal due",P14-40000,IF(Y14="Missing next action",0,M14-40000))+ROW()/100000)</f>
        <v/>
      </c>
      <c r="AA14" s="32" t="str">
        <f aca="false">IF(A14="","",_xlfn.TEXTJOIN(", ",TRUE(),IF(AND(X14="Yes",D14=""),"No owner",IF(AND(D14&lt;&gt;"",COUNTIFS(R_TeamName,D14,R_TeamActive,"No")&gt;0),"Needs new owner","")),IF(AND(OR(C14="Proposal sent",C14="Negotiation"),H14="",I14="",K14=""),"Add package or proposed value",""),IF(AND(C14="Won",OR(P14="",V14="")),"Won needs renewal date and closed on",""),IF(AND(C14="Won",G14="Cash",J14=""),"Add agreed value",""),IF(AND(C14="Lost",OR(S14="",V14="")),"Lost needs reason and closed on",""),IF(AND(C14="Nurture",OR(T14="",U14="")),"Nurture needs reason and date","")))</f>
        <v/>
      </c>
      <c r="AB14" s="34" t="str">
        <f aca="false">IF(AND(C14="Won",V14&lt;&gt;"",V14&gt;=S_SemStart,V14&lt;=S_SemEnd),V14+ROW()/100000,"")</f>
        <v/>
      </c>
      <c r="AC14" s="34" t="str">
        <f aca="false">IF(AND(C14="Lost",V14&lt;&gt;"",V14&gt;=S_SemStart,V14&lt;=S_SemEnd),V14+ROW()/100000,"")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9"/>
      <c r="J15" s="29"/>
      <c r="K15" s="27"/>
      <c r="L15" s="27"/>
      <c r="M15" s="28"/>
      <c r="N15" s="28"/>
      <c r="O15" s="28"/>
      <c r="P15" s="28"/>
      <c r="Q15" s="27"/>
      <c r="R15" s="27"/>
      <c r="S15" s="27"/>
      <c r="T15" s="27"/>
      <c r="U15" s="28"/>
      <c r="V15" s="28"/>
      <c r="W15" s="27"/>
      <c r="X15" s="32" t="str">
        <f aca="false">IF(A15="","",IF(OR(C15="Planned",C15="Contacted",C15="Meeting",C15="Proposal sent",C15="Negotiation"),"Yes","No"))</f>
        <v/>
      </c>
      <c r="Y15" s="32" t="str">
        <f aca="false">IF(A15="","",IF(AND(C15="Won",P15&lt;&gt;"",P15&lt;=S_Today+S_RenewalDays,COUNTIFS($A$3:$A$502,A15,$F$3:$F$502,"Yes",$X$3:$X$502,"Yes")=0),"Renewal due",IF(X15&lt;&gt;"Yes","",IF(OR(L15="",M15=""),"Missing next action",IF(M15&lt;S_Today,"Overdue",IF(AND(C15="Contacted",_xlfn.MAXIFS(Interactions!$A$3:$A$502,Interactions!$B$3:$B$502,A15,Interactions!$F$3:$F$502,"Sent by us")&gt;0,_xlfn.MAXIFS(Interactions!$A$3:$A$502,Interactions!$B$3:$B$502,A15,Interactions!$F$3:$F$502,"Sent by us")&lt;=S_Today-S_NoReplyDays,MAX(_xlfn.MAXIFS(Interactions!$A$3:$A$502,Interactions!$B$3:$B$502,A15,Interactions!$F$3:$F$502,"Received from them"),_xlfn.MAXIFS(Interactions!$A$3:$A$502,Interactions!$B$3:$B$502,A15,Interactions!$F$3:$F$502,"Two-way"))&lt;_xlfn.MAXIFS(Interactions!$A$3:$A$502,Interactions!$B$3:$B$502,A15,Interactions!$F$3:$F$502,"Sent by us")),"No reply",IF(M15&lt;=S_Today+7,"Due this week","")))))))</f>
        <v/>
      </c>
      <c r="Z15" s="34" t="str">
        <f aca="false">IF(OR(A15="",Y15=""),"",IF(Y15="Renewal due",100000,IF(Y15="Overdue",200000,IF(Y15="No reply",300000,IF(Y15="Due this week",400000,500000))))+IF(Y15="Renewal due",P15-40000,IF(Y15="Missing next action",0,M15-40000))+ROW()/100000)</f>
        <v/>
      </c>
      <c r="AA15" s="32" t="str">
        <f aca="false">IF(A15="","",_xlfn.TEXTJOIN(", ",TRUE(),IF(AND(X15="Yes",D15=""),"No owner",IF(AND(D15&lt;&gt;"",COUNTIFS(R_TeamName,D15,R_TeamActive,"No")&gt;0),"Needs new owner","")),IF(AND(OR(C15="Proposal sent",C15="Negotiation"),H15="",I15="",K15=""),"Add package or proposed value",""),IF(AND(C15="Won",OR(P15="",V15="")),"Won needs renewal date and closed on",""),IF(AND(C15="Won",G15="Cash",J15=""),"Add agreed value",""),IF(AND(C15="Lost",OR(S15="",V15="")),"Lost needs reason and closed on",""),IF(AND(C15="Nurture",OR(T15="",U15="")),"Nurture needs reason and date","")))</f>
        <v/>
      </c>
      <c r="AB15" s="34" t="str">
        <f aca="false">IF(AND(C15="Won",V15&lt;&gt;"",V15&gt;=S_SemStart,V15&lt;=S_SemEnd),V15+ROW()/100000,"")</f>
        <v/>
      </c>
      <c r="AC15" s="34" t="str">
        <f aca="false">IF(AND(C15="Lost",V15&lt;&gt;"",V15&gt;=S_SemStart,V15&lt;=S_SemEnd),V15+ROW()/100000,"")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9"/>
      <c r="J16" s="29"/>
      <c r="K16" s="27"/>
      <c r="L16" s="27"/>
      <c r="M16" s="28"/>
      <c r="N16" s="28"/>
      <c r="O16" s="28"/>
      <c r="P16" s="28"/>
      <c r="Q16" s="27"/>
      <c r="R16" s="27"/>
      <c r="S16" s="27"/>
      <c r="T16" s="27"/>
      <c r="U16" s="28"/>
      <c r="V16" s="28"/>
      <c r="W16" s="27"/>
      <c r="X16" s="32" t="str">
        <f aca="false">IF(A16="","",IF(OR(C16="Planned",C16="Contacted",C16="Meeting",C16="Proposal sent",C16="Negotiation"),"Yes","No"))</f>
        <v/>
      </c>
      <c r="Y16" s="32" t="str">
        <f aca="false">IF(A16="","",IF(AND(C16="Won",P16&lt;&gt;"",P16&lt;=S_Today+S_RenewalDays,COUNTIFS($A$3:$A$502,A16,$F$3:$F$502,"Yes",$X$3:$X$502,"Yes")=0),"Renewal due",IF(X16&lt;&gt;"Yes","",IF(OR(L16="",M16=""),"Missing next action",IF(M16&lt;S_Today,"Overdue",IF(AND(C16="Contacted",_xlfn.MAXIFS(Interactions!$A$3:$A$502,Interactions!$B$3:$B$502,A16,Interactions!$F$3:$F$502,"Sent by us")&gt;0,_xlfn.MAXIFS(Interactions!$A$3:$A$502,Interactions!$B$3:$B$502,A16,Interactions!$F$3:$F$502,"Sent by us")&lt;=S_Today-S_NoReplyDays,MAX(_xlfn.MAXIFS(Interactions!$A$3:$A$502,Interactions!$B$3:$B$502,A16,Interactions!$F$3:$F$502,"Received from them"),_xlfn.MAXIFS(Interactions!$A$3:$A$502,Interactions!$B$3:$B$502,A16,Interactions!$F$3:$F$502,"Two-way"))&lt;_xlfn.MAXIFS(Interactions!$A$3:$A$502,Interactions!$B$3:$B$502,A16,Interactions!$F$3:$F$502,"Sent by us")),"No reply",IF(M16&lt;=S_Today+7,"Due this week","")))))))</f>
        <v/>
      </c>
      <c r="Z16" s="34" t="str">
        <f aca="false">IF(OR(A16="",Y16=""),"",IF(Y16="Renewal due",100000,IF(Y16="Overdue",200000,IF(Y16="No reply",300000,IF(Y16="Due this week",400000,500000))))+IF(Y16="Renewal due",P16-40000,IF(Y16="Missing next action",0,M16-40000))+ROW()/100000)</f>
        <v/>
      </c>
      <c r="AA16" s="32" t="str">
        <f aca="false">IF(A16="","",_xlfn.TEXTJOIN(", ",TRUE(),IF(AND(X16="Yes",D16=""),"No owner",IF(AND(D16&lt;&gt;"",COUNTIFS(R_TeamName,D16,R_TeamActive,"No")&gt;0),"Needs new owner","")),IF(AND(OR(C16="Proposal sent",C16="Negotiation"),H16="",I16="",K16=""),"Add package or proposed value",""),IF(AND(C16="Won",OR(P16="",V16="")),"Won needs renewal date and closed on",""),IF(AND(C16="Won",G16="Cash",J16=""),"Add agreed value",""),IF(AND(C16="Lost",OR(S16="",V16="")),"Lost needs reason and closed on",""),IF(AND(C16="Nurture",OR(T16="",U16="")),"Nurture needs reason and date","")))</f>
        <v/>
      </c>
      <c r="AB16" s="34" t="str">
        <f aca="false">IF(AND(C16="Won",V16&lt;&gt;"",V16&gt;=S_SemStart,V16&lt;=S_SemEnd),V16+ROW()/100000,"")</f>
        <v/>
      </c>
      <c r="AC16" s="34" t="str">
        <f aca="false">IF(AND(C16="Lost",V16&lt;&gt;"",V16&gt;=S_SemStart,V16&lt;=S_SemEnd),V16+ROW()/100000,"")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9"/>
      <c r="J17" s="29"/>
      <c r="K17" s="27"/>
      <c r="L17" s="27"/>
      <c r="M17" s="28"/>
      <c r="N17" s="28"/>
      <c r="O17" s="28"/>
      <c r="P17" s="28"/>
      <c r="Q17" s="27"/>
      <c r="R17" s="27"/>
      <c r="S17" s="27"/>
      <c r="T17" s="27"/>
      <c r="U17" s="28"/>
      <c r="V17" s="28"/>
      <c r="W17" s="27"/>
      <c r="X17" s="32" t="str">
        <f aca="false">IF(A17="","",IF(OR(C17="Planned",C17="Contacted",C17="Meeting",C17="Proposal sent",C17="Negotiation"),"Yes","No"))</f>
        <v/>
      </c>
      <c r="Y17" s="32" t="str">
        <f aca="false">IF(A17="","",IF(AND(C17="Won",P17&lt;&gt;"",P17&lt;=S_Today+S_RenewalDays,COUNTIFS($A$3:$A$502,A17,$F$3:$F$502,"Yes",$X$3:$X$502,"Yes")=0),"Renewal due",IF(X17&lt;&gt;"Yes","",IF(OR(L17="",M17=""),"Missing next action",IF(M17&lt;S_Today,"Overdue",IF(AND(C17="Contacted",_xlfn.MAXIFS(Interactions!$A$3:$A$502,Interactions!$B$3:$B$502,A17,Interactions!$F$3:$F$502,"Sent by us")&gt;0,_xlfn.MAXIFS(Interactions!$A$3:$A$502,Interactions!$B$3:$B$502,A17,Interactions!$F$3:$F$502,"Sent by us")&lt;=S_Today-S_NoReplyDays,MAX(_xlfn.MAXIFS(Interactions!$A$3:$A$502,Interactions!$B$3:$B$502,A17,Interactions!$F$3:$F$502,"Received from them"),_xlfn.MAXIFS(Interactions!$A$3:$A$502,Interactions!$B$3:$B$502,A17,Interactions!$F$3:$F$502,"Two-way"))&lt;_xlfn.MAXIFS(Interactions!$A$3:$A$502,Interactions!$B$3:$B$502,A17,Interactions!$F$3:$F$502,"Sent by us")),"No reply",IF(M17&lt;=S_Today+7,"Due this week","")))))))</f>
        <v/>
      </c>
      <c r="Z17" s="34" t="str">
        <f aca="false">IF(OR(A17="",Y17=""),"",IF(Y17="Renewal due",100000,IF(Y17="Overdue",200000,IF(Y17="No reply",300000,IF(Y17="Due this week",400000,500000))))+IF(Y17="Renewal due",P17-40000,IF(Y17="Missing next action",0,M17-40000))+ROW()/100000)</f>
        <v/>
      </c>
      <c r="AA17" s="32" t="str">
        <f aca="false">IF(A17="","",_xlfn.TEXTJOIN(", ",TRUE(),IF(AND(X17="Yes",D17=""),"No owner",IF(AND(D17&lt;&gt;"",COUNTIFS(R_TeamName,D17,R_TeamActive,"No")&gt;0),"Needs new owner","")),IF(AND(OR(C17="Proposal sent",C17="Negotiation"),H17="",I17="",K17=""),"Add package or proposed value",""),IF(AND(C17="Won",OR(P17="",V17="")),"Won needs renewal date and closed on",""),IF(AND(C17="Won",G17="Cash",J17=""),"Add agreed value",""),IF(AND(C17="Lost",OR(S17="",V17="")),"Lost needs reason and closed on",""),IF(AND(C17="Nurture",OR(T17="",U17="")),"Nurture needs reason and date","")))</f>
        <v/>
      </c>
      <c r="AB17" s="34" t="str">
        <f aca="false">IF(AND(C17="Won",V17&lt;&gt;"",V17&gt;=S_SemStart,V17&lt;=S_SemEnd),V17+ROW()/100000,"")</f>
        <v/>
      </c>
      <c r="AC17" s="34" t="str">
        <f aca="false">IF(AND(C17="Lost",V17&lt;&gt;"",V17&gt;=S_SemStart,V17&lt;=S_SemEnd),V17+ROW()/100000,"")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9"/>
      <c r="J18" s="29"/>
      <c r="K18" s="27"/>
      <c r="L18" s="27"/>
      <c r="M18" s="28"/>
      <c r="N18" s="28"/>
      <c r="O18" s="28"/>
      <c r="P18" s="28"/>
      <c r="Q18" s="27"/>
      <c r="R18" s="27"/>
      <c r="S18" s="27"/>
      <c r="T18" s="27"/>
      <c r="U18" s="28"/>
      <c r="V18" s="28"/>
      <c r="W18" s="27"/>
      <c r="X18" s="32" t="str">
        <f aca="false">IF(A18="","",IF(OR(C18="Planned",C18="Contacted",C18="Meeting",C18="Proposal sent",C18="Negotiation"),"Yes","No"))</f>
        <v/>
      </c>
      <c r="Y18" s="32" t="str">
        <f aca="false">IF(A18="","",IF(AND(C18="Won",P18&lt;&gt;"",P18&lt;=S_Today+S_RenewalDays,COUNTIFS($A$3:$A$502,A18,$F$3:$F$502,"Yes",$X$3:$X$502,"Yes")=0),"Renewal due",IF(X18&lt;&gt;"Yes","",IF(OR(L18="",M18=""),"Missing next action",IF(M18&lt;S_Today,"Overdue",IF(AND(C18="Contacted",_xlfn.MAXIFS(Interactions!$A$3:$A$502,Interactions!$B$3:$B$502,A18,Interactions!$F$3:$F$502,"Sent by us")&gt;0,_xlfn.MAXIFS(Interactions!$A$3:$A$502,Interactions!$B$3:$B$502,A18,Interactions!$F$3:$F$502,"Sent by us")&lt;=S_Today-S_NoReplyDays,MAX(_xlfn.MAXIFS(Interactions!$A$3:$A$502,Interactions!$B$3:$B$502,A18,Interactions!$F$3:$F$502,"Received from them"),_xlfn.MAXIFS(Interactions!$A$3:$A$502,Interactions!$B$3:$B$502,A18,Interactions!$F$3:$F$502,"Two-way"))&lt;_xlfn.MAXIFS(Interactions!$A$3:$A$502,Interactions!$B$3:$B$502,A18,Interactions!$F$3:$F$502,"Sent by us")),"No reply",IF(M18&lt;=S_Today+7,"Due this week","")))))))</f>
        <v/>
      </c>
      <c r="Z18" s="34" t="str">
        <f aca="false">IF(OR(A18="",Y18=""),"",IF(Y18="Renewal due",100000,IF(Y18="Overdue",200000,IF(Y18="No reply",300000,IF(Y18="Due this week",400000,500000))))+IF(Y18="Renewal due",P18-40000,IF(Y18="Missing next action",0,M18-40000))+ROW()/100000)</f>
        <v/>
      </c>
      <c r="AA18" s="32" t="str">
        <f aca="false">IF(A18="","",_xlfn.TEXTJOIN(", ",TRUE(),IF(AND(X18="Yes",D18=""),"No owner",IF(AND(D18&lt;&gt;"",COUNTIFS(R_TeamName,D18,R_TeamActive,"No")&gt;0),"Needs new owner","")),IF(AND(OR(C18="Proposal sent",C18="Negotiation"),H18="",I18="",K18=""),"Add package or proposed value",""),IF(AND(C18="Won",OR(P18="",V18="")),"Won needs renewal date and closed on",""),IF(AND(C18="Won",G18="Cash",J18=""),"Add agreed value",""),IF(AND(C18="Lost",OR(S18="",V18="")),"Lost needs reason and closed on",""),IF(AND(C18="Nurture",OR(T18="",U18="")),"Nurture needs reason and date","")))</f>
        <v/>
      </c>
      <c r="AB18" s="34" t="str">
        <f aca="false">IF(AND(C18="Won",V18&lt;&gt;"",V18&gt;=S_SemStart,V18&lt;=S_SemEnd),V18+ROW()/100000,"")</f>
        <v/>
      </c>
      <c r="AC18" s="34" t="str">
        <f aca="false">IF(AND(C18="Lost",V18&lt;&gt;"",V18&gt;=S_SemStart,V18&lt;=S_SemEnd),V18+ROW()/100000,"")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9"/>
      <c r="J19" s="29"/>
      <c r="K19" s="27"/>
      <c r="L19" s="27"/>
      <c r="M19" s="28"/>
      <c r="N19" s="28"/>
      <c r="O19" s="28"/>
      <c r="P19" s="28"/>
      <c r="Q19" s="27"/>
      <c r="R19" s="27"/>
      <c r="S19" s="27"/>
      <c r="T19" s="27"/>
      <c r="U19" s="28"/>
      <c r="V19" s="28"/>
      <c r="W19" s="27"/>
      <c r="X19" s="32" t="str">
        <f aca="false">IF(A19="","",IF(OR(C19="Planned",C19="Contacted",C19="Meeting",C19="Proposal sent",C19="Negotiation"),"Yes","No"))</f>
        <v/>
      </c>
      <c r="Y19" s="32" t="str">
        <f aca="false">IF(A19="","",IF(AND(C19="Won",P19&lt;&gt;"",P19&lt;=S_Today+S_RenewalDays,COUNTIFS($A$3:$A$502,A19,$F$3:$F$502,"Yes",$X$3:$X$502,"Yes")=0),"Renewal due",IF(X19&lt;&gt;"Yes","",IF(OR(L19="",M19=""),"Missing next action",IF(M19&lt;S_Today,"Overdue",IF(AND(C19="Contacted",_xlfn.MAXIFS(Interactions!$A$3:$A$502,Interactions!$B$3:$B$502,A19,Interactions!$F$3:$F$502,"Sent by us")&gt;0,_xlfn.MAXIFS(Interactions!$A$3:$A$502,Interactions!$B$3:$B$502,A19,Interactions!$F$3:$F$502,"Sent by us")&lt;=S_Today-S_NoReplyDays,MAX(_xlfn.MAXIFS(Interactions!$A$3:$A$502,Interactions!$B$3:$B$502,A19,Interactions!$F$3:$F$502,"Received from them"),_xlfn.MAXIFS(Interactions!$A$3:$A$502,Interactions!$B$3:$B$502,A19,Interactions!$F$3:$F$502,"Two-way"))&lt;_xlfn.MAXIFS(Interactions!$A$3:$A$502,Interactions!$B$3:$B$502,A19,Interactions!$F$3:$F$502,"Sent by us")),"No reply",IF(M19&lt;=S_Today+7,"Due this week","")))))))</f>
        <v/>
      </c>
      <c r="Z19" s="34" t="str">
        <f aca="false">IF(OR(A19="",Y19=""),"",IF(Y19="Renewal due",100000,IF(Y19="Overdue",200000,IF(Y19="No reply",300000,IF(Y19="Due this week",400000,500000))))+IF(Y19="Renewal due",P19-40000,IF(Y19="Missing next action",0,M19-40000))+ROW()/100000)</f>
        <v/>
      </c>
      <c r="AA19" s="32" t="str">
        <f aca="false">IF(A19="","",_xlfn.TEXTJOIN(", ",TRUE(),IF(AND(X19="Yes",D19=""),"No owner",IF(AND(D19&lt;&gt;"",COUNTIFS(R_TeamName,D19,R_TeamActive,"No")&gt;0),"Needs new owner","")),IF(AND(OR(C19="Proposal sent",C19="Negotiation"),H19="",I19="",K19=""),"Add package or proposed value",""),IF(AND(C19="Won",OR(P19="",V19="")),"Won needs renewal date and closed on",""),IF(AND(C19="Won",G19="Cash",J19=""),"Add agreed value",""),IF(AND(C19="Lost",OR(S19="",V19="")),"Lost needs reason and closed on",""),IF(AND(C19="Nurture",OR(T19="",U19="")),"Nurture needs reason and date","")))</f>
        <v/>
      </c>
      <c r="AB19" s="34" t="str">
        <f aca="false">IF(AND(C19="Won",V19&lt;&gt;"",V19&gt;=S_SemStart,V19&lt;=S_SemEnd),V19+ROW()/100000,"")</f>
        <v/>
      </c>
      <c r="AC19" s="34" t="str">
        <f aca="false">IF(AND(C19="Lost",V19&lt;&gt;"",V19&gt;=S_SemStart,V19&lt;=S_SemEnd),V19+ROW()/100000,"")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9"/>
      <c r="J20" s="29"/>
      <c r="K20" s="27"/>
      <c r="L20" s="27"/>
      <c r="M20" s="28"/>
      <c r="N20" s="28"/>
      <c r="O20" s="28"/>
      <c r="P20" s="28"/>
      <c r="Q20" s="27"/>
      <c r="R20" s="27"/>
      <c r="S20" s="27"/>
      <c r="T20" s="27"/>
      <c r="U20" s="28"/>
      <c r="V20" s="28"/>
      <c r="W20" s="27"/>
      <c r="X20" s="32" t="str">
        <f aca="false">IF(A20="","",IF(OR(C20="Planned",C20="Contacted",C20="Meeting",C20="Proposal sent",C20="Negotiation"),"Yes","No"))</f>
        <v/>
      </c>
      <c r="Y20" s="32" t="str">
        <f aca="false">IF(A20="","",IF(AND(C20="Won",P20&lt;&gt;"",P20&lt;=S_Today+S_RenewalDays,COUNTIFS($A$3:$A$502,A20,$F$3:$F$502,"Yes",$X$3:$X$502,"Yes")=0),"Renewal due",IF(X20&lt;&gt;"Yes","",IF(OR(L20="",M20=""),"Missing next action",IF(M20&lt;S_Today,"Overdue",IF(AND(C20="Contacted",_xlfn.MAXIFS(Interactions!$A$3:$A$502,Interactions!$B$3:$B$502,A20,Interactions!$F$3:$F$502,"Sent by us")&gt;0,_xlfn.MAXIFS(Interactions!$A$3:$A$502,Interactions!$B$3:$B$502,A20,Interactions!$F$3:$F$502,"Sent by us")&lt;=S_Today-S_NoReplyDays,MAX(_xlfn.MAXIFS(Interactions!$A$3:$A$502,Interactions!$B$3:$B$502,A20,Interactions!$F$3:$F$502,"Received from them"),_xlfn.MAXIFS(Interactions!$A$3:$A$502,Interactions!$B$3:$B$502,A20,Interactions!$F$3:$F$502,"Two-way"))&lt;_xlfn.MAXIFS(Interactions!$A$3:$A$502,Interactions!$B$3:$B$502,A20,Interactions!$F$3:$F$502,"Sent by us")),"No reply",IF(M20&lt;=S_Today+7,"Due this week","")))))))</f>
        <v/>
      </c>
      <c r="Z20" s="34" t="str">
        <f aca="false">IF(OR(A20="",Y20=""),"",IF(Y20="Renewal due",100000,IF(Y20="Overdue",200000,IF(Y20="No reply",300000,IF(Y20="Due this week",400000,500000))))+IF(Y20="Renewal due",P20-40000,IF(Y20="Missing next action",0,M20-40000))+ROW()/100000)</f>
        <v/>
      </c>
      <c r="AA20" s="32" t="str">
        <f aca="false">IF(A20="","",_xlfn.TEXTJOIN(", ",TRUE(),IF(AND(X20="Yes",D20=""),"No owner",IF(AND(D20&lt;&gt;"",COUNTIFS(R_TeamName,D20,R_TeamActive,"No")&gt;0),"Needs new owner","")),IF(AND(OR(C20="Proposal sent",C20="Negotiation"),H20="",I20="",K20=""),"Add package or proposed value",""),IF(AND(C20="Won",OR(P20="",V20="")),"Won needs renewal date and closed on",""),IF(AND(C20="Won",G20="Cash",J20=""),"Add agreed value",""),IF(AND(C20="Lost",OR(S20="",V20="")),"Lost needs reason and closed on",""),IF(AND(C20="Nurture",OR(T20="",U20="")),"Nurture needs reason and date","")))</f>
        <v/>
      </c>
      <c r="AB20" s="34" t="str">
        <f aca="false">IF(AND(C20="Won",V20&lt;&gt;"",V20&gt;=S_SemStart,V20&lt;=S_SemEnd),V20+ROW()/100000,"")</f>
        <v/>
      </c>
      <c r="AC20" s="34" t="str">
        <f aca="false">IF(AND(C20="Lost",V20&lt;&gt;"",V20&gt;=S_SemStart,V20&lt;=S_SemEnd),V20+ROW()/100000,"")</f>
        <v/>
      </c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9"/>
      <c r="J21" s="29"/>
      <c r="K21" s="27"/>
      <c r="L21" s="27"/>
      <c r="M21" s="28"/>
      <c r="N21" s="28"/>
      <c r="O21" s="28"/>
      <c r="P21" s="28"/>
      <c r="Q21" s="27"/>
      <c r="R21" s="27"/>
      <c r="S21" s="27"/>
      <c r="T21" s="27"/>
      <c r="U21" s="28"/>
      <c r="V21" s="28"/>
      <c r="W21" s="27"/>
      <c r="X21" s="32" t="str">
        <f aca="false">IF(A21="","",IF(OR(C21="Planned",C21="Contacted",C21="Meeting",C21="Proposal sent",C21="Negotiation"),"Yes","No"))</f>
        <v/>
      </c>
      <c r="Y21" s="32" t="str">
        <f aca="false">IF(A21="","",IF(AND(C21="Won",P21&lt;&gt;"",P21&lt;=S_Today+S_RenewalDays,COUNTIFS($A$3:$A$502,A21,$F$3:$F$502,"Yes",$X$3:$X$502,"Yes")=0),"Renewal due",IF(X21&lt;&gt;"Yes","",IF(OR(L21="",M21=""),"Missing next action",IF(M21&lt;S_Today,"Overdue",IF(AND(C21="Contacted",_xlfn.MAXIFS(Interactions!$A$3:$A$502,Interactions!$B$3:$B$502,A21,Interactions!$F$3:$F$502,"Sent by us")&gt;0,_xlfn.MAXIFS(Interactions!$A$3:$A$502,Interactions!$B$3:$B$502,A21,Interactions!$F$3:$F$502,"Sent by us")&lt;=S_Today-S_NoReplyDays,MAX(_xlfn.MAXIFS(Interactions!$A$3:$A$502,Interactions!$B$3:$B$502,A21,Interactions!$F$3:$F$502,"Received from them"),_xlfn.MAXIFS(Interactions!$A$3:$A$502,Interactions!$B$3:$B$502,A21,Interactions!$F$3:$F$502,"Two-way"))&lt;_xlfn.MAXIFS(Interactions!$A$3:$A$502,Interactions!$B$3:$B$502,A21,Interactions!$F$3:$F$502,"Sent by us")),"No reply",IF(M21&lt;=S_Today+7,"Due this week","")))))))</f>
        <v/>
      </c>
      <c r="Z21" s="34" t="str">
        <f aca="false">IF(OR(A21="",Y21=""),"",IF(Y21="Renewal due",100000,IF(Y21="Overdue",200000,IF(Y21="No reply",300000,IF(Y21="Due this week",400000,500000))))+IF(Y21="Renewal due",P21-40000,IF(Y21="Missing next action",0,M21-40000))+ROW()/100000)</f>
        <v/>
      </c>
      <c r="AA21" s="32" t="str">
        <f aca="false">IF(A21="","",_xlfn.TEXTJOIN(", ",TRUE(),IF(AND(X21="Yes",D21=""),"No owner",IF(AND(D21&lt;&gt;"",COUNTIFS(R_TeamName,D21,R_TeamActive,"No")&gt;0),"Needs new owner","")),IF(AND(OR(C21="Proposal sent",C21="Negotiation"),H21="",I21="",K21=""),"Add package or proposed value",""),IF(AND(C21="Won",OR(P21="",V21="")),"Won needs renewal date and closed on",""),IF(AND(C21="Won",G21="Cash",J21=""),"Add agreed value",""),IF(AND(C21="Lost",OR(S21="",V21="")),"Lost needs reason and closed on",""),IF(AND(C21="Nurture",OR(T21="",U21="")),"Nurture needs reason and date","")))</f>
        <v/>
      </c>
      <c r="AB21" s="34" t="str">
        <f aca="false">IF(AND(C21="Won",V21&lt;&gt;"",V21&gt;=S_SemStart,V21&lt;=S_SemEnd),V21+ROW()/100000,"")</f>
        <v/>
      </c>
      <c r="AC21" s="34" t="str">
        <f aca="false">IF(AND(C21="Lost",V21&lt;&gt;"",V21&gt;=S_SemStart,V21&lt;=S_SemEnd),V21+ROW()/100000,"")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9"/>
      <c r="J22" s="29"/>
      <c r="K22" s="27"/>
      <c r="L22" s="27"/>
      <c r="M22" s="28"/>
      <c r="N22" s="28"/>
      <c r="O22" s="28"/>
      <c r="P22" s="28"/>
      <c r="Q22" s="27"/>
      <c r="R22" s="27"/>
      <c r="S22" s="27"/>
      <c r="T22" s="27"/>
      <c r="U22" s="28"/>
      <c r="V22" s="28"/>
      <c r="W22" s="27"/>
      <c r="X22" s="32" t="str">
        <f aca="false">IF(A22="","",IF(OR(C22="Planned",C22="Contacted",C22="Meeting",C22="Proposal sent",C22="Negotiation"),"Yes","No"))</f>
        <v/>
      </c>
      <c r="Y22" s="32" t="str">
        <f aca="false">IF(A22="","",IF(AND(C22="Won",P22&lt;&gt;"",P22&lt;=S_Today+S_RenewalDays,COUNTIFS($A$3:$A$502,A22,$F$3:$F$502,"Yes",$X$3:$X$502,"Yes")=0),"Renewal due",IF(X22&lt;&gt;"Yes","",IF(OR(L22="",M22=""),"Missing next action",IF(M22&lt;S_Today,"Overdue",IF(AND(C22="Contacted",_xlfn.MAXIFS(Interactions!$A$3:$A$502,Interactions!$B$3:$B$502,A22,Interactions!$F$3:$F$502,"Sent by us")&gt;0,_xlfn.MAXIFS(Interactions!$A$3:$A$502,Interactions!$B$3:$B$502,A22,Interactions!$F$3:$F$502,"Sent by us")&lt;=S_Today-S_NoReplyDays,MAX(_xlfn.MAXIFS(Interactions!$A$3:$A$502,Interactions!$B$3:$B$502,A22,Interactions!$F$3:$F$502,"Received from them"),_xlfn.MAXIFS(Interactions!$A$3:$A$502,Interactions!$B$3:$B$502,A22,Interactions!$F$3:$F$502,"Two-way"))&lt;_xlfn.MAXIFS(Interactions!$A$3:$A$502,Interactions!$B$3:$B$502,A22,Interactions!$F$3:$F$502,"Sent by us")),"No reply",IF(M22&lt;=S_Today+7,"Due this week","")))))))</f>
        <v/>
      </c>
      <c r="Z22" s="34" t="str">
        <f aca="false">IF(OR(A22="",Y22=""),"",IF(Y22="Renewal due",100000,IF(Y22="Overdue",200000,IF(Y22="No reply",300000,IF(Y22="Due this week",400000,500000))))+IF(Y22="Renewal due",P22-40000,IF(Y22="Missing next action",0,M22-40000))+ROW()/100000)</f>
        <v/>
      </c>
      <c r="AA22" s="32" t="str">
        <f aca="false">IF(A22="","",_xlfn.TEXTJOIN(", ",TRUE(),IF(AND(X22="Yes",D22=""),"No owner",IF(AND(D22&lt;&gt;"",COUNTIFS(R_TeamName,D22,R_TeamActive,"No")&gt;0),"Needs new owner","")),IF(AND(OR(C22="Proposal sent",C22="Negotiation"),H22="",I22="",K22=""),"Add package or proposed value",""),IF(AND(C22="Won",OR(P22="",V22="")),"Won needs renewal date and closed on",""),IF(AND(C22="Won",G22="Cash",J22=""),"Add agreed value",""),IF(AND(C22="Lost",OR(S22="",V22="")),"Lost needs reason and closed on",""),IF(AND(C22="Nurture",OR(T22="",U22="")),"Nurture needs reason and date","")))</f>
        <v/>
      </c>
      <c r="AB22" s="34" t="str">
        <f aca="false">IF(AND(C22="Won",V22&lt;&gt;"",V22&gt;=S_SemStart,V22&lt;=S_SemEnd),V22+ROW()/100000,"")</f>
        <v/>
      </c>
      <c r="AC22" s="34" t="str">
        <f aca="false">IF(AND(C22="Lost",V22&lt;&gt;"",V22&gt;=S_SemStart,V22&lt;=S_SemEnd),V22+ROW()/100000,"")</f>
        <v/>
      </c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9"/>
      <c r="J23" s="29"/>
      <c r="K23" s="27"/>
      <c r="L23" s="27"/>
      <c r="M23" s="28"/>
      <c r="N23" s="28"/>
      <c r="O23" s="28"/>
      <c r="P23" s="28"/>
      <c r="Q23" s="27"/>
      <c r="R23" s="27"/>
      <c r="S23" s="27"/>
      <c r="T23" s="27"/>
      <c r="U23" s="28"/>
      <c r="V23" s="28"/>
      <c r="W23" s="27"/>
      <c r="X23" s="32" t="str">
        <f aca="false">IF(A23="","",IF(OR(C23="Planned",C23="Contacted",C23="Meeting",C23="Proposal sent",C23="Negotiation"),"Yes","No"))</f>
        <v/>
      </c>
      <c r="Y23" s="32" t="str">
        <f aca="false">IF(A23="","",IF(AND(C23="Won",P23&lt;&gt;"",P23&lt;=S_Today+S_RenewalDays,COUNTIFS($A$3:$A$502,A23,$F$3:$F$502,"Yes",$X$3:$X$502,"Yes")=0),"Renewal due",IF(X23&lt;&gt;"Yes","",IF(OR(L23="",M23=""),"Missing next action",IF(M23&lt;S_Today,"Overdue",IF(AND(C23="Contacted",_xlfn.MAXIFS(Interactions!$A$3:$A$502,Interactions!$B$3:$B$502,A23,Interactions!$F$3:$F$502,"Sent by us")&gt;0,_xlfn.MAXIFS(Interactions!$A$3:$A$502,Interactions!$B$3:$B$502,A23,Interactions!$F$3:$F$502,"Sent by us")&lt;=S_Today-S_NoReplyDays,MAX(_xlfn.MAXIFS(Interactions!$A$3:$A$502,Interactions!$B$3:$B$502,A23,Interactions!$F$3:$F$502,"Received from them"),_xlfn.MAXIFS(Interactions!$A$3:$A$502,Interactions!$B$3:$B$502,A23,Interactions!$F$3:$F$502,"Two-way"))&lt;_xlfn.MAXIFS(Interactions!$A$3:$A$502,Interactions!$B$3:$B$502,A23,Interactions!$F$3:$F$502,"Sent by us")),"No reply",IF(M23&lt;=S_Today+7,"Due this week","")))))))</f>
        <v/>
      </c>
      <c r="Z23" s="34" t="str">
        <f aca="false">IF(OR(A23="",Y23=""),"",IF(Y23="Renewal due",100000,IF(Y23="Overdue",200000,IF(Y23="No reply",300000,IF(Y23="Due this week",400000,500000))))+IF(Y23="Renewal due",P23-40000,IF(Y23="Missing next action",0,M23-40000))+ROW()/100000)</f>
        <v/>
      </c>
      <c r="AA23" s="32" t="str">
        <f aca="false">IF(A23="","",_xlfn.TEXTJOIN(", ",TRUE(),IF(AND(X23="Yes",D23=""),"No owner",IF(AND(D23&lt;&gt;"",COUNTIFS(R_TeamName,D23,R_TeamActive,"No")&gt;0),"Needs new owner","")),IF(AND(OR(C23="Proposal sent",C23="Negotiation"),H23="",I23="",K23=""),"Add package or proposed value",""),IF(AND(C23="Won",OR(P23="",V23="")),"Won needs renewal date and closed on",""),IF(AND(C23="Won",G23="Cash",J23=""),"Add agreed value",""),IF(AND(C23="Lost",OR(S23="",V23="")),"Lost needs reason and closed on",""),IF(AND(C23="Nurture",OR(T23="",U23="")),"Nurture needs reason and date","")))</f>
        <v/>
      </c>
      <c r="AB23" s="34" t="str">
        <f aca="false">IF(AND(C23="Won",V23&lt;&gt;"",V23&gt;=S_SemStart,V23&lt;=S_SemEnd),V23+ROW()/100000,"")</f>
        <v/>
      </c>
      <c r="AC23" s="34" t="str">
        <f aca="false">IF(AND(C23="Lost",V23&lt;&gt;"",V23&gt;=S_SemStart,V23&lt;=S_SemEnd),V23+ROW()/100000,"")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9"/>
      <c r="J24" s="29"/>
      <c r="K24" s="27"/>
      <c r="L24" s="27"/>
      <c r="M24" s="28"/>
      <c r="N24" s="28"/>
      <c r="O24" s="28"/>
      <c r="P24" s="28"/>
      <c r="Q24" s="27"/>
      <c r="R24" s="27"/>
      <c r="S24" s="27"/>
      <c r="T24" s="27"/>
      <c r="U24" s="28"/>
      <c r="V24" s="28"/>
      <c r="W24" s="27"/>
      <c r="X24" s="32" t="str">
        <f aca="false">IF(A24="","",IF(OR(C24="Planned",C24="Contacted",C24="Meeting",C24="Proposal sent",C24="Negotiation"),"Yes","No"))</f>
        <v/>
      </c>
      <c r="Y24" s="32" t="str">
        <f aca="false">IF(A24="","",IF(AND(C24="Won",P24&lt;&gt;"",P24&lt;=S_Today+S_RenewalDays,COUNTIFS($A$3:$A$502,A24,$F$3:$F$502,"Yes",$X$3:$X$502,"Yes")=0),"Renewal due",IF(X24&lt;&gt;"Yes","",IF(OR(L24="",M24=""),"Missing next action",IF(M24&lt;S_Today,"Overdue",IF(AND(C24="Contacted",_xlfn.MAXIFS(Interactions!$A$3:$A$502,Interactions!$B$3:$B$502,A24,Interactions!$F$3:$F$502,"Sent by us")&gt;0,_xlfn.MAXIFS(Interactions!$A$3:$A$502,Interactions!$B$3:$B$502,A24,Interactions!$F$3:$F$502,"Sent by us")&lt;=S_Today-S_NoReplyDays,MAX(_xlfn.MAXIFS(Interactions!$A$3:$A$502,Interactions!$B$3:$B$502,A24,Interactions!$F$3:$F$502,"Received from them"),_xlfn.MAXIFS(Interactions!$A$3:$A$502,Interactions!$B$3:$B$502,A24,Interactions!$F$3:$F$502,"Two-way"))&lt;_xlfn.MAXIFS(Interactions!$A$3:$A$502,Interactions!$B$3:$B$502,A24,Interactions!$F$3:$F$502,"Sent by us")),"No reply",IF(M24&lt;=S_Today+7,"Due this week","")))))))</f>
        <v/>
      </c>
      <c r="Z24" s="34" t="str">
        <f aca="false">IF(OR(A24="",Y24=""),"",IF(Y24="Renewal due",100000,IF(Y24="Overdue",200000,IF(Y24="No reply",300000,IF(Y24="Due this week",400000,500000))))+IF(Y24="Renewal due",P24-40000,IF(Y24="Missing next action",0,M24-40000))+ROW()/100000)</f>
        <v/>
      </c>
      <c r="AA24" s="32" t="str">
        <f aca="false">IF(A24="","",_xlfn.TEXTJOIN(", ",TRUE(),IF(AND(X24="Yes",D24=""),"No owner",IF(AND(D24&lt;&gt;"",COUNTIFS(R_TeamName,D24,R_TeamActive,"No")&gt;0),"Needs new owner","")),IF(AND(OR(C24="Proposal sent",C24="Negotiation"),H24="",I24="",K24=""),"Add package or proposed value",""),IF(AND(C24="Won",OR(P24="",V24="")),"Won needs renewal date and closed on",""),IF(AND(C24="Won",G24="Cash",J24=""),"Add agreed value",""),IF(AND(C24="Lost",OR(S24="",V24="")),"Lost needs reason and closed on",""),IF(AND(C24="Nurture",OR(T24="",U24="")),"Nurture needs reason and date","")))</f>
        <v/>
      </c>
      <c r="AB24" s="34" t="str">
        <f aca="false">IF(AND(C24="Won",V24&lt;&gt;"",V24&gt;=S_SemStart,V24&lt;=S_SemEnd),V24+ROW()/100000,"")</f>
        <v/>
      </c>
      <c r="AC24" s="34" t="str">
        <f aca="false">IF(AND(C24="Lost",V24&lt;&gt;"",V24&gt;=S_SemStart,V24&lt;=S_SemEnd),V24+ROW()/100000,"")</f>
        <v/>
      </c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9"/>
      <c r="J25" s="29"/>
      <c r="K25" s="27"/>
      <c r="L25" s="27"/>
      <c r="M25" s="28"/>
      <c r="N25" s="28"/>
      <c r="O25" s="28"/>
      <c r="P25" s="28"/>
      <c r="Q25" s="27"/>
      <c r="R25" s="27"/>
      <c r="S25" s="27"/>
      <c r="T25" s="27"/>
      <c r="U25" s="28"/>
      <c r="V25" s="28"/>
      <c r="W25" s="27"/>
      <c r="X25" s="32" t="str">
        <f aca="false">IF(A25="","",IF(OR(C25="Planned",C25="Contacted",C25="Meeting",C25="Proposal sent",C25="Negotiation"),"Yes","No"))</f>
        <v/>
      </c>
      <c r="Y25" s="32" t="str">
        <f aca="false">IF(A25="","",IF(AND(C25="Won",P25&lt;&gt;"",P25&lt;=S_Today+S_RenewalDays,COUNTIFS($A$3:$A$502,A25,$F$3:$F$502,"Yes",$X$3:$X$502,"Yes")=0),"Renewal due",IF(X25&lt;&gt;"Yes","",IF(OR(L25="",M25=""),"Missing next action",IF(M25&lt;S_Today,"Overdue",IF(AND(C25="Contacted",_xlfn.MAXIFS(Interactions!$A$3:$A$502,Interactions!$B$3:$B$502,A25,Interactions!$F$3:$F$502,"Sent by us")&gt;0,_xlfn.MAXIFS(Interactions!$A$3:$A$502,Interactions!$B$3:$B$502,A25,Interactions!$F$3:$F$502,"Sent by us")&lt;=S_Today-S_NoReplyDays,MAX(_xlfn.MAXIFS(Interactions!$A$3:$A$502,Interactions!$B$3:$B$502,A25,Interactions!$F$3:$F$502,"Received from them"),_xlfn.MAXIFS(Interactions!$A$3:$A$502,Interactions!$B$3:$B$502,A25,Interactions!$F$3:$F$502,"Two-way"))&lt;_xlfn.MAXIFS(Interactions!$A$3:$A$502,Interactions!$B$3:$B$502,A25,Interactions!$F$3:$F$502,"Sent by us")),"No reply",IF(M25&lt;=S_Today+7,"Due this week","")))))))</f>
        <v/>
      </c>
      <c r="Z25" s="34" t="str">
        <f aca="false">IF(OR(A25="",Y25=""),"",IF(Y25="Renewal due",100000,IF(Y25="Overdue",200000,IF(Y25="No reply",300000,IF(Y25="Due this week",400000,500000))))+IF(Y25="Renewal due",P25-40000,IF(Y25="Missing next action",0,M25-40000))+ROW()/100000)</f>
        <v/>
      </c>
      <c r="AA25" s="32" t="str">
        <f aca="false">IF(A25="","",_xlfn.TEXTJOIN(", ",TRUE(),IF(AND(X25="Yes",D25=""),"No owner",IF(AND(D25&lt;&gt;"",COUNTIFS(R_TeamName,D25,R_TeamActive,"No")&gt;0),"Needs new owner","")),IF(AND(OR(C25="Proposal sent",C25="Negotiation"),H25="",I25="",K25=""),"Add package or proposed value",""),IF(AND(C25="Won",OR(P25="",V25="")),"Won needs renewal date and closed on",""),IF(AND(C25="Won",G25="Cash",J25=""),"Add agreed value",""),IF(AND(C25="Lost",OR(S25="",V25="")),"Lost needs reason and closed on",""),IF(AND(C25="Nurture",OR(T25="",U25="")),"Nurture needs reason and date","")))</f>
        <v/>
      </c>
      <c r="AB25" s="34" t="str">
        <f aca="false">IF(AND(C25="Won",V25&lt;&gt;"",V25&gt;=S_SemStart,V25&lt;=S_SemEnd),V25+ROW()/100000,"")</f>
        <v/>
      </c>
      <c r="AC25" s="34" t="str">
        <f aca="false">IF(AND(C25="Lost",V25&lt;&gt;"",V25&gt;=S_SemStart,V25&lt;=S_SemEnd),V25+ROW()/100000,"")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9"/>
      <c r="J26" s="29"/>
      <c r="K26" s="27"/>
      <c r="L26" s="27"/>
      <c r="M26" s="28"/>
      <c r="N26" s="28"/>
      <c r="O26" s="28"/>
      <c r="P26" s="28"/>
      <c r="Q26" s="27"/>
      <c r="R26" s="27"/>
      <c r="S26" s="27"/>
      <c r="T26" s="27"/>
      <c r="U26" s="28"/>
      <c r="V26" s="28"/>
      <c r="W26" s="27"/>
      <c r="X26" s="32" t="str">
        <f aca="false">IF(A26="","",IF(OR(C26="Planned",C26="Contacted",C26="Meeting",C26="Proposal sent",C26="Negotiation"),"Yes","No"))</f>
        <v/>
      </c>
      <c r="Y26" s="32" t="str">
        <f aca="false">IF(A26="","",IF(AND(C26="Won",P26&lt;&gt;"",P26&lt;=S_Today+S_RenewalDays,COUNTIFS($A$3:$A$502,A26,$F$3:$F$502,"Yes",$X$3:$X$502,"Yes")=0),"Renewal due",IF(X26&lt;&gt;"Yes","",IF(OR(L26="",M26=""),"Missing next action",IF(M26&lt;S_Today,"Overdue",IF(AND(C26="Contacted",_xlfn.MAXIFS(Interactions!$A$3:$A$502,Interactions!$B$3:$B$502,A26,Interactions!$F$3:$F$502,"Sent by us")&gt;0,_xlfn.MAXIFS(Interactions!$A$3:$A$502,Interactions!$B$3:$B$502,A26,Interactions!$F$3:$F$502,"Sent by us")&lt;=S_Today-S_NoReplyDays,MAX(_xlfn.MAXIFS(Interactions!$A$3:$A$502,Interactions!$B$3:$B$502,A26,Interactions!$F$3:$F$502,"Received from them"),_xlfn.MAXIFS(Interactions!$A$3:$A$502,Interactions!$B$3:$B$502,A26,Interactions!$F$3:$F$502,"Two-way"))&lt;_xlfn.MAXIFS(Interactions!$A$3:$A$502,Interactions!$B$3:$B$502,A26,Interactions!$F$3:$F$502,"Sent by us")),"No reply",IF(M26&lt;=S_Today+7,"Due this week","")))))))</f>
        <v/>
      </c>
      <c r="Z26" s="34" t="str">
        <f aca="false">IF(OR(A26="",Y26=""),"",IF(Y26="Renewal due",100000,IF(Y26="Overdue",200000,IF(Y26="No reply",300000,IF(Y26="Due this week",400000,500000))))+IF(Y26="Renewal due",P26-40000,IF(Y26="Missing next action",0,M26-40000))+ROW()/100000)</f>
        <v/>
      </c>
      <c r="AA26" s="32" t="str">
        <f aca="false">IF(A26="","",_xlfn.TEXTJOIN(", ",TRUE(),IF(AND(X26="Yes",D26=""),"No owner",IF(AND(D26&lt;&gt;"",COUNTIFS(R_TeamName,D26,R_TeamActive,"No")&gt;0),"Needs new owner","")),IF(AND(OR(C26="Proposal sent",C26="Negotiation"),H26="",I26="",K26=""),"Add package or proposed value",""),IF(AND(C26="Won",OR(P26="",V26="")),"Won needs renewal date and closed on",""),IF(AND(C26="Won",G26="Cash",J26=""),"Add agreed value",""),IF(AND(C26="Lost",OR(S26="",V26="")),"Lost needs reason and closed on",""),IF(AND(C26="Nurture",OR(T26="",U26="")),"Nurture needs reason and date","")))</f>
        <v/>
      </c>
      <c r="AB26" s="34" t="str">
        <f aca="false">IF(AND(C26="Won",V26&lt;&gt;"",V26&gt;=S_SemStart,V26&lt;=S_SemEnd),V26+ROW()/100000,"")</f>
        <v/>
      </c>
      <c r="AC26" s="34" t="str">
        <f aca="false">IF(AND(C26="Lost",V26&lt;&gt;"",V26&gt;=S_SemStart,V26&lt;=S_SemEnd),V26+ROW()/100000,"")</f>
        <v/>
      </c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9"/>
      <c r="J27" s="29"/>
      <c r="K27" s="27"/>
      <c r="L27" s="27"/>
      <c r="M27" s="28"/>
      <c r="N27" s="28"/>
      <c r="O27" s="28"/>
      <c r="P27" s="28"/>
      <c r="Q27" s="27"/>
      <c r="R27" s="27"/>
      <c r="S27" s="27"/>
      <c r="T27" s="27"/>
      <c r="U27" s="28"/>
      <c r="V27" s="28"/>
      <c r="W27" s="27"/>
      <c r="X27" s="32" t="str">
        <f aca="false">IF(A27="","",IF(OR(C27="Planned",C27="Contacted",C27="Meeting",C27="Proposal sent",C27="Negotiation"),"Yes","No"))</f>
        <v/>
      </c>
      <c r="Y27" s="32" t="str">
        <f aca="false">IF(A27="","",IF(AND(C27="Won",P27&lt;&gt;"",P27&lt;=S_Today+S_RenewalDays,COUNTIFS($A$3:$A$502,A27,$F$3:$F$502,"Yes",$X$3:$X$502,"Yes")=0),"Renewal due",IF(X27&lt;&gt;"Yes","",IF(OR(L27="",M27=""),"Missing next action",IF(M27&lt;S_Today,"Overdue",IF(AND(C27="Contacted",_xlfn.MAXIFS(Interactions!$A$3:$A$502,Interactions!$B$3:$B$502,A27,Interactions!$F$3:$F$502,"Sent by us")&gt;0,_xlfn.MAXIFS(Interactions!$A$3:$A$502,Interactions!$B$3:$B$502,A27,Interactions!$F$3:$F$502,"Sent by us")&lt;=S_Today-S_NoReplyDays,MAX(_xlfn.MAXIFS(Interactions!$A$3:$A$502,Interactions!$B$3:$B$502,A27,Interactions!$F$3:$F$502,"Received from them"),_xlfn.MAXIFS(Interactions!$A$3:$A$502,Interactions!$B$3:$B$502,A27,Interactions!$F$3:$F$502,"Two-way"))&lt;_xlfn.MAXIFS(Interactions!$A$3:$A$502,Interactions!$B$3:$B$502,A27,Interactions!$F$3:$F$502,"Sent by us")),"No reply",IF(M27&lt;=S_Today+7,"Due this week","")))))))</f>
        <v/>
      </c>
      <c r="Z27" s="34" t="str">
        <f aca="false">IF(OR(A27="",Y27=""),"",IF(Y27="Renewal due",100000,IF(Y27="Overdue",200000,IF(Y27="No reply",300000,IF(Y27="Due this week",400000,500000))))+IF(Y27="Renewal due",P27-40000,IF(Y27="Missing next action",0,M27-40000))+ROW()/100000)</f>
        <v/>
      </c>
      <c r="AA27" s="32" t="str">
        <f aca="false">IF(A27="","",_xlfn.TEXTJOIN(", ",TRUE(),IF(AND(X27="Yes",D27=""),"No owner",IF(AND(D27&lt;&gt;"",COUNTIFS(R_TeamName,D27,R_TeamActive,"No")&gt;0),"Needs new owner","")),IF(AND(OR(C27="Proposal sent",C27="Negotiation"),H27="",I27="",K27=""),"Add package or proposed value",""),IF(AND(C27="Won",OR(P27="",V27="")),"Won needs renewal date and closed on",""),IF(AND(C27="Won",G27="Cash",J27=""),"Add agreed value",""),IF(AND(C27="Lost",OR(S27="",V27="")),"Lost needs reason and closed on",""),IF(AND(C27="Nurture",OR(T27="",U27="")),"Nurture needs reason and date","")))</f>
        <v/>
      </c>
      <c r="AB27" s="34" t="str">
        <f aca="false">IF(AND(C27="Won",V27&lt;&gt;"",V27&gt;=S_SemStart,V27&lt;=S_SemEnd),V27+ROW()/100000,"")</f>
        <v/>
      </c>
      <c r="AC27" s="34" t="str">
        <f aca="false">IF(AND(C27="Lost",V27&lt;&gt;"",V27&gt;=S_SemStart,V27&lt;=S_SemEnd),V27+ROW()/100000,"")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9"/>
      <c r="J28" s="29"/>
      <c r="K28" s="27"/>
      <c r="L28" s="27"/>
      <c r="M28" s="28"/>
      <c r="N28" s="28"/>
      <c r="O28" s="28"/>
      <c r="P28" s="28"/>
      <c r="Q28" s="27"/>
      <c r="R28" s="27"/>
      <c r="S28" s="27"/>
      <c r="T28" s="27"/>
      <c r="U28" s="28"/>
      <c r="V28" s="28"/>
      <c r="W28" s="27"/>
      <c r="X28" s="32" t="str">
        <f aca="false">IF(A28="","",IF(OR(C28="Planned",C28="Contacted",C28="Meeting",C28="Proposal sent",C28="Negotiation"),"Yes","No"))</f>
        <v/>
      </c>
      <c r="Y28" s="32" t="str">
        <f aca="false">IF(A28="","",IF(AND(C28="Won",P28&lt;&gt;"",P28&lt;=S_Today+S_RenewalDays,COUNTIFS($A$3:$A$502,A28,$F$3:$F$502,"Yes",$X$3:$X$502,"Yes")=0),"Renewal due",IF(X28&lt;&gt;"Yes","",IF(OR(L28="",M28=""),"Missing next action",IF(M28&lt;S_Today,"Overdue",IF(AND(C28="Contacted",_xlfn.MAXIFS(Interactions!$A$3:$A$502,Interactions!$B$3:$B$502,A28,Interactions!$F$3:$F$502,"Sent by us")&gt;0,_xlfn.MAXIFS(Interactions!$A$3:$A$502,Interactions!$B$3:$B$502,A28,Interactions!$F$3:$F$502,"Sent by us")&lt;=S_Today-S_NoReplyDays,MAX(_xlfn.MAXIFS(Interactions!$A$3:$A$502,Interactions!$B$3:$B$502,A28,Interactions!$F$3:$F$502,"Received from them"),_xlfn.MAXIFS(Interactions!$A$3:$A$502,Interactions!$B$3:$B$502,A28,Interactions!$F$3:$F$502,"Two-way"))&lt;_xlfn.MAXIFS(Interactions!$A$3:$A$502,Interactions!$B$3:$B$502,A28,Interactions!$F$3:$F$502,"Sent by us")),"No reply",IF(M28&lt;=S_Today+7,"Due this week","")))))))</f>
        <v/>
      </c>
      <c r="Z28" s="34" t="str">
        <f aca="false">IF(OR(A28="",Y28=""),"",IF(Y28="Renewal due",100000,IF(Y28="Overdue",200000,IF(Y28="No reply",300000,IF(Y28="Due this week",400000,500000))))+IF(Y28="Renewal due",P28-40000,IF(Y28="Missing next action",0,M28-40000))+ROW()/100000)</f>
        <v/>
      </c>
      <c r="AA28" s="32" t="str">
        <f aca="false">IF(A28="","",_xlfn.TEXTJOIN(", ",TRUE(),IF(AND(X28="Yes",D28=""),"No owner",IF(AND(D28&lt;&gt;"",COUNTIFS(R_TeamName,D28,R_TeamActive,"No")&gt;0),"Needs new owner","")),IF(AND(OR(C28="Proposal sent",C28="Negotiation"),H28="",I28="",K28=""),"Add package or proposed value",""),IF(AND(C28="Won",OR(P28="",V28="")),"Won needs renewal date and closed on",""),IF(AND(C28="Won",G28="Cash",J28=""),"Add agreed value",""),IF(AND(C28="Lost",OR(S28="",V28="")),"Lost needs reason and closed on",""),IF(AND(C28="Nurture",OR(T28="",U28="")),"Nurture needs reason and date","")))</f>
        <v/>
      </c>
      <c r="AB28" s="34" t="str">
        <f aca="false">IF(AND(C28="Won",V28&lt;&gt;"",V28&gt;=S_SemStart,V28&lt;=S_SemEnd),V28+ROW()/100000,"")</f>
        <v/>
      </c>
      <c r="AC28" s="34" t="str">
        <f aca="false">IF(AND(C28="Lost",V28&lt;&gt;"",V28&gt;=S_SemStart,V28&lt;=S_SemEnd),V28+ROW()/100000,"")</f>
        <v/>
      </c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9"/>
      <c r="J29" s="29"/>
      <c r="K29" s="27"/>
      <c r="L29" s="27"/>
      <c r="M29" s="28"/>
      <c r="N29" s="28"/>
      <c r="O29" s="28"/>
      <c r="P29" s="28"/>
      <c r="Q29" s="27"/>
      <c r="R29" s="27"/>
      <c r="S29" s="27"/>
      <c r="T29" s="27"/>
      <c r="U29" s="28"/>
      <c r="V29" s="28"/>
      <c r="W29" s="27"/>
      <c r="X29" s="32" t="str">
        <f aca="false">IF(A29="","",IF(OR(C29="Planned",C29="Contacted",C29="Meeting",C29="Proposal sent",C29="Negotiation"),"Yes","No"))</f>
        <v/>
      </c>
      <c r="Y29" s="32" t="str">
        <f aca="false">IF(A29="","",IF(AND(C29="Won",P29&lt;&gt;"",P29&lt;=S_Today+S_RenewalDays,COUNTIFS($A$3:$A$502,A29,$F$3:$F$502,"Yes",$X$3:$X$502,"Yes")=0),"Renewal due",IF(X29&lt;&gt;"Yes","",IF(OR(L29="",M29=""),"Missing next action",IF(M29&lt;S_Today,"Overdue",IF(AND(C29="Contacted",_xlfn.MAXIFS(Interactions!$A$3:$A$502,Interactions!$B$3:$B$502,A29,Interactions!$F$3:$F$502,"Sent by us")&gt;0,_xlfn.MAXIFS(Interactions!$A$3:$A$502,Interactions!$B$3:$B$502,A29,Interactions!$F$3:$F$502,"Sent by us")&lt;=S_Today-S_NoReplyDays,MAX(_xlfn.MAXIFS(Interactions!$A$3:$A$502,Interactions!$B$3:$B$502,A29,Interactions!$F$3:$F$502,"Received from them"),_xlfn.MAXIFS(Interactions!$A$3:$A$502,Interactions!$B$3:$B$502,A29,Interactions!$F$3:$F$502,"Two-way"))&lt;_xlfn.MAXIFS(Interactions!$A$3:$A$502,Interactions!$B$3:$B$502,A29,Interactions!$F$3:$F$502,"Sent by us")),"No reply",IF(M29&lt;=S_Today+7,"Due this week","")))))))</f>
        <v/>
      </c>
      <c r="Z29" s="34" t="str">
        <f aca="false">IF(OR(A29="",Y29=""),"",IF(Y29="Renewal due",100000,IF(Y29="Overdue",200000,IF(Y29="No reply",300000,IF(Y29="Due this week",400000,500000))))+IF(Y29="Renewal due",P29-40000,IF(Y29="Missing next action",0,M29-40000))+ROW()/100000)</f>
        <v/>
      </c>
      <c r="AA29" s="32" t="str">
        <f aca="false">IF(A29="","",_xlfn.TEXTJOIN(", ",TRUE(),IF(AND(X29="Yes",D29=""),"No owner",IF(AND(D29&lt;&gt;"",COUNTIFS(R_TeamName,D29,R_TeamActive,"No")&gt;0),"Needs new owner","")),IF(AND(OR(C29="Proposal sent",C29="Negotiation"),H29="",I29="",K29=""),"Add package or proposed value",""),IF(AND(C29="Won",OR(P29="",V29="")),"Won needs renewal date and closed on",""),IF(AND(C29="Won",G29="Cash",J29=""),"Add agreed value",""),IF(AND(C29="Lost",OR(S29="",V29="")),"Lost needs reason and closed on",""),IF(AND(C29="Nurture",OR(T29="",U29="")),"Nurture needs reason and date","")))</f>
        <v/>
      </c>
      <c r="AB29" s="34" t="str">
        <f aca="false">IF(AND(C29="Won",V29&lt;&gt;"",V29&gt;=S_SemStart,V29&lt;=S_SemEnd),V29+ROW()/100000,"")</f>
        <v/>
      </c>
      <c r="AC29" s="34" t="str">
        <f aca="false">IF(AND(C29="Lost",V29&lt;&gt;"",V29&gt;=S_SemStart,V29&lt;=S_SemEnd),V29+ROW()/100000,"")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9"/>
      <c r="J30" s="29"/>
      <c r="K30" s="27"/>
      <c r="L30" s="27"/>
      <c r="M30" s="28"/>
      <c r="N30" s="28"/>
      <c r="O30" s="28"/>
      <c r="P30" s="28"/>
      <c r="Q30" s="27"/>
      <c r="R30" s="27"/>
      <c r="S30" s="27"/>
      <c r="T30" s="27"/>
      <c r="U30" s="28"/>
      <c r="V30" s="28"/>
      <c r="W30" s="27"/>
      <c r="X30" s="32" t="str">
        <f aca="false">IF(A30="","",IF(OR(C30="Planned",C30="Contacted",C30="Meeting",C30="Proposal sent",C30="Negotiation"),"Yes","No"))</f>
        <v/>
      </c>
      <c r="Y30" s="32" t="str">
        <f aca="false">IF(A30="","",IF(AND(C30="Won",P30&lt;&gt;"",P30&lt;=S_Today+S_RenewalDays,COUNTIFS($A$3:$A$502,A30,$F$3:$F$502,"Yes",$X$3:$X$502,"Yes")=0),"Renewal due",IF(X30&lt;&gt;"Yes","",IF(OR(L30="",M30=""),"Missing next action",IF(M30&lt;S_Today,"Overdue",IF(AND(C30="Contacted",_xlfn.MAXIFS(Interactions!$A$3:$A$502,Interactions!$B$3:$B$502,A30,Interactions!$F$3:$F$502,"Sent by us")&gt;0,_xlfn.MAXIFS(Interactions!$A$3:$A$502,Interactions!$B$3:$B$502,A30,Interactions!$F$3:$F$502,"Sent by us")&lt;=S_Today-S_NoReplyDays,MAX(_xlfn.MAXIFS(Interactions!$A$3:$A$502,Interactions!$B$3:$B$502,A30,Interactions!$F$3:$F$502,"Received from them"),_xlfn.MAXIFS(Interactions!$A$3:$A$502,Interactions!$B$3:$B$502,A30,Interactions!$F$3:$F$502,"Two-way"))&lt;_xlfn.MAXIFS(Interactions!$A$3:$A$502,Interactions!$B$3:$B$502,A30,Interactions!$F$3:$F$502,"Sent by us")),"No reply",IF(M30&lt;=S_Today+7,"Due this week","")))))))</f>
        <v/>
      </c>
      <c r="Z30" s="34" t="str">
        <f aca="false">IF(OR(A30="",Y30=""),"",IF(Y30="Renewal due",100000,IF(Y30="Overdue",200000,IF(Y30="No reply",300000,IF(Y30="Due this week",400000,500000))))+IF(Y30="Renewal due",P30-40000,IF(Y30="Missing next action",0,M30-40000))+ROW()/100000)</f>
        <v/>
      </c>
      <c r="AA30" s="32" t="str">
        <f aca="false">IF(A30="","",_xlfn.TEXTJOIN(", ",TRUE(),IF(AND(X30="Yes",D30=""),"No owner",IF(AND(D30&lt;&gt;"",COUNTIFS(R_TeamName,D30,R_TeamActive,"No")&gt;0),"Needs new owner","")),IF(AND(OR(C30="Proposal sent",C30="Negotiation"),H30="",I30="",K30=""),"Add package or proposed value",""),IF(AND(C30="Won",OR(P30="",V30="")),"Won needs renewal date and closed on",""),IF(AND(C30="Won",G30="Cash",J30=""),"Add agreed value",""),IF(AND(C30="Lost",OR(S30="",V30="")),"Lost needs reason and closed on",""),IF(AND(C30="Nurture",OR(T30="",U30="")),"Nurture needs reason and date","")))</f>
        <v/>
      </c>
      <c r="AB30" s="34" t="str">
        <f aca="false">IF(AND(C30="Won",V30&lt;&gt;"",V30&gt;=S_SemStart,V30&lt;=S_SemEnd),V30+ROW()/100000,"")</f>
        <v/>
      </c>
      <c r="AC30" s="34" t="str">
        <f aca="false">IF(AND(C30="Lost",V30&lt;&gt;"",V30&gt;=S_SemStart,V30&lt;=S_SemEnd),V30+ROW()/100000,"")</f>
        <v/>
      </c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9"/>
      <c r="J31" s="29"/>
      <c r="K31" s="27"/>
      <c r="L31" s="27"/>
      <c r="M31" s="28"/>
      <c r="N31" s="28"/>
      <c r="O31" s="28"/>
      <c r="P31" s="28"/>
      <c r="Q31" s="27"/>
      <c r="R31" s="27"/>
      <c r="S31" s="27"/>
      <c r="T31" s="27"/>
      <c r="U31" s="28"/>
      <c r="V31" s="28"/>
      <c r="W31" s="27"/>
      <c r="X31" s="32" t="str">
        <f aca="false">IF(A31="","",IF(OR(C31="Planned",C31="Contacted",C31="Meeting",C31="Proposal sent",C31="Negotiation"),"Yes","No"))</f>
        <v/>
      </c>
      <c r="Y31" s="32" t="str">
        <f aca="false">IF(A31="","",IF(AND(C31="Won",P31&lt;&gt;"",P31&lt;=S_Today+S_RenewalDays,COUNTIFS($A$3:$A$502,A31,$F$3:$F$502,"Yes",$X$3:$X$502,"Yes")=0),"Renewal due",IF(X31&lt;&gt;"Yes","",IF(OR(L31="",M31=""),"Missing next action",IF(M31&lt;S_Today,"Overdue",IF(AND(C31="Contacted",_xlfn.MAXIFS(Interactions!$A$3:$A$502,Interactions!$B$3:$B$502,A31,Interactions!$F$3:$F$502,"Sent by us")&gt;0,_xlfn.MAXIFS(Interactions!$A$3:$A$502,Interactions!$B$3:$B$502,A31,Interactions!$F$3:$F$502,"Sent by us")&lt;=S_Today-S_NoReplyDays,MAX(_xlfn.MAXIFS(Interactions!$A$3:$A$502,Interactions!$B$3:$B$502,A31,Interactions!$F$3:$F$502,"Received from them"),_xlfn.MAXIFS(Interactions!$A$3:$A$502,Interactions!$B$3:$B$502,A31,Interactions!$F$3:$F$502,"Two-way"))&lt;_xlfn.MAXIFS(Interactions!$A$3:$A$502,Interactions!$B$3:$B$502,A31,Interactions!$F$3:$F$502,"Sent by us")),"No reply",IF(M31&lt;=S_Today+7,"Due this week","")))))))</f>
        <v/>
      </c>
      <c r="Z31" s="34" t="str">
        <f aca="false">IF(OR(A31="",Y31=""),"",IF(Y31="Renewal due",100000,IF(Y31="Overdue",200000,IF(Y31="No reply",300000,IF(Y31="Due this week",400000,500000))))+IF(Y31="Renewal due",P31-40000,IF(Y31="Missing next action",0,M31-40000))+ROW()/100000)</f>
        <v/>
      </c>
      <c r="AA31" s="32" t="str">
        <f aca="false">IF(A31="","",_xlfn.TEXTJOIN(", ",TRUE(),IF(AND(X31="Yes",D31=""),"No owner",IF(AND(D31&lt;&gt;"",COUNTIFS(R_TeamName,D31,R_TeamActive,"No")&gt;0),"Needs new owner","")),IF(AND(OR(C31="Proposal sent",C31="Negotiation"),H31="",I31="",K31=""),"Add package or proposed value",""),IF(AND(C31="Won",OR(P31="",V31="")),"Won needs renewal date and closed on",""),IF(AND(C31="Won",G31="Cash",J31=""),"Add agreed value",""),IF(AND(C31="Lost",OR(S31="",V31="")),"Lost needs reason and closed on",""),IF(AND(C31="Nurture",OR(T31="",U31="")),"Nurture needs reason and date","")))</f>
        <v/>
      </c>
      <c r="AB31" s="34" t="str">
        <f aca="false">IF(AND(C31="Won",V31&lt;&gt;"",V31&gt;=S_SemStart,V31&lt;=S_SemEnd),V31+ROW()/100000,"")</f>
        <v/>
      </c>
      <c r="AC31" s="34" t="str">
        <f aca="false">IF(AND(C31="Lost",V31&lt;&gt;"",V31&gt;=S_SemStart,V31&lt;=S_SemEnd),V31+ROW()/100000,"")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9"/>
      <c r="J32" s="29"/>
      <c r="K32" s="27"/>
      <c r="L32" s="27"/>
      <c r="M32" s="28"/>
      <c r="N32" s="28"/>
      <c r="O32" s="28"/>
      <c r="P32" s="28"/>
      <c r="Q32" s="27"/>
      <c r="R32" s="27"/>
      <c r="S32" s="27"/>
      <c r="T32" s="27"/>
      <c r="U32" s="28"/>
      <c r="V32" s="28"/>
      <c r="W32" s="27"/>
      <c r="X32" s="32" t="str">
        <f aca="false">IF(A32="","",IF(OR(C32="Planned",C32="Contacted",C32="Meeting",C32="Proposal sent",C32="Negotiation"),"Yes","No"))</f>
        <v/>
      </c>
      <c r="Y32" s="32" t="str">
        <f aca="false">IF(A32="","",IF(AND(C32="Won",P32&lt;&gt;"",P32&lt;=S_Today+S_RenewalDays,COUNTIFS($A$3:$A$502,A32,$F$3:$F$502,"Yes",$X$3:$X$502,"Yes")=0),"Renewal due",IF(X32&lt;&gt;"Yes","",IF(OR(L32="",M32=""),"Missing next action",IF(M32&lt;S_Today,"Overdue",IF(AND(C32="Contacted",_xlfn.MAXIFS(Interactions!$A$3:$A$502,Interactions!$B$3:$B$502,A32,Interactions!$F$3:$F$502,"Sent by us")&gt;0,_xlfn.MAXIFS(Interactions!$A$3:$A$502,Interactions!$B$3:$B$502,A32,Interactions!$F$3:$F$502,"Sent by us")&lt;=S_Today-S_NoReplyDays,MAX(_xlfn.MAXIFS(Interactions!$A$3:$A$502,Interactions!$B$3:$B$502,A32,Interactions!$F$3:$F$502,"Received from them"),_xlfn.MAXIFS(Interactions!$A$3:$A$502,Interactions!$B$3:$B$502,A32,Interactions!$F$3:$F$502,"Two-way"))&lt;_xlfn.MAXIFS(Interactions!$A$3:$A$502,Interactions!$B$3:$B$502,A32,Interactions!$F$3:$F$502,"Sent by us")),"No reply",IF(M32&lt;=S_Today+7,"Due this week","")))))))</f>
        <v/>
      </c>
      <c r="Z32" s="34" t="str">
        <f aca="false">IF(OR(A32="",Y32=""),"",IF(Y32="Renewal due",100000,IF(Y32="Overdue",200000,IF(Y32="No reply",300000,IF(Y32="Due this week",400000,500000))))+IF(Y32="Renewal due",P32-40000,IF(Y32="Missing next action",0,M32-40000))+ROW()/100000)</f>
        <v/>
      </c>
      <c r="AA32" s="32" t="str">
        <f aca="false">IF(A32="","",_xlfn.TEXTJOIN(", ",TRUE(),IF(AND(X32="Yes",D32=""),"No owner",IF(AND(D32&lt;&gt;"",COUNTIFS(R_TeamName,D32,R_TeamActive,"No")&gt;0),"Needs new owner","")),IF(AND(OR(C32="Proposal sent",C32="Negotiation"),H32="",I32="",K32=""),"Add package or proposed value",""),IF(AND(C32="Won",OR(P32="",V32="")),"Won needs renewal date and closed on",""),IF(AND(C32="Won",G32="Cash",J32=""),"Add agreed value",""),IF(AND(C32="Lost",OR(S32="",V32="")),"Lost needs reason and closed on",""),IF(AND(C32="Nurture",OR(T32="",U32="")),"Nurture needs reason and date","")))</f>
        <v/>
      </c>
      <c r="AB32" s="34" t="str">
        <f aca="false">IF(AND(C32="Won",V32&lt;&gt;"",V32&gt;=S_SemStart,V32&lt;=S_SemEnd),V32+ROW()/100000,"")</f>
        <v/>
      </c>
      <c r="AC32" s="34" t="str">
        <f aca="false">IF(AND(C32="Lost",V32&lt;&gt;"",V32&gt;=S_SemStart,V32&lt;=S_SemEnd),V32+ROW()/100000,"")</f>
        <v/>
      </c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9"/>
      <c r="J33" s="29"/>
      <c r="K33" s="27"/>
      <c r="L33" s="27"/>
      <c r="M33" s="28"/>
      <c r="N33" s="28"/>
      <c r="O33" s="28"/>
      <c r="P33" s="28"/>
      <c r="Q33" s="27"/>
      <c r="R33" s="27"/>
      <c r="S33" s="27"/>
      <c r="T33" s="27"/>
      <c r="U33" s="28"/>
      <c r="V33" s="28"/>
      <c r="W33" s="27"/>
      <c r="X33" s="32" t="str">
        <f aca="false">IF(A33="","",IF(OR(C33="Planned",C33="Contacted",C33="Meeting",C33="Proposal sent",C33="Negotiation"),"Yes","No"))</f>
        <v/>
      </c>
      <c r="Y33" s="32" t="str">
        <f aca="false">IF(A33="","",IF(AND(C33="Won",P33&lt;&gt;"",P33&lt;=S_Today+S_RenewalDays,COUNTIFS($A$3:$A$502,A33,$F$3:$F$502,"Yes",$X$3:$X$502,"Yes")=0),"Renewal due",IF(X33&lt;&gt;"Yes","",IF(OR(L33="",M33=""),"Missing next action",IF(M33&lt;S_Today,"Overdue",IF(AND(C33="Contacted",_xlfn.MAXIFS(Interactions!$A$3:$A$502,Interactions!$B$3:$B$502,A33,Interactions!$F$3:$F$502,"Sent by us")&gt;0,_xlfn.MAXIFS(Interactions!$A$3:$A$502,Interactions!$B$3:$B$502,A33,Interactions!$F$3:$F$502,"Sent by us")&lt;=S_Today-S_NoReplyDays,MAX(_xlfn.MAXIFS(Interactions!$A$3:$A$502,Interactions!$B$3:$B$502,A33,Interactions!$F$3:$F$502,"Received from them"),_xlfn.MAXIFS(Interactions!$A$3:$A$502,Interactions!$B$3:$B$502,A33,Interactions!$F$3:$F$502,"Two-way"))&lt;_xlfn.MAXIFS(Interactions!$A$3:$A$502,Interactions!$B$3:$B$502,A33,Interactions!$F$3:$F$502,"Sent by us")),"No reply",IF(M33&lt;=S_Today+7,"Due this week","")))))))</f>
        <v/>
      </c>
      <c r="Z33" s="34" t="str">
        <f aca="false">IF(OR(A33="",Y33=""),"",IF(Y33="Renewal due",100000,IF(Y33="Overdue",200000,IF(Y33="No reply",300000,IF(Y33="Due this week",400000,500000))))+IF(Y33="Renewal due",P33-40000,IF(Y33="Missing next action",0,M33-40000))+ROW()/100000)</f>
        <v/>
      </c>
      <c r="AA33" s="32" t="str">
        <f aca="false">IF(A33="","",_xlfn.TEXTJOIN(", ",TRUE(),IF(AND(X33="Yes",D33=""),"No owner",IF(AND(D33&lt;&gt;"",COUNTIFS(R_TeamName,D33,R_TeamActive,"No")&gt;0),"Needs new owner","")),IF(AND(OR(C33="Proposal sent",C33="Negotiation"),H33="",I33="",K33=""),"Add package or proposed value",""),IF(AND(C33="Won",OR(P33="",V33="")),"Won needs renewal date and closed on",""),IF(AND(C33="Won",G33="Cash",J33=""),"Add agreed value",""),IF(AND(C33="Lost",OR(S33="",V33="")),"Lost needs reason and closed on",""),IF(AND(C33="Nurture",OR(T33="",U33="")),"Nurture needs reason and date","")))</f>
        <v/>
      </c>
      <c r="AB33" s="34" t="str">
        <f aca="false">IF(AND(C33="Won",V33&lt;&gt;"",V33&gt;=S_SemStart,V33&lt;=S_SemEnd),V33+ROW()/100000,"")</f>
        <v/>
      </c>
      <c r="AC33" s="34" t="str">
        <f aca="false">IF(AND(C33="Lost",V33&lt;&gt;"",V33&gt;=S_SemStart,V33&lt;=S_SemEnd),V33+ROW()/100000,"")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9"/>
      <c r="J34" s="29"/>
      <c r="K34" s="27"/>
      <c r="L34" s="27"/>
      <c r="M34" s="28"/>
      <c r="N34" s="28"/>
      <c r="O34" s="28"/>
      <c r="P34" s="28"/>
      <c r="Q34" s="27"/>
      <c r="R34" s="27"/>
      <c r="S34" s="27"/>
      <c r="T34" s="27"/>
      <c r="U34" s="28"/>
      <c r="V34" s="28"/>
      <c r="W34" s="27"/>
      <c r="X34" s="32" t="str">
        <f aca="false">IF(A34="","",IF(OR(C34="Planned",C34="Contacted",C34="Meeting",C34="Proposal sent",C34="Negotiation"),"Yes","No"))</f>
        <v/>
      </c>
      <c r="Y34" s="32" t="str">
        <f aca="false">IF(A34="","",IF(AND(C34="Won",P34&lt;&gt;"",P34&lt;=S_Today+S_RenewalDays,COUNTIFS($A$3:$A$502,A34,$F$3:$F$502,"Yes",$X$3:$X$502,"Yes")=0),"Renewal due",IF(X34&lt;&gt;"Yes","",IF(OR(L34="",M34=""),"Missing next action",IF(M34&lt;S_Today,"Overdue",IF(AND(C34="Contacted",_xlfn.MAXIFS(Interactions!$A$3:$A$502,Interactions!$B$3:$B$502,A34,Interactions!$F$3:$F$502,"Sent by us")&gt;0,_xlfn.MAXIFS(Interactions!$A$3:$A$502,Interactions!$B$3:$B$502,A34,Interactions!$F$3:$F$502,"Sent by us")&lt;=S_Today-S_NoReplyDays,MAX(_xlfn.MAXIFS(Interactions!$A$3:$A$502,Interactions!$B$3:$B$502,A34,Interactions!$F$3:$F$502,"Received from them"),_xlfn.MAXIFS(Interactions!$A$3:$A$502,Interactions!$B$3:$B$502,A34,Interactions!$F$3:$F$502,"Two-way"))&lt;_xlfn.MAXIFS(Interactions!$A$3:$A$502,Interactions!$B$3:$B$502,A34,Interactions!$F$3:$F$502,"Sent by us")),"No reply",IF(M34&lt;=S_Today+7,"Due this week","")))))))</f>
        <v/>
      </c>
      <c r="Z34" s="34" t="str">
        <f aca="false">IF(OR(A34="",Y34=""),"",IF(Y34="Renewal due",100000,IF(Y34="Overdue",200000,IF(Y34="No reply",300000,IF(Y34="Due this week",400000,500000))))+IF(Y34="Renewal due",P34-40000,IF(Y34="Missing next action",0,M34-40000))+ROW()/100000)</f>
        <v/>
      </c>
      <c r="AA34" s="32" t="str">
        <f aca="false">IF(A34="","",_xlfn.TEXTJOIN(", ",TRUE(),IF(AND(X34="Yes",D34=""),"No owner",IF(AND(D34&lt;&gt;"",COUNTIFS(R_TeamName,D34,R_TeamActive,"No")&gt;0),"Needs new owner","")),IF(AND(OR(C34="Proposal sent",C34="Negotiation"),H34="",I34="",K34=""),"Add package or proposed value",""),IF(AND(C34="Won",OR(P34="",V34="")),"Won needs renewal date and closed on",""),IF(AND(C34="Won",G34="Cash",J34=""),"Add agreed value",""),IF(AND(C34="Lost",OR(S34="",V34="")),"Lost needs reason and closed on",""),IF(AND(C34="Nurture",OR(T34="",U34="")),"Nurture needs reason and date","")))</f>
        <v/>
      </c>
      <c r="AB34" s="34" t="str">
        <f aca="false">IF(AND(C34="Won",V34&lt;&gt;"",V34&gt;=S_SemStart,V34&lt;=S_SemEnd),V34+ROW()/100000,"")</f>
        <v/>
      </c>
      <c r="AC34" s="34" t="str">
        <f aca="false">IF(AND(C34="Lost",V34&lt;&gt;"",V34&gt;=S_SemStart,V34&lt;=S_SemEnd),V34+ROW()/100000,"")</f>
        <v/>
      </c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9"/>
      <c r="J35" s="29"/>
      <c r="K35" s="27"/>
      <c r="L35" s="27"/>
      <c r="M35" s="28"/>
      <c r="N35" s="28"/>
      <c r="O35" s="28"/>
      <c r="P35" s="28"/>
      <c r="Q35" s="27"/>
      <c r="R35" s="27"/>
      <c r="S35" s="27"/>
      <c r="T35" s="27"/>
      <c r="U35" s="28"/>
      <c r="V35" s="28"/>
      <c r="W35" s="27"/>
      <c r="X35" s="32" t="str">
        <f aca="false">IF(A35="","",IF(OR(C35="Planned",C35="Contacted",C35="Meeting",C35="Proposal sent",C35="Negotiation"),"Yes","No"))</f>
        <v/>
      </c>
      <c r="Y35" s="32" t="str">
        <f aca="false">IF(A35="","",IF(AND(C35="Won",P35&lt;&gt;"",P35&lt;=S_Today+S_RenewalDays,COUNTIFS($A$3:$A$502,A35,$F$3:$F$502,"Yes",$X$3:$X$502,"Yes")=0),"Renewal due",IF(X35&lt;&gt;"Yes","",IF(OR(L35="",M35=""),"Missing next action",IF(M35&lt;S_Today,"Overdue",IF(AND(C35="Contacted",_xlfn.MAXIFS(Interactions!$A$3:$A$502,Interactions!$B$3:$B$502,A35,Interactions!$F$3:$F$502,"Sent by us")&gt;0,_xlfn.MAXIFS(Interactions!$A$3:$A$502,Interactions!$B$3:$B$502,A35,Interactions!$F$3:$F$502,"Sent by us")&lt;=S_Today-S_NoReplyDays,MAX(_xlfn.MAXIFS(Interactions!$A$3:$A$502,Interactions!$B$3:$B$502,A35,Interactions!$F$3:$F$502,"Received from them"),_xlfn.MAXIFS(Interactions!$A$3:$A$502,Interactions!$B$3:$B$502,A35,Interactions!$F$3:$F$502,"Two-way"))&lt;_xlfn.MAXIFS(Interactions!$A$3:$A$502,Interactions!$B$3:$B$502,A35,Interactions!$F$3:$F$502,"Sent by us")),"No reply",IF(M35&lt;=S_Today+7,"Due this week","")))))))</f>
        <v/>
      </c>
      <c r="Z35" s="34" t="str">
        <f aca="false">IF(OR(A35="",Y35=""),"",IF(Y35="Renewal due",100000,IF(Y35="Overdue",200000,IF(Y35="No reply",300000,IF(Y35="Due this week",400000,500000))))+IF(Y35="Renewal due",P35-40000,IF(Y35="Missing next action",0,M35-40000))+ROW()/100000)</f>
        <v/>
      </c>
      <c r="AA35" s="32" t="str">
        <f aca="false">IF(A35="","",_xlfn.TEXTJOIN(", ",TRUE(),IF(AND(X35="Yes",D35=""),"No owner",IF(AND(D35&lt;&gt;"",COUNTIFS(R_TeamName,D35,R_TeamActive,"No")&gt;0),"Needs new owner","")),IF(AND(OR(C35="Proposal sent",C35="Negotiation"),H35="",I35="",K35=""),"Add package or proposed value",""),IF(AND(C35="Won",OR(P35="",V35="")),"Won needs renewal date and closed on",""),IF(AND(C35="Won",G35="Cash",J35=""),"Add agreed value",""),IF(AND(C35="Lost",OR(S35="",V35="")),"Lost needs reason and closed on",""),IF(AND(C35="Nurture",OR(T35="",U35="")),"Nurture needs reason and date","")))</f>
        <v/>
      </c>
      <c r="AB35" s="34" t="str">
        <f aca="false">IF(AND(C35="Won",V35&lt;&gt;"",V35&gt;=S_SemStart,V35&lt;=S_SemEnd),V35+ROW()/100000,"")</f>
        <v/>
      </c>
      <c r="AC35" s="34" t="str">
        <f aca="false">IF(AND(C35="Lost",V35&lt;&gt;"",V35&gt;=S_SemStart,V35&lt;=S_SemEnd),V35+ROW()/100000,"")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9"/>
      <c r="J36" s="29"/>
      <c r="K36" s="27"/>
      <c r="L36" s="27"/>
      <c r="M36" s="28"/>
      <c r="N36" s="28"/>
      <c r="O36" s="28"/>
      <c r="P36" s="28"/>
      <c r="Q36" s="27"/>
      <c r="R36" s="27"/>
      <c r="S36" s="27"/>
      <c r="T36" s="27"/>
      <c r="U36" s="28"/>
      <c r="V36" s="28"/>
      <c r="W36" s="27"/>
      <c r="X36" s="32" t="str">
        <f aca="false">IF(A36="","",IF(OR(C36="Planned",C36="Contacted",C36="Meeting",C36="Proposal sent",C36="Negotiation"),"Yes","No"))</f>
        <v/>
      </c>
      <c r="Y36" s="32" t="str">
        <f aca="false">IF(A36="","",IF(AND(C36="Won",P36&lt;&gt;"",P36&lt;=S_Today+S_RenewalDays,COUNTIFS($A$3:$A$502,A36,$F$3:$F$502,"Yes",$X$3:$X$502,"Yes")=0),"Renewal due",IF(X36&lt;&gt;"Yes","",IF(OR(L36="",M36=""),"Missing next action",IF(M36&lt;S_Today,"Overdue",IF(AND(C36="Contacted",_xlfn.MAXIFS(Interactions!$A$3:$A$502,Interactions!$B$3:$B$502,A36,Interactions!$F$3:$F$502,"Sent by us")&gt;0,_xlfn.MAXIFS(Interactions!$A$3:$A$502,Interactions!$B$3:$B$502,A36,Interactions!$F$3:$F$502,"Sent by us")&lt;=S_Today-S_NoReplyDays,MAX(_xlfn.MAXIFS(Interactions!$A$3:$A$502,Interactions!$B$3:$B$502,A36,Interactions!$F$3:$F$502,"Received from them"),_xlfn.MAXIFS(Interactions!$A$3:$A$502,Interactions!$B$3:$B$502,A36,Interactions!$F$3:$F$502,"Two-way"))&lt;_xlfn.MAXIFS(Interactions!$A$3:$A$502,Interactions!$B$3:$B$502,A36,Interactions!$F$3:$F$502,"Sent by us")),"No reply",IF(M36&lt;=S_Today+7,"Due this week","")))))))</f>
        <v/>
      </c>
      <c r="Z36" s="34" t="str">
        <f aca="false">IF(OR(A36="",Y36=""),"",IF(Y36="Renewal due",100000,IF(Y36="Overdue",200000,IF(Y36="No reply",300000,IF(Y36="Due this week",400000,500000))))+IF(Y36="Renewal due",P36-40000,IF(Y36="Missing next action",0,M36-40000))+ROW()/100000)</f>
        <v/>
      </c>
      <c r="AA36" s="32" t="str">
        <f aca="false">IF(A36="","",_xlfn.TEXTJOIN(", ",TRUE(),IF(AND(X36="Yes",D36=""),"No owner",IF(AND(D36&lt;&gt;"",COUNTIFS(R_TeamName,D36,R_TeamActive,"No")&gt;0),"Needs new owner","")),IF(AND(OR(C36="Proposal sent",C36="Negotiation"),H36="",I36="",K36=""),"Add package or proposed value",""),IF(AND(C36="Won",OR(P36="",V36="")),"Won needs renewal date and closed on",""),IF(AND(C36="Won",G36="Cash",J36=""),"Add agreed value",""),IF(AND(C36="Lost",OR(S36="",V36="")),"Lost needs reason and closed on",""),IF(AND(C36="Nurture",OR(T36="",U36="")),"Nurture needs reason and date","")))</f>
        <v/>
      </c>
      <c r="AB36" s="34" t="str">
        <f aca="false">IF(AND(C36="Won",V36&lt;&gt;"",V36&gt;=S_SemStart,V36&lt;=S_SemEnd),V36+ROW()/100000,"")</f>
        <v/>
      </c>
      <c r="AC36" s="34" t="str">
        <f aca="false">IF(AND(C36="Lost",V36&lt;&gt;"",V36&gt;=S_SemStart,V36&lt;=S_SemEnd),V36+ROW()/100000,"")</f>
        <v/>
      </c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9"/>
      <c r="J37" s="29"/>
      <c r="K37" s="27"/>
      <c r="L37" s="27"/>
      <c r="M37" s="28"/>
      <c r="N37" s="28"/>
      <c r="O37" s="28"/>
      <c r="P37" s="28"/>
      <c r="Q37" s="27"/>
      <c r="R37" s="27"/>
      <c r="S37" s="27"/>
      <c r="T37" s="27"/>
      <c r="U37" s="28"/>
      <c r="V37" s="28"/>
      <c r="W37" s="27"/>
      <c r="X37" s="32" t="str">
        <f aca="false">IF(A37="","",IF(OR(C37="Planned",C37="Contacted",C37="Meeting",C37="Proposal sent",C37="Negotiation"),"Yes","No"))</f>
        <v/>
      </c>
      <c r="Y37" s="32" t="str">
        <f aca="false">IF(A37="","",IF(AND(C37="Won",P37&lt;&gt;"",P37&lt;=S_Today+S_RenewalDays,COUNTIFS($A$3:$A$502,A37,$F$3:$F$502,"Yes",$X$3:$X$502,"Yes")=0),"Renewal due",IF(X37&lt;&gt;"Yes","",IF(OR(L37="",M37=""),"Missing next action",IF(M37&lt;S_Today,"Overdue",IF(AND(C37="Contacted",_xlfn.MAXIFS(Interactions!$A$3:$A$502,Interactions!$B$3:$B$502,A37,Interactions!$F$3:$F$502,"Sent by us")&gt;0,_xlfn.MAXIFS(Interactions!$A$3:$A$502,Interactions!$B$3:$B$502,A37,Interactions!$F$3:$F$502,"Sent by us")&lt;=S_Today-S_NoReplyDays,MAX(_xlfn.MAXIFS(Interactions!$A$3:$A$502,Interactions!$B$3:$B$502,A37,Interactions!$F$3:$F$502,"Received from them"),_xlfn.MAXIFS(Interactions!$A$3:$A$502,Interactions!$B$3:$B$502,A37,Interactions!$F$3:$F$502,"Two-way"))&lt;_xlfn.MAXIFS(Interactions!$A$3:$A$502,Interactions!$B$3:$B$502,A37,Interactions!$F$3:$F$502,"Sent by us")),"No reply",IF(M37&lt;=S_Today+7,"Due this week","")))))))</f>
        <v/>
      </c>
      <c r="Z37" s="34" t="str">
        <f aca="false">IF(OR(A37="",Y37=""),"",IF(Y37="Renewal due",100000,IF(Y37="Overdue",200000,IF(Y37="No reply",300000,IF(Y37="Due this week",400000,500000))))+IF(Y37="Renewal due",P37-40000,IF(Y37="Missing next action",0,M37-40000))+ROW()/100000)</f>
        <v/>
      </c>
      <c r="AA37" s="32" t="str">
        <f aca="false">IF(A37="","",_xlfn.TEXTJOIN(", ",TRUE(),IF(AND(X37="Yes",D37=""),"No owner",IF(AND(D37&lt;&gt;"",COUNTIFS(R_TeamName,D37,R_TeamActive,"No")&gt;0),"Needs new owner","")),IF(AND(OR(C37="Proposal sent",C37="Negotiation"),H37="",I37="",K37=""),"Add package or proposed value",""),IF(AND(C37="Won",OR(P37="",V37="")),"Won needs renewal date and closed on",""),IF(AND(C37="Won",G37="Cash",J37=""),"Add agreed value",""),IF(AND(C37="Lost",OR(S37="",V37="")),"Lost needs reason and closed on",""),IF(AND(C37="Nurture",OR(T37="",U37="")),"Nurture needs reason and date","")))</f>
        <v/>
      </c>
      <c r="AB37" s="34" t="str">
        <f aca="false">IF(AND(C37="Won",V37&lt;&gt;"",V37&gt;=S_SemStart,V37&lt;=S_SemEnd),V37+ROW()/100000,"")</f>
        <v/>
      </c>
      <c r="AC37" s="34" t="str">
        <f aca="false">IF(AND(C37="Lost",V37&lt;&gt;"",V37&gt;=S_SemStart,V37&lt;=S_SemEnd),V37+ROW()/100000,"")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9"/>
      <c r="J38" s="29"/>
      <c r="K38" s="27"/>
      <c r="L38" s="27"/>
      <c r="M38" s="28"/>
      <c r="N38" s="28"/>
      <c r="O38" s="28"/>
      <c r="P38" s="28"/>
      <c r="Q38" s="27"/>
      <c r="R38" s="27"/>
      <c r="S38" s="27"/>
      <c r="T38" s="27"/>
      <c r="U38" s="28"/>
      <c r="V38" s="28"/>
      <c r="W38" s="27"/>
      <c r="X38" s="32" t="str">
        <f aca="false">IF(A38="","",IF(OR(C38="Planned",C38="Contacted",C38="Meeting",C38="Proposal sent",C38="Negotiation"),"Yes","No"))</f>
        <v/>
      </c>
      <c r="Y38" s="32" t="str">
        <f aca="false">IF(A38="","",IF(AND(C38="Won",P38&lt;&gt;"",P38&lt;=S_Today+S_RenewalDays,COUNTIFS($A$3:$A$502,A38,$F$3:$F$502,"Yes",$X$3:$X$502,"Yes")=0),"Renewal due",IF(X38&lt;&gt;"Yes","",IF(OR(L38="",M38=""),"Missing next action",IF(M38&lt;S_Today,"Overdue",IF(AND(C38="Contacted",_xlfn.MAXIFS(Interactions!$A$3:$A$502,Interactions!$B$3:$B$502,A38,Interactions!$F$3:$F$502,"Sent by us")&gt;0,_xlfn.MAXIFS(Interactions!$A$3:$A$502,Interactions!$B$3:$B$502,A38,Interactions!$F$3:$F$502,"Sent by us")&lt;=S_Today-S_NoReplyDays,MAX(_xlfn.MAXIFS(Interactions!$A$3:$A$502,Interactions!$B$3:$B$502,A38,Interactions!$F$3:$F$502,"Received from them"),_xlfn.MAXIFS(Interactions!$A$3:$A$502,Interactions!$B$3:$B$502,A38,Interactions!$F$3:$F$502,"Two-way"))&lt;_xlfn.MAXIFS(Interactions!$A$3:$A$502,Interactions!$B$3:$B$502,A38,Interactions!$F$3:$F$502,"Sent by us")),"No reply",IF(M38&lt;=S_Today+7,"Due this week","")))))))</f>
        <v/>
      </c>
      <c r="Z38" s="34" t="str">
        <f aca="false">IF(OR(A38="",Y38=""),"",IF(Y38="Renewal due",100000,IF(Y38="Overdue",200000,IF(Y38="No reply",300000,IF(Y38="Due this week",400000,500000))))+IF(Y38="Renewal due",P38-40000,IF(Y38="Missing next action",0,M38-40000))+ROW()/100000)</f>
        <v/>
      </c>
      <c r="AA38" s="32" t="str">
        <f aca="false">IF(A38="","",_xlfn.TEXTJOIN(", ",TRUE(),IF(AND(X38="Yes",D38=""),"No owner",IF(AND(D38&lt;&gt;"",COUNTIFS(R_TeamName,D38,R_TeamActive,"No")&gt;0),"Needs new owner","")),IF(AND(OR(C38="Proposal sent",C38="Negotiation"),H38="",I38="",K38=""),"Add package or proposed value",""),IF(AND(C38="Won",OR(P38="",V38="")),"Won needs renewal date and closed on",""),IF(AND(C38="Won",G38="Cash",J38=""),"Add agreed value",""),IF(AND(C38="Lost",OR(S38="",V38="")),"Lost needs reason and closed on",""),IF(AND(C38="Nurture",OR(T38="",U38="")),"Nurture needs reason and date","")))</f>
        <v/>
      </c>
      <c r="AB38" s="34" t="str">
        <f aca="false">IF(AND(C38="Won",V38&lt;&gt;"",V38&gt;=S_SemStart,V38&lt;=S_SemEnd),V38+ROW()/100000,"")</f>
        <v/>
      </c>
      <c r="AC38" s="34" t="str">
        <f aca="false">IF(AND(C38="Lost",V38&lt;&gt;"",V38&gt;=S_SemStart,V38&lt;=S_SemEnd),V38+ROW()/100000,"")</f>
        <v/>
      </c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9"/>
      <c r="J39" s="29"/>
      <c r="K39" s="27"/>
      <c r="L39" s="27"/>
      <c r="M39" s="28"/>
      <c r="N39" s="28"/>
      <c r="O39" s="28"/>
      <c r="P39" s="28"/>
      <c r="Q39" s="27"/>
      <c r="R39" s="27"/>
      <c r="S39" s="27"/>
      <c r="T39" s="27"/>
      <c r="U39" s="28"/>
      <c r="V39" s="28"/>
      <c r="W39" s="27"/>
      <c r="X39" s="32" t="str">
        <f aca="false">IF(A39="","",IF(OR(C39="Planned",C39="Contacted",C39="Meeting",C39="Proposal sent",C39="Negotiation"),"Yes","No"))</f>
        <v/>
      </c>
      <c r="Y39" s="32" t="str">
        <f aca="false">IF(A39="","",IF(AND(C39="Won",P39&lt;&gt;"",P39&lt;=S_Today+S_RenewalDays,COUNTIFS($A$3:$A$502,A39,$F$3:$F$502,"Yes",$X$3:$X$502,"Yes")=0),"Renewal due",IF(X39&lt;&gt;"Yes","",IF(OR(L39="",M39=""),"Missing next action",IF(M39&lt;S_Today,"Overdue",IF(AND(C39="Contacted",_xlfn.MAXIFS(Interactions!$A$3:$A$502,Interactions!$B$3:$B$502,A39,Interactions!$F$3:$F$502,"Sent by us")&gt;0,_xlfn.MAXIFS(Interactions!$A$3:$A$502,Interactions!$B$3:$B$502,A39,Interactions!$F$3:$F$502,"Sent by us")&lt;=S_Today-S_NoReplyDays,MAX(_xlfn.MAXIFS(Interactions!$A$3:$A$502,Interactions!$B$3:$B$502,A39,Interactions!$F$3:$F$502,"Received from them"),_xlfn.MAXIFS(Interactions!$A$3:$A$502,Interactions!$B$3:$B$502,A39,Interactions!$F$3:$F$502,"Two-way"))&lt;_xlfn.MAXIFS(Interactions!$A$3:$A$502,Interactions!$B$3:$B$502,A39,Interactions!$F$3:$F$502,"Sent by us")),"No reply",IF(M39&lt;=S_Today+7,"Due this week","")))))))</f>
        <v/>
      </c>
      <c r="Z39" s="34" t="str">
        <f aca="false">IF(OR(A39="",Y39=""),"",IF(Y39="Renewal due",100000,IF(Y39="Overdue",200000,IF(Y39="No reply",300000,IF(Y39="Due this week",400000,500000))))+IF(Y39="Renewal due",P39-40000,IF(Y39="Missing next action",0,M39-40000))+ROW()/100000)</f>
        <v/>
      </c>
      <c r="AA39" s="32" t="str">
        <f aca="false">IF(A39="","",_xlfn.TEXTJOIN(", ",TRUE(),IF(AND(X39="Yes",D39=""),"No owner",IF(AND(D39&lt;&gt;"",COUNTIFS(R_TeamName,D39,R_TeamActive,"No")&gt;0),"Needs new owner","")),IF(AND(OR(C39="Proposal sent",C39="Negotiation"),H39="",I39="",K39=""),"Add package or proposed value",""),IF(AND(C39="Won",OR(P39="",V39="")),"Won needs renewal date and closed on",""),IF(AND(C39="Won",G39="Cash",J39=""),"Add agreed value",""),IF(AND(C39="Lost",OR(S39="",V39="")),"Lost needs reason and closed on",""),IF(AND(C39="Nurture",OR(T39="",U39="")),"Nurture needs reason and date","")))</f>
        <v/>
      </c>
      <c r="AB39" s="34" t="str">
        <f aca="false">IF(AND(C39="Won",V39&lt;&gt;"",V39&gt;=S_SemStart,V39&lt;=S_SemEnd),V39+ROW()/100000,"")</f>
        <v/>
      </c>
      <c r="AC39" s="34" t="str">
        <f aca="false">IF(AND(C39="Lost",V39&lt;&gt;"",V39&gt;=S_SemStart,V39&lt;=S_SemEnd),V39+ROW()/100000,"")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9"/>
      <c r="J40" s="29"/>
      <c r="K40" s="27"/>
      <c r="L40" s="27"/>
      <c r="M40" s="28"/>
      <c r="N40" s="28"/>
      <c r="O40" s="28"/>
      <c r="P40" s="28"/>
      <c r="Q40" s="27"/>
      <c r="R40" s="27"/>
      <c r="S40" s="27"/>
      <c r="T40" s="27"/>
      <c r="U40" s="28"/>
      <c r="V40" s="28"/>
      <c r="W40" s="27"/>
      <c r="X40" s="32" t="str">
        <f aca="false">IF(A40="","",IF(OR(C40="Planned",C40="Contacted",C40="Meeting",C40="Proposal sent",C40="Negotiation"),"Yes","No"))</f>
        <v/>
      </c>
      <c r="Y40" s="32" t="str">
        <f aca="false">IF(A40="","",IF(AND(C40="Won",P40&lt;&gt;"",P40&lt;=S_Today+S_RenewalDays,COUNTIFS($A$3:$A$502,A40,$F$3:$F$502,"Yes",$X$3:$X$502,"Yes")=0),"Renewal due",IF(X40&lt;&gt;"Yes","",IF(OR(L40="",M40=""),"Missing next action",IF(M40&lt;S_Today,"Overdue",IF(AND(C40="Contacted",_xlfn.MAXIFS(Interactions!$A$3:$A$502,Interactions!$B$3:$B$502,A40,Interactions!$F$3:$F$502,"Sent by us")&gt;0,_xlfn.MAXIFS(Interactions!$A$3:$A$502,Interactions!$B$3:$B$502,A40,Interactions!$F$3:$F$502,"Sent by us")&lt;=S_Today-S_NoReplyDays,MAX(_xlfn.MAXIFS(Interactions!$A$3:$A$502,Interactions!$B$3:$B$502,A40,Interactions!$F$3:$F$502,"Received from them"),_xlfn.MAXIFS(Interactions!$A$3:$A$502,Interactions!$B$3:$B$502,A40,Interactions!$F$3:$F$502,"Two-way"))&lt;_xlfn.MAXIFS(Interactions!$A$3:$A$502,Interactions!$B$3:$B$502,A40,Interactions!$F$3:$F$502,"Sent by us")),"No reply",IF(M40&lt;=S_Today+7,"Due this week","")))))))</f>
        <v/>
      </c>
      <c r="Z40" s="34" t="str">
        <f aca="false">IF(OR(A40="",Y40=""),"",IF(Y40="Renewal due",100000,IF(Y40="Overdue",200000,IF(Y40="No reply",300000,IF(Y40="Due this week",400000,500000))))+IF(Y40="Renewal due",P40-40000,IF(Y40="Missing next action",0,M40-40000))+ROW()/100000)</f>
        <v/>
      </c>
      <c r="AA40" s="32" t="str">
        <f aca="false">IF(A40="","",_xlfn.TEXTJOIN(", ",TRUE(),IF(AND(X40="Yes",D40=""),"No owner",IF(AND(D40&lt;&gt;"",COUNTIFS(R_TeamName,D40,R_TeamActive,"No")&gt;0),"Needs new owner","")),IF(AND(OR(C40="Proposal sent",C40="Negotiation"),H40="",I40="",K40=""),"Add package or proposed value",""),IF(AND(C40="Won",OR(P40="",V40="")),"Won needs renewal date and closed on",""),IF(AND(C40="Won",G40="Cash",J40=""),"Add agreed value",""),IF(AND(C40="Lost",OR(S40="",V40="")),"Lost needs reason and closed on",""),IF(AND(C40="Nurture",OR(T40="",U40="")),"Nurture needs reason and date","")))</f>
        <v/>
      </c>
      <c r="AB40" s="34" t="str">
        <f aca="false">IF(AND(C40="Won",V40&lt;&gt;"",V40&gt;=S_SemStart,V40&lt;=S_SemEnd),V40+ROW()/100000,"")</f>
        <v/>
      </c>
      <c r="AC40" s="34" t="str">
        <f aca="false">IF(AND(C40="Lost",V40&lt;&gt;"",V40&gt;=S_SemStart,V40&lt;=S_SemEnd),V40+ROW()/100000,"")</f>
        <v/>
      </c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9"/>
      <c r="J41" s="29"/>
      <c r="K41" s="27"/>
      <c r="L41" s="27"/>
      <c r="M41" s="28"/>
      <c r="N41" s="28"/>
      <c r="O41" s="28"/>
      <c r="P41" s="28"/>
      <c r="Q41" s="27"/>
      <c r="R41" s="27"/>
      <c r="S41" s="27"/>
      <c r="T41" s="27"/>
      <c r="U41" s="28"/>
      <c r="V41" s="28"/>
      <c r="W41" s="27"/>
      <c r="X41" s="32" t="str">
        <f aca="false">IF(A41="","",IF(OR(C41="Planned",C41="Contacted",C41="Meeting",C41="Proposal sent",C41="Negotiation"),"Yes","No"))</f>
        <v/>
      </c>
      <c r="Y41" s="32" t="str">
        <f aca="false">IF(A41="","",IF(AND(C41="Won",P41&lt;&gt;"",P41&lt;=S_Today+S_RenewalDays,COUNTIFS($A$3:$A$502,A41,$F$3:$F$502,"Yes",$X$3:$X$502,"Yes")=0),"Renewal due",IF(X41&lt;&gt;"Yes","",IF(OR(L41="",M41=""),"Missing next action",IF(M41&lt;S_Today,"Overdue",IF(AND(C41="Contacted",_xlfn.MAXIFS(Interactions!$A$3:$A$502,Interactions!$B$3:$B$502,A41,Interactions!$F$3:$F$502,"Sent by us")&gt;0,_xlfn.MAXIFS(Interactions!$A$3:$A$502,Interactions!$B$3:$B$502,A41,Interactions!$F$3:$F$502,"Sent by us")&lt;=S_Today-S_NoReplyDays,MAX(_xlfn.MAXIFS(Interactions!$A$3:$A$502,Interactions!$B$3:$B$502,A41,Interactions!$F$3:$F$502,"Received from them"),_xlfn.MAXIFS(Interactions!$A$3:$A$502,Interactions!$B$3:$B$502,A41,Interactions!$F$3:$F$502,"Two-way"))&lt;_xlfn.MAXIFS(Interactions!$A$3:$A$502,Interactions!$B$3:$B$502,A41,Interactions!$F$3:$F$502,"Sent by us")),"No reply",IF(M41&lt;=S_Today+7,"Due this week","")))))))</f>
        <v/>
      </c>
      <c r="Z41" s="34" t="str">
        <f aca="false">IF(OR(A41="",Y41=""),"",IF(Y41="Renewal due",100000,IF(Y41="Overdue",200000,IF(Y41="No reply",300000,IF(Y41="Due this week",400000,500000))))+IF(Y41="Renewal due",P41-40000,IF(Y41="Missing next action",0,M41-40000))+ROW()/100000)</f>
        <v/>
      </c>
      <c r="AA41" s="32" t="str">
        <f aca="false">IF(A41="","",_xlfn.TEXTJOIN(", ",TRUE(),IF(AND(X41="Yes",D41=""),"No owner",IF(AND(D41&lt;&gt;"",COUNTIFS(R_TeamName,D41,R_TeamActive,"No")&gt;0),"Needs new owner","")),IF(AND(OR(C41="Proposal sent",C41="Negotiation"),H41="",I41="",K41=""),"Add package or proposed value",""),IF(AND(C41="Won",OR(P41="",V41="")),"Won needs renewal date and closed on",""),IF(AND(C41="Won",G41="Cash",J41=""),"Add agreed value",""),IF(AND(C41="Lost",OR(S41="",V41="")),"Lost needs reason and closed on",""),IF(AND(C41="Nurture",OR(T41="",U41="")),"Nurture needs reason and date","")))</f>
        <v/>
      </c>
      <c r="AB41" s="34" t="str">
        <f aca="false">IF(AND(C41="Won",V41&lt;&gt;"",V41&gt;=S_SemStart,V41&lt;=S_SemEnd),V41+ROW()/100000,"")</f>
        <v/>
      </c>
      <c r="AC41" s="34" t="str">
        <f aca="false">IF(AND(C41="Lost",V41&lt;&gt;"",V41&gt;=S_SemStart,V41&lt;=S_SemEnd),V41+ROW()/100000,"")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9"/>
      <c r="J42" s="29"/>
      <c r="K42" s="27"/>
      <c r="L42" s="27"/>
      <c r="M42" s="28"/>
      <c r="N42" s="28"/>
      <c r="O42" s="28"/>
      <c r="P42" s="28"/>
      <c r="Q42" s="27"/>
      <c r="R42" s="27"/>
      <c r="S42" s="27"/>
      <c r="T42" s="27"/>
      <c r="U42" s="28"/>
      <c r="V42" s="28"/>
      <c r="W42" s="27"/>
      <c r="X42" s="32" t="str">
        <f aca="false">IF(A42="","",IF(OR(C42="Planned",C42="Contacted",C42="Meeting",C42="Proposal sent",C42="Negotiation"),"Yes","No"))</f>
        <v/>
      </c>
      <c r="Y42" s="32" t="str">
        <f aca="false">IF(A42="","",IF(AND(C42="Won",P42&lt;&gt;"",P42&lt;=S_Today+S_RenewalDays,COUNTIFS($A$3:$A$502,A42,$F$3:$F$502,"Yes",$X$3:$X$502,"Yes")=0),"Renewal due",IF(X42&lt;&gt;"Yes","",IF(OR(L42="",M42=""),"Missing next action",IF(M42&lt;S_Today,"Overdue",IF(AND(C42="Contacted",_xlfn.MAXIFS(Interactions!$A$3:$A$502,Interactions!$B$3:$B$502,A42,Interactions!$F$3:$F$502,"Sent by us")&gt;0,_xlfn.MAXIFS(Interactions!$A$3:$A$502,Interactions!$B$3:$B$502,A42,Interactions!$F$3:$F$502,"Sent by us")&lt;=S_Today-S_NoReplyDays,MAX(_xlfn.MAXIFS(Interactions!$A$3:$A$502,Interactions!$B$3:$B$502,A42,Interactions!$F$3:$F$502,"Received from them"),_xlfn.MAXIFS(Interactions!$A$3:$A$502,Interactions!$B$3:$B$502,A42,Interactions!$F$3:$F$502,"Two-way"))&lt;_xlfn.MAXIFS(Interactions!$A$3:$A$502,Interactions!$B$3:$B$502,A42,Interactions!$F$3:$F$502,"Sent by us")),"No reply",IF(M42&lt;=S_Today+7,"Due this week","")))))))</f>
        <v/>
      </c>
      <c r="Z42" s="34" t="str">
        <f aca="false">IF(OR(A42="",Y42=""),"",IF(Y42="Renewal due",100000,IF(Y42="Overdue",200000,IF(Y42="No reply",300000,IF(Y42="Due this week",400000,500000))))+IF(Y42="Renewal due",P42-40000,IF(Y42="Missing next action",0,M42-40000))+ROW()/100000)</f>
        <v/>
      </c>
      <c r="AA42" s="32" t="str">
        <f aca="false">IF(A42="","",_xlfn.TEXTJOIN(", ",TRUE(),IF(AND(X42="Yes",D42=""),"No owner",IF(AND(D42&lt;&gt;"",COUNTIFS(R_TeamName,D42,R_TeamActive,"No")&gt;0),"Needs new owner","")),IF(AND(OR(C42="Proposal sent",C42="Negotiation"),H42="",I42="",K42=""),"Add package or proposed value",""),IF(AND(C42="Won",OR(P42="",V42="")),"Won needs renewal date and closed on",""),IF(AND(C42="Won",G42="Cash",J42=""),"Add agreed value",""),IF(AND(C42="Lost",OR(S42="",V42="")),"Lost needs reason and closed on",""),IF(AND(C42="Nurture",OR(T42="",U42="")),"Nurture needs reason and date","")))</f>
        <v/>
      </c>
      <c r="AB42" s="34" t="str">
        <f aca="false">IF(AND(C42="Won",V42&lt;&gt;"",V42&gt;=S_SemStart,V42&lt;=S_SemEnd),V42+ROW()/100000,"")</f>
        <v/>
      </c>
      <c r="AC42" s="34" t="str">
        <f aca="false">IF(AND(C42="Lost",V42&lt;&gt;"",V42&gt;=S_SemStart,V42&lt;=S_SemEnd),V42+ROW()/100000,"")</f>
        <v/>
      </c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9"/>
      <c r="J43" s="29"/>
      <c r="K43" s="27"/>
      <c r="L43" s="27"/>
      <c r="M43" s="28"/>
      <c r="N43" s="28"/>
      <c r="O43" s="28"/>
      <c r="P43" s="28"/>
      <c r="Q43" s="27"/>
      <c r="R43" s="27"/>
      <c r="S43" s="27"/>
      <c r="T43" s="27"/>
      <c r="U43" s="28"/>
      <c r="V43" s="28"/>
      <c r="W43" s="27"/>
      <c r="X43" s="32" t="str">
        <f aca="false">IF(A43="","",IF(OR(C43="Planned",C43="Contacted",C43="Meeting",C43="Proposal sent",C43="Negotiation"),"Yes","No"))</f>
        <v/>
      </c>
      <c r="Y43" s="32" t="str">
        <f aca="false">IF(A43="","",IF(AND(C43="Won",P43&lt;&gt;"",P43&lt;=S_Today+S_RenewalDays,COUNTIFS($A$3:$A$502,A43,$F$3:$F$502,"Yes",$X$3:$X$502,"Yes")=0),"Renewal due",IF(X43&lt;&gt;"Yes","",IF(OR(L43="",M43=""),"Missing next action",IF(M43&lt;S_Today,"Overdue",IF(AND(C43="Contacted",_xlfn.MAXIFS(Interactions!$A$3:$A$502,Interactions!$B$3:$B$502,A43,Interactions!$F$3:$F$502,"Sent by us")&gt;0,_xlfn.MAXIFS(Interactions!$A$3:$A$502,Interactions!$B$3:$B$502,A43,Interactions!$F$3:$F$502,"Sent by us")&lt;=S_Today-S_NoReplyDays,MAX(_xlfn.MAXIFS(Interactions!$A$3:$A$502,Interactions!$B$3:$B$502,A43,Interactions!$F$3:$F$502,"Received from them"),_xlfn.MAXIFS(Interactions!$A$3:$A$502,Interactions!$B$3:$B$502,A43,Interactions!$F$3:$F$502,"Two-way"))&lt;_xlfn.MAXIFS(Interactions!$A$3:$A$502,Interactions!$B$3:$B$502,A43,Interactions!$F$3:$F$502,"Sent by us")),"No reply",IF(M43&lt;=S_Today+7,"Due this week","")))))))</f>
        <v/>
      </c>
      <c r="Z43" s="34" t="str">
        <f aca="false">IF(OR(A43="",Y43=""),"",IF(Y43="Renewal due",100000,IF(Y43="Overdue",200000,IF(Y43="No reply",300000,IF(Y43="Due this week",400000,500000))))+IF(Y43="Renewal due",P43-40000,IF(Y43="Missing next action",0,M43-40000))+ROW()/100000)</f>
        <v/>
      </c>
      <c r="AA43" s="32" t="str">
        <f aca="false">IF(A43="","",_xlfn.TEXTJOIN(", ",TRUE(),IF(AND(X43="Yes",D43=""),"No owner",IF(AND(D43&lt;&gt;"",COUNTIFS(R_TeamName,D43,R_TeamActive,"No")&gt;0),"Needs new owner","")),IF(AND(OR(C43="Proposal sent",C43="Negotiation"),H43="",I43="",K43=""),"Add package or proposed value",""),IF(AND(C43="Won",OR(P43="",V43="")),"Won needs renewal date and closed on",""),IF(AND(C43="Won",G43="Cash",J43=""),"Add agreed value",""),IF(AND(C43="Lost",OR(S43="",V43="")),"Lost needs reason and closed on",""),IF(AND(C43="Nurture",OR(T43="",U43="")),"Nurture needs reason and date","")))</f>
        <v/>
      </c>
      <c r="AB43" s="34" t="str">
        <f aca="false">IF(AND(C43="Won",V43&lt;&gt;"",V43&gt;=S_SemStart,V43&lt;=S_SemEnd),V43+ROW()/100000,"")</f>
        <v/>
      </c>
      <c r="AC43" s="34" t="str">
        <f aca="false">IF(AND(C43="Lost",V43&lt;&gt;"",V43&gt;=S_SemStart,V43&lt;=S_SemEnd),V43+ROW()/100000,"")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9"/>
      <c r="J44" s="29"/>
      <c r="K44" s="27"/>
      <c r="L44" s="27"/>
      <c r="M44" s="28"/>
      <c r="N44" s="28"/>
      <c r="O44" s="28"/>
      <c r="P44" s="28"/>
      <c r="Q44" s="27"/>
      <c r="R44" s="27"/>
      <c r="S44" s="27"/>
      <c r="T44" s="27"/>
      <c r="U44" s="28"/>
      <c r="V44" s="28"/>
      <c r="W44" s="27"/>
      <c r="X44" s="32" t="str">
        <f aca="false">IF(A44="","",IF(OR(C44="Planned",C44="Contacted",C44="Meeting",C44="Proposal sent",C44="Negotiation"),"Yes","No"))</f>
        <v/>
      </c>
      <c r="Y44" s="32" t="str">
        <f aca="false">IF(A44="","",IF(AND(C44="Won",P44&lt;&gt;"",P44&lt;=S_Today+S_RenewalDays,COUNTIFS($A$3:$A$502,A44,$F$3:$F$502,"Yes",$X$3:$X$502,"Yes")=0),"Renewal due",IF(X44&lt;&gt;"Yes","",IF(OR(L44="",M44=""),"Missing next action",IF(M44&lt;S_Today,"Overdue",IF(AND(C44="Contacted",_xlfn.MAXIFS(Interactions!$A$3:$A$502,Interactions!$B$3:$B$502,A44,Interactions!$F$3:$F$502,"Sent by us")&gt;0,_xlfn.MAXIFS(Interactions!$A$3:$A$502,Interactions!$B$3:$B$502,A44,Interactions!$F$3:$F$502,"Sent by us")&lt;=S_Today-S_NoReplyDays,MAX(_xlfn.MAXIFS(Interactions!$A$3:$A$502,Interactions!$B$3:$B$502,A44,Interactions!$F$3:$F$502,"Received from them"),_xlfn.MAXIFS(Interactions!$A$3:$A$502,Interactions!$B$3:$B$502,A44,Interactions!$F$3:$F$502,"Two-way"))&lt;_xlfn.MAXIFS(Interactions!$A$3:$A$502,Interactions!$B$3:$B$502,A44,Interactions!$F$3:$F$502,"Sent by us")),"No reply",IF(M44&lt;=S_Today+7,"Due this week","")))))))</f>
        <v/>
      </c>
      <c r="Z44" s="34" t="str">
        <f aca="false">IF(OR(A44="",Y44=""),"",IF(Y44="Renewal due",100000,IF(Y44="Overdue",200000,IF(Y44="No reply",300000,IF(Y44="Due this week",400000,500000))))+IF(Y44="Renewal due",P44-40000,IF(Y44="Missing next action",0,M44-40000))+ROW()/100000)</f>
        <v/>
      </c>
      <c r="AA44" s="32" t="str">
        <f aca="false">IF(A44="","",_xlfn.TEXTJOIN(", ",TRUE(),IF(AND(X44="Yes",D44=""),"No owner",IF(AND(D44&lt;&gt;"",COUNTIFS(R_TeamName,D44,R_TeamActive,"No")&gt;0),"Needs new owner","")),IF(AND(OR(C44="Proposal sent",C44="Negotiation"),H44="",I44="",K44=""),"Add package or proposed value",""),IF(AND(C44="Won",OR(P44="",V44="")),"Won needs renewal date and closed on",""),IF(AND(C44="Won",G44="Cash",J44=""),"Add agreed value",""),IF(AND(C44="Lost",OR(S44="",V44="")),"Lost needs reason and closed on",""),IF(AND(C44="Nurture",OR(T44="",U44="")),"Nurture needs reason and date","")))</f>
        <v/>
      </c>
      <c r="AB44" s="34" t="str">
        <f aca="false">IF(AND(C44="Won",V44&lt;&gt;"",V44&gt;=S_SemStart,V44&lt;=S_SemEnd),V44+ROW()/100000,"")</f>
        <v/>
      </c>
      <c r="AC44" s="34" t="str">
        <f aca="false">IF(AND(C44="Lost",V44&lt;&gt;"",V44&gt;=S_SemStart,V44&lt;=S_SemEnd),V44+ROW()/100000,"")</f>
        <v/>
      </c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9"/>
      <c r="J45" s="29"/>
      <c r="K45" s="27"/>
      <c r="L45" s="27"/>
      <c r="M45" s="28"/>
      <c r="N45" s="28"/>
      <c r="O45" s="28"/>
      <c r="P45" s="28"/>
      <c r="Q45" s="27"/>
      <c r="R45" s="27"/>
      <c r="S45" s="27"/>
      <c r="T45" s="27"/>
      <c r="U45" s="28"/>
      <c r="V45" s="28"/>
      <c r="W45" s="27"/>
      <c r="X45" s="32" t="str">
        <f aca="false">IF(A45="","",IF(OR(C45="Planned",C45="Contacted",C45="Meeting",C45="Proposal sent",C45="Negotiation"),"Yes","No"))</f>
        <v/>
      </c>
      <c r="Y45" s="32" t="str">
        <f aca="false">IF(A45="","",IF(AND(C45="Won",P45&lt;&gt;"",P45&lt;=S_Today+S_RenewalDays,COUNTIFS($A$3:$A$502,A45,$F$3:$F$502,"Yes",$X$3:$X$502,"Yes")=0),"Renewal due",IF(X45&lt;&gt;"Yes","",IF(OR(L45="",M45=""),"Missing next action",IF(M45&lt;S_Today,"Overdue",IF(AND(C45="Contacted",_xlfn.MAXIFS(Interactions!$A$3:$A$502,Interactions!$B$3:$B$502,A45,Interactions!$F$3:$F$502,"Sent by us")&gt;0,_xlfn.MAXIFS(Interactions!$A$3:$A$502,Interactions!$B$3:$B$502,A45,Interactions!$F$3:$F$502,"Sent by us")&lt;=S_Today-S_NoReplyDays,MAX(_xlfn.MAXIFS(Interactions!$A$3:$A$502,Interactions!$B$3:$B$502,A45,Interactions!$F$3:$F$502,"Received from them"),_xlfn.MAXIFS(Interactions!$A$3:$A$502,Interactions!$B$3:$B$502,A45,Interactions!$F$3:$F$502,"Two-way"))&lt;_xlfn.MAXIFS(Interactions!$A$3:$A$502,Interactions!$B$3:$B$502,A45,Interactions!$F$3:$F$502,"Sent by us")),"No reply",IF(M45&lt;=S_Today+7,"Due this week","")))))))</f>
        <v/>
      </c>
      <c r="Z45" s="34" t="str">
        <f aca="false">IF(OR(A45="",Y45=""),"",IF(Y45="Renewal due",100000,IF(Y45="Overdue",200000,IF(Y45="No reply",300000,IF(Y45="Due this week",400000,500000))))+IF(Y45="Renewal due",P45-40000,IF(Y45="Missing next action",0,M45-40000))+ROW()/100000)</f>
        <v/>
      </c>
      <c r="AA45" s="32" t="str">
        <f aca="false">IF(A45="","",_xlfn.TEXTJOIN(", ",TRUE(),IF(AND(X45="Yes",D45=""),"No owner",IF(AND(D45&lt;&gt;"",COUNTIFS(R_TeamName,D45,R_TeamActive,"No")&gt;0),"Needs new owner","")),IF(AND(OR(C45="Proposal sent",C45="Negotiation"),H45="",I45="",K45=""),"Add package or proposed value",""),IF(AND(C45="Won",OR(P45="",V45="")),"Won needs renewal date and closed on",""),IF(AND(C45="Won",G45="Cash",J45=""),"Add agreed value",""),IF(AND(C45="Lost",OR(S45="",V45="")),"Lost needs reason and closed on",""),IF(AND(C45="Nurture",OR(T45="",U45="")),"Nurture needs reason and date","")))</f>
        <v/>
      </c>
      <c r="AB45" s="34" t="str">
        <f aca="false">IF(AND(C45="Won",V45&lt;&gt;"",V45&gt;=S_SemStart,V45&lt;=S_SemEnd),V45+ROW()/100000,"")</f>
        <v/>
      </c>
      <c r="AC45" s="34" t="str">
        <f aca="false">IF(AND(C45="Lost",V45&lt;&gt;"",V45&gt;=S_SemStart,V45&lt;=S_SemEnd),V45+ROW()/100000,"")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9"/>
      <c r="J46" s="29"/>
      <c r="K46" s="27"/>
      <c r="L46" s="27"/>
      <c r="M46" s="28"/>
      <c r="N46" s="28"/>
      <c r="O46" s="28"/>
      <c r="P46" s="28"/>
      <c r="Q46" s="27"/>
      <c r="R46" s="27"/>
      <c r="S46" s="27"/>
      <c r="T46" s="27"/>
      <c r="U46" s="28"/>
      <c r="V46" s="28"/>
      <c r="W46" s="27"/>
      <c r="X46" s="32" t="str">
        <f aca="false">IF(A46="","",IF(OR(C46="Planned",C46="Contacted",C46="Meeting",C46="Proposal sent",C46="Negotiation"),"Yes","No"))</f>
        <v/>
      </c>
      <c r="Y46" s="32" t="str">
        <f aca="false">IF(A46="","",IF(AND(C46="Won",P46&lt;&gt;"",P46&lt;=S_Today+S_RenewalDays,COUNTIFS($A$3:$A$502,A46,$F$3:$F$502,"Yes",$X$3:$X$502,"Yes")=0),"Renewal due",IF(X46&lt;&gt;"Yes","",IF(OR(L46="",M46=""),"Missing next action",IF(M46&lt;S_Today,"Overdue",IF(AND(C46="Contacted",_xlfn.MAXIFS(Interactions!$A$3:$A$502,Interactions!$B$3:$B$502,A46,Interactions!$F$3:$F$502,"Sent by us")&gt;0,_xlfn.MAXIFS(Interactions!$A$3:$A$502,Interactions!$B$3:$B$502,A46,Interactions!$F$3:$F$502,"Sent by us")&lt;=S_Today-S_NoReplyDays,MAX(_xlfn.MAXIFS(Interactions!$A$3:$A$502,Interactions!$B$3:$B$502,A46,Interactions!$F$3:$F$502,"Received from them"),_xlfn.MAXIFS(Interactions!$A$3:$A$502,Interactions!$B$3:$B$502,A46,Interactions!$F$3:$F$502,"Two-way"))&lt;_xlfn.MAXIFS(Interactions!$A$3:$A$502,Interactions!$B$3:$B$502,A46,Interactions!$F$3:$F$502,"Sent by us")),"No reply",IF(M46&lt;=S_Today+7,"Due this week","")))))))</f>
        <v/>
      </c>
      <c r="Z46" s="34" t="str">
        <f aca="false">IF(OR(A46="",Y46=""),"",IF(Y46="Renewal due",100000,IF(Y46="Overdue",200000,IF(Y46="No reply",300000,IF(Y46="Due this week",400000,500000))))+IF(Y46="Renewal due",P46-40000,IF(Y46="Missing next action",0,M46-40000))+ROW()/100000)</f>
        <v/>
      </c>
      <c r="AA46" s="32" t="str">
        <f aca="false">IF(A46="","",_xlfn.TEXTJOIN(", ",TRUE(),IF(AND(X46="Yes",D46=""),"No owner",IF(AND(D46&lt;&gt;"",COUNTIFS(R_TeamName,D46,R_TeamActive,"No")&gt;0),"Needs new owner","")),IF(AND(OR(C46="Proposal sent",C46="Negotiation"),H46="",I46="",K46=""),"Add package or proposed value",""),IF(AND(C46="Won",OR(P46="",V46="")),"Won needs renewal date and closed on",""),IF(AND(C46="Won",G46="Cash",J46=""),"Add agreed value",""),IF(AND(C46="Lost",OR(S46="",V46="")),"Lost needs reason and closed on",""),IF(AND(C46="Nurture",OR(T46="",U46="")),"Nurture needs reason and date","")))</f>
        <v/>
      </c>
      <c r="AB46" s="34" t="str">
        <f aca="false">IF(AND(C46="Won",V46&lt;&gt;"",V46&gt;=S_SemStart,V46&lt;=S_SemEnd),V46+ROW()/100000,"")</f>
        <v/>
      </c>
      <c r="AC46" s="34" t="str">
        <f aca="false">IF(AND(C46="Lost",V46&lt;&gt;"",V46&gt;=S_SemStart,V46&lt;=S_SemEnd),V46+ROW()/100000,"")</f>
        <v/>
      </c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9"/>
      <c r="J47" s="29"/>
      <c r="K47" s="27"/>
      <c r="L47" s="27"/>
      <c r="M47" s="28"/>
      <c r="N47" s="28"/>
      <c r="O47" s="28"/>
      <c r="P47" s="28"/>
      <c r="Q47" s="27"/>
      <c r="R47" s="27"/>
      <c r="S47" s="27"/>
      <c r="T47" s="27"/>
      <c r="U47" s="28"/>
      <c r="V47" s="28"/>
      <c r="W47" s="27"/>
      <c r="X47" s="32" t="str">
        <f aca="false">IF(A47="","",IF(OR(C47="Planned",C47="Contacted",C47="Meeting",C47="Proposal sent",C47="Negotiation"),"Yes","No"))</f>
        <v/>
      </c>
      <c r="Y47" s="32" t="str">
        <f aca="false">IF(A47="","",IF(AND(C47="Won",P47&lt;&gt;"",P47&lt;=S_Today+S_RenewalDays,COUNTIFS($A$3:$A$502,A47,$F$3:$F$502,"Yes",$X$3:$X$502,"Yes")=0),"Renewal due",IF(X47&lt;&gt;"Yes","",IF(OR(L47="",M47=""),"Missing next action",IF(M47&lt;S_Today,"Overdue",IF(AND(C47="Contacted",_xlfn.MAXIFS(Interactions!$A$3:$A$502,Interactions!$B$3:$B$502,A47,Interactions!$F$3:$F$502,"Sent by us")&gt;0,_xlfn.MAXIFS(Interactions!$A$3:$A$502,Interactions!$B$3:$B$502,A47,Interactions!$F$3:$F$502,"Sent by us")&lt;=S_Today-S_NoReplyDays,MAX(_xlfn.MAXIFS(Interactions!$A$3:$A$502,Interactions!$B$3:$B$502,A47,Interactions!$F$3:$F$502,"Received from them"),_xlfn.MAXIFS(Interactions!$A$3:$A$502,Interactions!$B$3:$B$502,A47,Interactions!$F$3:$F$502,"Two-way"))&lt;_xlfn.MAXIFS(Interactions!$A$3:$A$502,Interactions!$B$3:$B$502,A47,Interactions!$F$3:$F$502,"Sent by us")),"No reply",IF(M47&lt;=S_Today+7,"Due this week","")))))))</f>
        <v/>
      </c>
      <c r="Z47" s="34" t="str">
        <f aca="false">IF(OR(A47="",Y47=""),"",IF(Y47="Renewal due",100000,IF(Y47="Overdue",200000,IF(Y47="No reply",300000,IF(Y47="Due this week",400000,500000))))+IF(Y47="Renewal due",P47-40000,IF(Y47="Missing next action",0,M47-40000))+ROW()/100000)</f>
        <v/>
      </c>
      <c r="AA47" s="32" t="str">
        <f aca="false">IF(A47="","",_xlfn.TEXTJOIN(", ",TRUE(),IF(AND(X47="Yes",D47=""),"No owner",IF(AND(D47&lt;&gt;"",COUNTIFS(R_TeamName,D47,R_TeamActive,"No")&gt;0),"Needs new owner","")),IF(AND(OR(C47="Proposal sent",C47="Negotiation"),H47="",I47="",K47=""),"Add package or proposed value",""),IF(AND(C47="Won",OR(P47="",V47="")),"Won needs renewal date and closed on",""),IF(AND(C47="Won",G47="Cash",J47=""),"Add agreed value",""),IF(AND(C47="Lost",OR(S47="",V47="")),"Lost needs reason and closed on",""),IF(AND(C47="Nurture",OR(T47="",U47="")),"Nurture needs reason and date","")))</f>
        <v/>
      </c>
      <c r="AB47" s="34" t="str">
        <f aca="false">IF(AND(C47="Won",V47&lt;&gt;"",V47&gt;=S_SemStart,V47&lt;=S_SemEnd),V47+ROW()/100000,"")</f>
        <v/>
      </c>
      <c r="AC47" s="34" t="str">
        <f aca="false">IF(AND(C47="Lost",V47&lt;&gt;"",V47&gt;=S_SemStart,V47&lt;=S_SemEnd),V47+ROW()/100000,"")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9"/>
      <c r="J48" s="29"/>
      <c r="K48" s="27"/>
      <c r="L48" s="27"/>
      <c r="M48" s="28"/>
      <c r="N48" s="28"/>
      <c r="O48" s="28"/>
      <c r="P48" s="28"/>
      <c r="Q48" s="27"/>
      <c r="R48" s="27"/>
      <c r="S48" s="27"/>
      <c r="T48" s="27"/>
      <c r="U48" s="28"/>
      <c r="V48" s="28"/>
      <c r="W48" s="27"/>
      <c r="X48" s="32" t="str">
        <f aca="false">IF(A48="","",IF(OR(C48="Planned",C48="Contacted",C48="Meeting",C48="Proposal sent",C48="Negotiation"),"Yes","No"))</f>
        <v/>
      </c>
      <c r="Y48" s="32" t="str">
        <f aca="false">IF(A48="","",IF(AND(C48="Won",P48&lt;&gt;"",P48&lt;=S_Today+S_RenewalDays,COUNTIFS($A$3:$A$502,A48,$F$3:$F$502,"Yes",$X$3:$X$502,"Yes")=0),"Renewal due",IF(X48&lt;&gt;"Yes","",IF(OR(L48="",M48=""),"Missing next action",IF(M48&lt;S_Today,"Overdue",IF(AND(C48="Contacted",_xlfn.MAXIFS(Interactions!$A$3:$A$502,Interactions!$B$3:$B$502,A48,Interactions!$F$3:$F$502,"Sent by us")&gt;0,_xlfn.MAXIFS(Interactions!$A$3:$A$502,Interactions!$B$3:$B$502,A48,Interactions!$F$3:$F$502,"Sent by us")&lt;=S_Today-S_NoReplyDays,MAX(_xlfn.MAXIFS(Interactions!$A$3:$A$502,Interactions!$B$3:$B$502,A48,Interactions!$F$3:$F$502,"Received from them"),_xlfn.MAXIFS(Interactions!$A$3:$A$502,Interactions!$B$3:$B$502,A48,Interactions!$F$3:$F$502,"Two-way"))&lt;_xlfn.MAXIFS(Interactions!$A$3:$A$502,Interactions!$B$3:$B$502,A48,Interactions!$F$3:$F$502,"Sent by us")),"No reply",IF(M48&lt;=S_Today+7,"Due this week","")))))))</f>
        <v/>
      </c>
      <c r="Z48" s="34" t="str">
        <f aca="false">IF(OR(A48="",Y48=""),"",IF(Y48="Renewal due",100000,IF(Y48="Overdue",200000,IF(Y48="No reply",300000,IF(Y48="Due this week",400000,500000))))+IF(Y48="Renewal due",P48-40000,IF(Y48="Missing next action",0,M48-40000))+ROW()/100000)</f>
        <v/>
      </c>
      <c r="AA48" s="32" t="str">
        <f aca="false">IF(A48="","",_xlfn.TEXTJOIN(", ",TRUE(),IF(AND(X48="Yes",D48=""),"No owner",IF(AND(D48&lt;&gt;"",COUNTIFS(R_TeamName,D48,R_TeamActive,"No")&gt;0),"Needs new owner","")),IF(AND(OR(C48="Proposal sent",C48="Negotiation"),H48="",I48="",K48=""),"Add package or proposed value",""),IF(AND(C48="Won",OR(P48="",V48="")),"Won needs renewal date and closed on",""),IF(AND(C48="Won",G48="Cash",J48=""),"Add agreed value",""),IF(AND(C48="Lost",OR(S48="",V48="")),"Lost needs reason and closed on",""),IF(AND(C48="Nurture",OR(T48="",U48="")),"Nurture needs reason and date","")))</f>
        <v/>
      </c>
      <c r="AB48" s="34" t="str">
        <f aca="false">IF(AND(C48="Won",V48&lt;&gt;"",V48&gt;=S_SemStart,V48&lt;=S_SemEnd),V48+ROW()/100000,"")</f>
        <v/>
      </c>
      <c r="AC48" s="34" t="str">
        <f aca="false">IF(AND(C48="Lost",V48&lt;&gt;"",V48&gt;=S_SemStart,V48&lt;=S_SemEnd),V48+ROW()/100000,"")</f>
        <v/>
      </c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9"/>
      <c r="J49" s="29"/>
      <c r="K49" s="27"/>
      <c r="L49" s="27"/>
      <c r="M49" s="28"/>
      <c r="N49" s="28"/>
      <c r="O49" s="28"/>
      <c r="P49" s="28"/>
      <c r="Q49" s="27"/>
      <c r="R49" s="27"/>
      <c r="S49" s="27"/>
      <c r="T49" s="27"/>
      <c r="U49" s="28"/>
      <c r="V49" s="28"/>
      <c r="W49" s="27"/>
      <c r="X49" s="32" t="str">
        <f aca="false">IF(A49="","",IF(OR(C49="Planned",C49="Contacted",C49="Meeting",C49="Proposal sent",C49="Negotiation"),"Yes","No"))</f>
        <v/>
      </c>
      <c r="Y49" s="32" t="str">
        <f aca="false">IF(A49="","",IF(AND(C49="Won",P49&lt;&gt;"",P49&lt;=S_Today+S_RenewalDays,COUNTIFS($A$3:$A$502,A49,$F$3:$F$502,"Yes",$X$3:$X$502,"Yes")=0),"Renewal due",IF(X49&lt;&gt;"Yes","",IF(OR(L49="",M49=""),"Missing next action",IF(M49&lt;S_Today,"Overdue",IF(AND(C49="Contacted",_xlfn.MAXIFS(Interactions!$A$3:$A$502,Interactions!$B$3:$B$502,A49,Interactions!$F$3:$F$502,"Sent by us")&gt;0,_xlfn.MAXIFS(Interactions!$A$3:$A$502,Interactions!$B$3:$B$502,A49,Interactions!$F$3:$F$502,"Sent by us")&lt;=S_Today-S_NoReplyDays,MAX(_xlfn.MAXIFS(Interactions!$A$3:$A$502,Interactions!$B$3:$B$502,A49,Interactions!$F$3:$F$502,"Received from them"),_xlfn.MAXIFS(Interactions!$A$3:$A$502,Interactions!$B$3:$B$502,A49,Interactions!$F$3:$F$502,"Two-way"))&lt;_xlfn.MAXIFS(Interactions!$A$3:$A$502,Interactions!$B$3:$B$502,A49,Interactions!$F$3:$F$502,"Sent by us")),"No reply",IF(M49&lt;=S_Today+7,"Due this week","")))))))</f>
        <v/>
      </c>
      <c r="Z49" s="34" t="str">
        <f aca="false">IF(OR(A49="",Y49=""),"",IF(Y49="Renewal due",100000,IF(Y49="Overdue",200000,IF(Y49="No reply",300000,IF(Y49="Due this week",400000,500000))))+IF(Y49="Renewal due",P49-40000,IF(Y49="Missing next action",0,M49-40000))+ROW()/100000)</f>
        <v/>
      </c>
      <c r="AA49" s="32" t="str">
        <f aca="false">IF(A49="","",_xlfn.TEXTJOIN(", ",TRUE(),IF(AND(X49="Yes",D49=""),"No owner",IF(AND(D49&lt;&gt;"",COUNTIFS(R_TeamName,D49,R_TeamActive,"No")&gt;0),"Needs new owner","")),IF(AND(OR(C49="Proposal sent",C49="Negotiation"),H49="",I49="",K49=""),"Add package or proposed value",""),IF(AND(C49="Won",OR(P49="",V49="")),"Won needs renewal date and closed on",""),IF(AND(C49="Won",G49="Cash",J49=""),"Add agreed value",""),IF(AND(C49="Lost",OR(S49="",V49="")),"Lost needs reason and closed on",""),IF(AND(C49="Nurture",OR(T49="",U49="")),"Nurture needs reason and date","")))</f>
        <v/>
      </c>
      <c r="AB49" s="34" t="str">
        <f aca="false">IF(AND(C49="Won",V49&lt;&gt;"",V49&gt;=S_SemStart,V49&lt;=S_SemEnd),V49+ROW()/100000,"")</f>
        <v/>
      </c>
      <c r="AC49" s="34" t="str">
        <f aca="false">IF(AND(C49="Lost",V49&lt;&gt;"",V49&gt;=S_SemStart,V49&lt;=S_SemEnd),V49+ROW()/100000,"")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9"/>
      <c r="J50" s="29"/>
      <c r="K50" s="27"/>
      <c r="L50" s="27"/>
      <c r="M50" s="28"/>
      <c r="N50" s="28"/>
      <c r="O50" s="28"/>
      <c r="P50" s="28"/>
      <c r="Q50" s="27"/>
      <c r="R50" s="27"/>
      <c r="S50" s="27"/>
      <c r="T50" s="27"/>
      <c r="U50" s="28"/>
      <c r="V50" s="28"/>
      <c r="W50" s="27"/>
      <c r="X50" s="32" t="str">
        <f aca="false">IF(A50="","",IF(OR(C50="Planned",C50="Contacted",C50="Meeting",C50="Proposal sent",C50="Negotiation"),"Yes","No"))</f>
        <v/>
      </c>
      <c r="Y50" s="32" t="str">
        <f aca="false">IF(A50="","",IF(AND(C50="Won",P50&lt;&gt;"",P50&lt;=S_Today+S_RenewalDays,COUNTIFS($A$3:$A$502,A50,$F$3:$F$502,"Yes",$X$3:$X$502,"Yes")=0),"Renewal due",IF(X50&lt;&gt;"Yes","",IF(OR(L50="",M50=""),"Missing next action",IF(M50&lt;S_Today,"Overdue",IF(AND(C50="Contacted",_xlfn.MAXIFS(Interactions!$A$3:$A$502,Interactions!$B$3:$B$502,A50,Interactions!$F$3:$F$502,"Sent by us")&gt;0,_xlfn.MAXIFS(Interactions!$A$3:$A$502,Interactions!$B$3:$B$502,A50,Interactions!$F$3:$F$502,"Sent by us")&lt;=S_Today-S_NoReplyDays,MAX(_xlfn.MAXIFS(Interactions!$A$3:$A$502,Interactions!$B$3:$B$502,A50,Interactions!$F$3:$F$502,"Received from them"),_xlfn.MAXIFS(Interactions!$A$3:$A$502,Interactions!$B$3:$B$502,A50,Interactions!$F$3:$F$502,"Two-way"))&lt;_xlfn.MAXIFS(Interactions!$A$3:$A$502,Interactions!$B$3:$B$502,A50,Interactions!$F$3:$F$502,"Sent by us")),"No reply",IF(M50&lt;=S_Today+7,"Due this week","")))))))</f>
        <v/>
      </c>
      <c r="Z50" s="34" t="str">
        <f aca="false">IF(OR(A50="",Y50=""),"",IF(Y50="Renewal due",100000,IF(Y50="Overdue",200000,IF(Y50="No reply",300000,IF(Y50="Due this week",400000,500000))))+IF(Y50="Renewal due",P50-40000,IF(Y50="Missing next action",0,M50-40000))+ROW()/100000)</f>
        <v/>
      </c>
      <c r="AA50" s="32" t="str">
        <f aca="false">IF(A50="","",_xlfn.TEXTJOIN(", ",TRUE(),IF(AND(X50="Yes",D50=""),"No owner",IF(AND(D50&lt;&gt;"",COUNTIFS(R_TeamName,D50,R_TeamActive,"No")&gt;0),"Needs new owner","")),IF(AND(OR(C50="Proposal sent",C50="Negotiation"),H50="",I50="",K50=""),"Add package or proposed value",""),IF(AND(C50="Won",OR(P50="",V50="")),"Won needs renewal date and closed on",""),IF(AND(C50="Won",G50="Cash",J50=""),"Add agreed value",""),IF(AND(C50="Lost",OR(S50="",V50="")),"Lost needs reason and closed on",""),IF(AND(C50="Nurture",OR(T50="",U50="")),"Nurture needs reason and date","")))</f>
        <v/>
      </c>
      <c r="AB50" s="34" t="str">
        <f aca="false">IF(AND(C50="Won",V50&lt;&gt;"",V50&gt;=S_SemStart,V50&lt;=S_SemEnd),V50+ROW()/100000,"")</f>
        <v/>
      </c>
      <c r="AC50" s="34" t="str">
        <f aca="false">IF(AND(C50="Lost",V50&lt;&gt;"",V50&gt;=S_SemStart,V50&lt;=S_SemEnd),V50+ROW()/100000,"")</f>
        <v/>
      </c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9"/>
      <c r="J51" s="29"/>
      <c r="K51" s="27"/>
      <c r="L51" s="27"/>
      <c r="M51" s="28"/>
      <c r="N51" s="28"/>
      <c r="O51" s="28"/>
      <c r="P51" s="28"/>
      <c r="Q51" s="27"/>
      <c r="R51" s="27"/>
      <c r="S51" s="27"/>
      <c r="T51" s="27"/>
      <c r="U51" s="28"/>
      <c r="V51" s="28"/>
      <c r="W51" s="27"/>
      <c r="X51" s="32" t="str">
        <f aca="false">IF(A51="","",IF(OR(C51="Planned",C51="Contacted",C51="Meeting",C51="Proposal sent",C51="Negotiation"),"Yes","No"))</f>
        <v/>
      </c>
      <c r="Y51" s="32" t="str">
        <f aca="false">IF(A51="","",IF(AND(C51="Won",P51&lt;&gt;"",P51&lt;=S_Today+S_RenewalDays,COUNTIFS($A$3:$A$502,A51,$F$3:$F$502,"Yes",$X$3:$X$502,"Yes")=0),"Renewal due",IF(X51&lt;&gt;"Yes","",IF(OR(L51="",M51=""),"Missing next action",IF(M51&lt;S_Today,"Overdue",IF(AND(C51="Contacted",_xlfn.MAXIFS(Interactions!$A$3:$A$502,Interactions!$B$3:$B$502,A51,Interactions!$F$3:$F$502,"Sent by us")&gt;0,_xlfn.MAXIFS(Interactions!$A$3:$A$502,Interactions!$B$3:$B$502,A51,Interactions!$F$3:$F$502,"Sent by us")&lt;=S_Today-S_NoReplyDays,MAX(_xlfn.MAXIFS(Interactions!$A$3:$A$502,Interactions!$B$3:$B$502,A51,Interactions!$F$3:$F$502,"Received from them"),_xlfn.MAXIFS(Interactions!$A$3:$A$502,Interactions!$B$3:$B$502,A51,Interactions!$F$3:$F$502,"Two-way"))&lt;_xlfn.MAXIFS(Interactions!$A$3:$A$502,Interactions!$B$3:$B$502,A51,Interactions!$F$3:$F$502,"Sent by us")),"No reply",IF(M51&lt;=S_Today+7,"Due this week","")))))))</f>
        <v/>
      </c>
      <c r="Z51" s="34" t="str">
        <f aca="false">IF(OR(A51="",Y51=""),"",IF(Y51="Renewal due",100000,IF(Y51="Overdue",200000,IF(Y51="No reply",300000,IF(Y51="Due this week",400000,500000))))+IF(Y51="Renewal due",P51-40000,IF(Y51="Missing next action",0,M51-40000))+ROW()/100000)</f>
        <v/>
      </c>
      <c r="AA51" s="32" t="str">
        <f aca="false">IF(A51="","",_xlfn.TEXTJOIN(", ",TRUE(),IF(AND(X51="Yes",D51=""),"No owner",IF(AND(D51&lt;&gt;"",COUNTIFS(R_TeamName,D51,R_TeamActive,"No")&gt;0),"Needs new owner","")),IF(AND(OR(C51="Proposal sent",C51="Negotiation"),H51="",I51="",K51=""),"Add package or proposed value",""),IF(AND(C51="Won",OR(P51="",V51="")),"Won needs renewal date and closed on",""),IF(AND(C51="Won",G51="Cash",J51=""),"Add agreed value",""),IF(AND(C51="Lost",OR(S51="",V51="")),"Lost needs reason and closed on",""),IF(AND(C51="Nurture",OR(T51="",U51="")),"Nurture needs reason and date","")))</f>
        <v/>
      </c>
      <c r="AB51" s="34" t="str">
        <f aca="false">IF(AND(C51="Won",V51&lt;&gt;"",V51&gt;=S_SemStart,V51&lt;=S_SemEnd),V51+ROW()/100000,"")</f>
        <v/>
      </c>
      <c r="AC51" s="34" t="str">
        <f aca="false">IF(AND(C51="Lost",V51&lt;&gt;"",V51&gt;=S_SemStart,V51&lt;=S_SemEnd),V51+ROW()/100000,"")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9"/>
      <c r="J52" s="29"/>
      <c r="K52" s="27"/>
      <c r="L52" s="27"/>
      <c r="M52" s="28"/>
      <c r="N52" s="28"/>
      <c r="O52" s="28"/>
      <c r="P52" s="28"/>
      <c r="Q52" s="27"/>
      <c r="R52" s="27"/>
      <c r="S52" s="27"/>
      <c r="T52" s="27"/>
      <c r="U52" s="28"/>
      <c r="V52" s="28"/>
      <c r="W52" s="27"/>
      <c r="X52" s="32" t="str">
        <f aca="false">IF(A52="","",IF(OR(C52="Planned",C52="Contacted",C52="Meeting",C52="Proposal sent",C52="Negotiation"),"Yes","No"))</f>
        <v/>
      </c>
      <c r="Y52" s="32" t="str">
        <f aca="false">IF(A52="","",IF(AND(C52="Won",P52&lt;&gt;"",P52&lt;=S_Today+S_RenewalDays,COUNTIFS($A$3:$A$502,A52,$F$3:$F$502,"Yes",$X$3:$X$502,"Yes")=0),"Renewal due",IF(X52&lt;&gt;"Yes","",IF(OR(L52="",M52=""),"Missing next action",IF(M52&lt;S_Today,"Overdue",IF(AND(C52="Contacted",_xlfn.MAXIFS(Interactions!$A$3:$A$502,Interactions!$B$3:$B$502,A52,Interactions!$F$3:$F$502,"Sent by us")&gt;0,_xlfn.MAXIFS(Interactions!$A$3:$A$502,Interactions!$B$3:$B$502,A52,Interactions!$F$3:$F$502,"Sent by us")&lt;=S_Today-S_NoReplyDays,MAX(_xlfn.MAXIFS(Interactions!$A$3:$A$502,Interactions!$B$3:$B$502,A52,Interactions!$F$3:$F$502,"Received from them"),_xlfn.MAXIFS(Interactions!$A$3:$A$502,Interactions!$B$3:$B$502,A52,Interactions!$F$3:$F$502,"Two-way"))&lt;_xlfn.MAXIFS(Interactions!$A$3:$A$502,Interactions!$B$3:$B$502,A52,Interactions!$F$3:$F$502,"Sent by us")),"No reply",IF(M52&lt;=S_Today+7,"Due this week","")))))))</f>
        <v/>
      </c>
      <c r="Z52" s="34" t="str">
        <f aca="false">IF(OR(A52="",Y52=""),"",IF(Y52="Renewal due",100000,IF(Y52="Overdue",200000,IF(Y52="No reply",300000,IF(Y52="Due this week",400000,500000))))+IF(Y52="Renewal due",P52-40000,IF(Y52="Missing next action",0,M52-40000))+ROW()/100000)</f>
        <v/>
      </c>
      <c r="AA52" s="32" t="str">
        <f aca="false">IF(A52="","",_xlfn.TEXTJOIN(", ",TRUE(),IF(AND(X52="Yes",D52=""),"No owner",IF(AND(D52&lt;&gt;"",COUNTIFS(R_TeamName,D52,R_TeamActive,"No")&gt;0),"Needs new owner","")),IF(AND(OR(C52="Proposal sent",C52="Negotiation"),H52="",I52="",K52=""),"Add package or proposed value",""),IF(AND(C52="Won",OR(P52="",V52="")),"Won needs renewal date and closed on",""),IF(AND(C52="Won",G52="Cash",J52=""),"Add agreed value",""),IF(AND(C52="Lost",OR(S52="",V52="")),"Lost needs reason and closed on",""),IF(AND(C52="Nurture",OR(T52="",U52="")),"Nurture needs reason and date","")))</f>
        <v/>
      </c>
      <c r="AB52" s="34" t="str">
        <f aca="false">IF(AND(C52="Won",V52&lt;&gt;"",V52&gt;=S_SemStart,V52&lt;=S_SemEnd),V52+ROW()/100000,"")</f>
        <v/>
      </c>
      <c r="AC52" s="34" t="str">
        <f aca="false">IF(AND(C52="Lost",V52&lt;&gt;"",V52&gt;=S_SemStart,V52&lt;=S_SemEnd),V52+ROW()/100000,"")</f>
        <v/>
      </c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9"/>
      <c r="J53" s="29"/>
      <c r="K53" s="27"/>
      <c r="L53" s="27"/>
      <c r="M53" s="28"/>
      <c r="N53" s="28"/>
      <c r="O53" s="28"/>
      <c r="P53" s="28"/>
      <c r="Q53" s="27"/>
      <c r="R53" s="27"/>
      <c r="S53" s="27"/>
      <c r="T53" s="27"/>
      <c r="U53" s="28"/>
      <c r="V53" s="28"/>
      <c r="W53" s="27"/>
      <c r="X53" s="32" t="str">
        <f aca="false">IF(A53="","",IF(OR(C53="Planned",C53="Contacted",C53="Meeting",C53="Proposal sent",C53="Negotiation"),"Yes","No"))</f>
        <v/>
      </c>
      <c r="Y53" s="32" t="str">
        <f aca="false">IF(A53="","",IF(AND(C53="Won",P53&lt;&gt;"",P53&lt;=S_Today+S_RenewalDays,COUNTIFS($A$3:$A$502,A53,$F$3:$F$502,"Yes",$X$3:$X$502,"Yes")=0),"Renewal due",IF(X53&lt;&gt;"Yes","",IF(OR(L53="",M53=""),"Missing next action",IF(M53&lt;S_Today,"Overdue",IF(AND(C53="Contacted",_xlfn.MAXIFS(Interactions!$A$3:$A$502,Interactions!$B$3:$B$502,A53,Interactions!$F$3:$F$502,"Sent by us")&gt;0,_xlfn.MAXIFS(Interactions!$A$3:$A$502,Interactions!$B$3:$B$502,A53,Interactions!$F$3:$F$502,"Sent by us")&lt;=S_Today-S_NoReplyDays,MAX(_xlfn.MAXIFS(Interactions!$A$3:$A$502,Interactions!$B$3:$B$502,A53,Interactions!$F$3:$F$502,"Received from them"),_xlfn.MAXIFS(Interactions!$A$3:$A$502,Interactions!$B$3:$B$502,A53,Interactions!$F$3:$F$502,"Two-way"))&lt;_xlfn.MAXIFS(Interactions!$A$3:$A$502,Interactions!$B$3:$B$502,A53,Interactions!$F$3:$F$502,"Sent by us")),"No reply",IF(M53&lt;=S_Today+7,"Due this week","")))))))</f>
        <v/>
      </c>
      <c r="Z53" s="34" t="str">
        <f aca="false">IF(OR(A53="",Y53=""),"",IF(Y53="Renewal due",100000,IF(Y53="Overdue",200000,IF(Y53="No reply",300000,IF(Y53="Due this week",400000,500000))))+IF(Y53="Renewal due",P53-40000,IF(Y53="Missing next action",0,M53-40000))+ROW()/100000)</f>
        <v/>
      </c>
      <c r="AA53" s="32" t="str">
        <f aca="false">IF(A53="","",_xlfn.TEXTJOIN(", ",TRUE(),IF(AND(X53="Yes",D53=""),"No owner",IF(AND(D53&lt;&gt;"",COUNTIFS(R_TeamName,D53,R_TeamActive,"No")&gt;0),"Needs new owner","")),IF(AND(OR(C53="Proposal sent",C53="Negotiation"),H53="",I53="",K53=""),"Add package or proposed value",""),IF(AND(C53="Won",OR(P53="",V53="")),"Won needs renewal date and closed on",""),IF(AND(C53="Won",G53="Cash",J53=""),"Add agreed value",""),IF(AND(C53="Lost",OR(S53="",V53="")),"Lost needs reason and closed on",""),IF(AND(C53="Nurture",OR(T53="",U53="")),"Nurture needs reason and date","")))</f>
        <v/>
      </c>
      <c r="AB53" s="34" t="str">
        <f aca="false">IF(AND(C53="Won",V53&lt;&gt;"",V53&gt;=S_SemStart,V53&lt;=S_SemEnd),V53+ROW()/100000,"")</f>
        <v/>
      </c>
      <c r="AC53" s="34" t="str">
        <f aca="false">IF(AND(C53="Lost",V53&lt;&gt;"",V53&gt;=S_SemStart,V53&lt;=S_SemEnd),V53+ROW()/100000,"")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9"/>
      <c r="J54" s="29"/>
      <c r="K54" s="27"/>
      <c r="L54" s="27"/>
      <c r="M54" s="28"/>
      <c r="N54" s="28"/>
      <c r="O54" s="28"/>
      <c r="P54" s="28"/>
      <c r="Q54" s="27"/>
      <c r="R54" s="27"/>
      <c r="S54" s="27"/>
      <c r="T54" s="27"/>
      <c r="U54" s="28"/>
      <c r="V54" s="28"/>
      <c r="W54" s="27"/>
      <c r="X54" s="32" t="str">
        <f aca="false">IF(A54="","",IF(OR(C54="Planned",C54="Contacted",C54="Meeting",C54="Proposal sent",C54="Negotiation"),"Yes","No"))</f>
        <v/>
      </c>
      <c r="Y54" s="32" t="str">
        <f aca="false">IF(A54="","",IF(AND(C54="Won",P54&lt;&gt;"",P54&lt;=S_Today+S_RenewalDays,COUNTIFS($A$3:$A$502,A54,$F$3:$F$502,"Yes",$X$3:$X$502,"Yes")=0),"Renewal due",IF(X54&lt;&gt;"Yes","",IF(OR(L54="",M54=""),"Missing next action",IF(M54&lt;S_Today,"Overdue",IF(AND(C54="Contacted",_xlfn.MAXIFS(Interactions!$A$3:$A$502,Interactions!$B$3:$B$502,A54,Interactions!$F$3:$F$502,"Sent by us")&gt;0,_xlfn.MAXIFS(Interactions!$A$3:$A$502,Interactions!$B$3:$B$502,A54,Interactions!$F$3:$F$502,"Sent by us")&lt;=S_Today-S_NoReplyDays,MAX(_xlfn.MAXIFS(Interactions!$A$3:$A$502,Interactions!$B$3:$B$502,A54,Interactions!$F$3:$F$502,"Received from them"),_xlfn.MAXIFS(Interactions!$A$3:$A$502,Interactions!$B$3:$B$502,A54,Interactions!$F$3:$F$502,"Two-way"))&lt;_xlfn.MAXIFS(Interactions!$A$3:$A$502,Interactions!$B$3:$B$502,A54,Interactions!$F$3:$F$502,"Sent by us")),"No reply",IF(M54&lt;=S_Today+7,"Due this week","")))))))</f>
        <v/>
      </c>
      <c r="Z54" s="34" t="str">
        <f aca="false">IF(OR(A54="",Y54=""),"",IF(Y54="Renewal due",100000,IF(Y54="Overdue",200000,IF(Y54="No reply",300000,IF(Y54="Due this week",400000,500000))))+IF(Y54="Renewal due",P54-40000,IF(Y54="Missing next action",0,M54-40000))+ROW()/100000)</f>
        <v/>
      </c>
      <c r="AA54" s="32" t="str">
        <f aca="false">IF(A54="","",_xlfn.TEXTJOIN(", ",TRUE(),IF(AND(X54="Yes",D54=""),"No owner",IF(AND(D54&lt;&gt;"",COUNTIFS(R_TeamName,D54,R_TeamActive,"No")&gt;0),"Needs new owner","")),IF(AND(OR(C54="Proposal sent",C54="Negotiation"),H54="",I54="",K54=""),"Add package or proposed value",""),IF(AND(C54="Won",OR(P54="",V54="")),"Won needs renewal date and closed on",""),IF(AND(C54="Won",G54="Cash",J54=""),"Add agreed value",""),IF(AND(C54="Lost",OR(S54="",V54="")),"Lost needs reason and closed on",""),IF(AND(C54="Nurture",OR(T54="",U54="")),"Nurture needs reason and date","")))</f>
        <v/>
      </c>
      <c r="AB54" s="34" t="str">
        <f aca="false">IF(AND(C54="Won",V54&lt;&gt;"",V54&gt;=S_SemStart,V54&lt;=S_SemEnd),V54+ROW()/100000,"")</f>
        <v/>
      </c>
      <c r="AC54" s="34" t="str">
        <f aca="false">IF(AND(C54="Lost",V54&lt;&gt;"",V54&gt;=S_SemStart,V54&lt;=S_SemEnd),V54+ROW()/100000,"")</f>
        <v/>
      </c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9"/>
      <c r="J55" s="29"/>
      <c r="K55" s="27"/>
      <c r="L55" s="27"/>
      <c r="M55" s="28"/>
      <c r="N55" s="28"/>
      <c r="O55" s="28"/>
      <c r="P55" s="28"/>
      <c r="Q55" s="27"/>
      <c r="R55" s="27"/>
      <c r="S55" s="27"/>
      <c r="T55" s="27"/>
      <c r="U55" s="28"/>
      <c r="V55" s="28"/>
      <c r="W55" s="27"/>
      <c r="X55" s="32" t="str">
        <f aca="false">IF(A55="","",IF(OR(C55="Planned",C55="Contacted",C55="Meeting",C55="Proposal sent",C55="Negotiation"),"Yes","No"))</f>
        <v/>
      </c>
      <c r="Y55" s="32" t="str">
        <f aca="false">IF(A55="","",IF(AND(C55="Won",P55&lt;&gt;"",P55&lt;=S_Today+S_RenewalDays,COUNTIFS($A$3:$A$502,A55,$F$3:$F$502,"Yes",$X$3:$X$502,"Yes")=0),"Renewal due",IF(X55&lt;&gt;"Yes","",IF(OR(L55="",M55=""),"Missing next action",IF(M55&lt;S_Today,"Overdue",IF(AND(C55="Contacted",_xlfn.MAXIFS(Interactions!$A$3:$A$502,Interactions!$B$3:$B$502,A55,Interactions!$F$3:$F$502,"Sent by us")&gt;0,_xlfn.MAXIFS(Interactions!$A$3:$A$502,Interactions!$B$3:$B$502,A55,Interactions!$F$3:$F$502,"Sent by us")&lt;=S_Today-S_NoReplyDays,MAX(_xlfn.MAXIFS(Interactions!$A$3:$A$502,Interactions!$B$3:$B$502,A55,Interactions!$F$3:$F$502,"Received from them"),_xlfn.MAXIFS(Interactions!$A$3:$A$502,Interactions!$B$3:$B$502,A55,Interactions!$F$3:$F$502,"Two-way"))&lt;_xlfn.MAXIFS(Interactions!$A$3:$A$502,Interactions!$B$3:$B$502,A55,Interactions!$F$3:$F$502,"Sent by us")),"No reply",IF(M55&lt;=S_Today+7,"Due this week","")))))))</f>
        <v/>
      </c>
      <c r="Z55" s="34" t="str">
        <f aca="false">IF(OR(A55="",Y55=""),"",IF(Y55="Renewal due",100000,IF(Y55="Overdue",200000,IF(Y55="No reply",300000,IF(Y55="Due this week",400000,500000))))+IF(Y55="Renewal due",P55-40000,IF(Y55="Missing next action",0,M55-40000))+ROW()/100000)</f>
        <v/>
      </c>
      <c r="AA55" s="32" t="str">
        <f aca="false">IF(A55="","",_xlfn.TEXTJOIN(", ",TRUE(),IF(AND(X55="Yes",D55=""),"No owner",IF(AND(D55&lt;&gt;"",COUNTIFS(R_TeamName,D55,R_TeamActive,"No")&gt;0),"Needs new owner","")),IF(AND(OR(C55="Proposal sent",C55="Negotiation"),H55="",I55="",K55=""),"Add package or proposed value",""),IF(AND(C55="Won",OR(P55="",V55="")),"Won needs renewal date and closed on",""),IF(AND(C55="Won",G55="Cash",J55=""),"Add agreed value",""),IF(AND(C55="Lost",OR(S55="",V55="")),"Lost needs reason and closed on",""),IF(AND(C55="Nurture",OR(T55="",U55="")),"Nurture needs reason and date","")))</f>
        <v/>
      </c>
      <c r="AB55" s="34" t="str">
        <f aca="false">IF(AND(C55="Won",V55&lt;&gt;"",V55&gt;=S_SemStart,V55&lt;=S_SemEnd),V55+ROW()/100000,"")</f>
        <v/>
      </c>
      <c r="AC55" s="34" t="str">
        <f aca="false">IF(AND(C55="Lost",V55&lt;&gt;"",V55&gt;=S_SemStart,V55&lt;=S_SemEnd),V55+ROW()/100000,"")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9"/>
      <c r="J56" s="29"/>
      <c r="K56" s="27"/>
      <c r="L56" s="27"/>
      <c r="M56" s="28"/>
      <c r="N56" s="28"/>
      <c r="O56" s="28"/>
      <c r="P56" s="28"/>
      <c r="Q56" s="27"/>
      <c r="R56" s="27"/>
      <c r="S56" s="27"/>
      <c r="T56" s="27"/>
      <c r="U56" s="28"/>
      <c r="V56" s="28"/>
      <c r="W56" s="27"/>
      <c r="X56" s="32" t="str">
        <f aca="false">IF(A56="","",IF(OR(C56="Planned",C56="Contacted",C56="Meeting",C56="Proposal sent",C56="Negotiation"),"Yes","No"))</f>
        <v/>
      </c>
      <c r="Y56" s="32" t="str">
        <f aca="false">IF(A56="","",IF(AND(C56="Won",P56&lt;&gt;"",P56&lt;=S_Today+S_RenewalDays,COUNTIFS($A$3:$A$502,A56,$F$3:$F$502,"Yes",$X$3:$X$502,"Yes")=0),"Renewal due",IF(X56&lt;&gt;"Yes","",IF(OR(L56="",M56=""),"Missing next action",IF(M56&lt;S_Today,"Overdue",IF(AND(C56="Contacted",_xlfn.MAXIFS(Interactions!$A$3:$A$502,Interactions!$B$3:$B$502,A56,Interactions!$F$3:$F$502,"Sent by us")&gt;0,_xlfn.MAXIFS(Interactions!$A$3:$A$502,Interactions!$B$3:$B$502,A56,Interactions!$F$3:$F$502,"Sent by us")&lt;=S_Today-S_NoReplyDays,MAX(_xlfn.MAXIFS(Interactions!$A$3:$A$502,Interactions!$B$3:$B$502,A56,Interactions!$F$3:$F$502,"Received from them"),_xlfn.MAXIFS(Interactions!$A$3:$A$502,Interactions!$B$3:$B$502,A56,Interactions!$F$3:$F$502,"Two-way"))&lt;_xlfn.MAXIFS(Interactions!$A$3:$A$502,Interactions!$B$3:$B$502,A56,Interactions!$F$3:$F$502,"Sent by us")),"No reply",IF(M56&lt;=S_Today+7,"Due this week","")))))))</f>
        <v/>
      </c>
      <c r="Z56" s="34" t="str">
        <f aca="false">IF(OR(A56="",Y56=""),"",IF(Y56="Renewal due",100000,IF(Y56="Overdue",200000,IF(Y56="No reply",300000,IF(Y56="Due this week",400000,500000))))+IF(Y56="Renewal due",P56-40000,IF(Y56="Missing next action",0,M56-40000))+ROW()/100000)</f>
        <v/>
      </c>
      <c r="AA56" s="32" t="str">
        <f aca="false">IF(A56="","",_xlfn.TEXTJOIN(", ",TRUE(),IF(AND(X56="Yes",D56=""),"No owner",IF(AND(D56&lt;&gt;"",COUNTIFS(R_TeamName,D56,R_TeamActive,"No")&gt;0),"Needs new owner","")),IF(AND(OR(C56="Proposal sent",C56="Negotiation"),H56="",I56="",K56=""),"Add package or proposed value",""),IF(AND(C56="Won",OR(P56="",V56="")),"Won needs renewal date and closed on",""),IF(AND(C56="Won",G56="Cash",J56=""),"Add agreed value",""),IF(AND(C56="Lost",OR(S56="",V56="")),"Lost needs reason and closed on",""),IF(AND(C56="Nurture",OR(T56="",U56="")),"Nurture needs reason and date","")))</f>
        <v/>
      </c>
      <c r="AB56" s="34" t="str">
        <f aca="false">IF(AND(C56="Won",V56&lt;&gt;"",V56&gt;=S_SemStart,V56&lt;=S_SemEnd),V56+ROW()/100000,"")</f>
        <v/>
      </c>
      <c r="AC56" s="34" t="str">
        <f aca="false">IF(AND(C56="Lost",V56&lt;&gt;"",V56&gt;=S_SemStart,V56&lt;=S_SemEnd),V56+ROW()/100000,"")</f>
        <v/>
      </c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9"/>
      <c r="J57" s="29"/>
      <c r="K57" s="27"/>
      <c r="L57" s="27"/>
      <c r="M57" s="28"/>
      <c r="N57" s="28"/>
      <c r="O57" s="28"/>
      <c r="P57" s="28"/>
      <c r="Q57" s="27"/>
      <c r="R57" s="27"/>
      <c r="S57" s="27"/>
      <c r="T57" s="27"/>
      <c r="U57" s="28"/>
      <c r="V57" s="28"/>
      <c r="W57" s="27"/>
      <c r="X57" s="32" t="str">
        <f aca="false">IF(A57="","",IF(OR(C57="Planned",C57="Contacted",C57="Meeting",C57="Proposal sent",C57="Negotiation"),"Yes","No"))</f>
        <v/>
      </c>
      <c r="Y57" s="32" t="str">
        <f aca="false">IF(A57="","",IF(AND(C57="Won",P57&lt;&gt;"",P57&lt;=S_Today+S_RenewalDays,COUNTIFS($A$3:$A$502,A57,$F$3:$F$502,"Yes",$X$3:$X$502,"Yes")=0),"Renewal due",IF(X57&lt;&gt;"Yes","",IF(OR(L57="",M57=""),"Missing next action",IF(M57&lt;S_Today,"Overdue",IF(AND(C57="Contacted",_xlfn.MAXIFS(Interactions!$A$3:$A$502,Interactions!$B$3:$B$502,A57,Interactions!$F$3:$F$502,"Sent by us")&gt;0,_xlfn.MAXIFS(Interactions!$A$3:$A$502,Interactions!$B$3:$B$502,A57,Interactions!$F$3:$F$502,"Sent by us")&lt;=S_Today-S_NoReplyDays,MAX(_xlfn.MAXIFS(Interactions!$A$3:$A$502,Interactions!$B$3:$B$502,A57,Interactions!$F$3:$F$502,"Received from them"),_xlfn.MAXIFS(Interactions!$A$3:$A$502,Interactions!$B$3:$B$502,A57,Interactions!$F$3:$F$502,"Two-way"))&lt;_xlfn.MAXIFS(Interactions!$A$3:$A$502,Interactions!$B$3:$B$502,A57,Interactions!$F$3:$F$502,"Sent by us")),"No reply",IF(M57&lt;=S_Today+7,"Due this week","")))))))</f>
        <v/>
      </c>
      <c r="Z57" s="34" t="str">
        <f aca="false">IF(OR(A57="",Y57=""),"",IF(Y57="Renewal due",100000,IF(Y57="Overdue",200000,IF(Y57="No reply",300000,IF(Y57="Due this week",400000,500000))))+IF(Y57="Renewal due",P57-40000,IF(Y57="Missing next action",0,M57-40000))+ROW()/100000)</f>
        <v/>
      </c>
      <c r="AA57" s="32" t="str">
        <f aca="false">IF(A57="","",_xlfn.TEXTJOIN(", ",TRUE(),IF(AND(X57="Yes",D57=""),"No owner",IF(AND(D57&lt;&gt;"",COUNTIFS(R_TeamName,D57,R_TeamActive,"No")&gt;0),"Needs new owner","")),IF(AND(OR(C57="Proposal sent",C57="Negotiation"),H57="",I57="",K57=""),"Add package or proposed value",""),IF(AND(C57="Won",OR(P57="",V57="")),"Won needs renewal date and closed on",""),IF(AND(C57="Won",G57="Cash",J57=""),"Add agreed value",""),IF(AND(C57="Lost",OR(S57="",V57="")),"Lost needs reason and closed on",""),IF(AND(C57="Nurture",OR(T57="",U57="")),"Nurture needs reason and date","")))</f>
        <v/>
      </c>
      <c r="AB57" s="34" t="str">
        <f aca="false">IF(AND(C57="Won",V57&lt;&gt;"",V57&gt;=S_SemStart,V57&lt;=S_SemEnd),V57+ROW()/100000,"")</f>
        <v/>
      </c>
      <c r="AC57" s="34" t="str">
        <f aca="false">IF(AND(C57="Lost",V57&lt;&gt;"",V57&gt;=S_SemStart,V57&lt;=S_SemEnd),V57+ROW()/100000,"")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9"/>
      <c r="J58" s="29"/>
      <c r="K58" s="27"/>
      <c r="L58" s="27"/>
      <c r="M58" s="28"/>
      <c r="N58" s="28"/>
      <c r="O58" s="28"/>
      <c r="P58" s="28"/>
      <c r="Q58" s="27"/>
      <c r="R58" s="27"/>
      <c r="S58" s="27"/>
      <c r="T58" s="27"/>
      <c r="U58" s="28"/>
      <c r="V58" s="28"/>
      <c r="W58" s="27"/>
      <c r="X58" s="32" t="str">
        <f aca="false">IF(A58="","",IF(OR(C58="Planned",C58="Contacted",C58="Meeting",C58="Proposal sent",C58="Negotiation"),"Yes","No"))</f>
        <v/>
      </c>
      <c r="Y58" s="32" t="str">
        <f aca="false">IF(A58="","",IF(AND(C58="Won",P58&lt;&gt;"",P58&lt;=S_Today+S_RenewalDays,COUNTIFS($A$3:$A$502,A58,$F$3:$F$502,"Yes",$X$3:$X$502,"Yes")=0),"Renewal due",IF(X58&lt;&gt;"Yes","",IF(OR(L58="",M58=""),"Missing next action",IF(M58&lt;S_Today,"Overdue",IF(AND(C58="Contacted",_xlfn.MAXIFS(Interactions!$A$3:$A$502,Interactions!$B$3:$B$502,A58,Interactions!$F$3:$F$502,"Sent by us")&gt;0,_xlfn.MAXIFS(Interactions!$A$3:$A$502,Interactions!$B$3:$B$502,A58,Interactions!$F$3:$F$502,"Sent by us")&lt;=S_Today-S_NoReplyDays,MAX(_xlfn.MAXIFS(Interactions!$A$3:$A$502,Interactions!$B$3:$B$502,A58,Interactions!$F$3:$F$502,"Received from them"),_xlfn.MAXIFS(Interactions!$A$3:$A$502,Interactions!$B$3:$B$502,A58,Interactions!$F$3:$F$502,"Two-way"))&lt;_xlfn.MAXIFS(Interactions!$A$3:$A$502,Interactions!$B$3:$B$502,A58,Interactions!$F$3:$F$502,"Sent by us")),"No reply",IF(M58&lt;=S_Today+7,"Due this week","")))))))</f>
        <v/>
      </c>
      <c r="Z58" s="34" t="str">
        <f aca="false">IF(OR(A58="",Y58=""),"",IF(Y58="Renewal due",100000,IF(Y58="Overdue",200000,IF(Y58="No reply",300000,IF(Y58="Due this week",400000,500000))))+IF(Y58="Renewal due",P58-40000,IF(Y58="Missing next action",0,M58-40000))+ROW()/100000)</f>
        <v/>
      </c>
      <c r="AA58" s="32" t="str">
        <f aca="false">IF(A58="","",_xlfn.TEXTJOIN(", ",TRUE(),IF(AND(X58="Yes",D58=""),"No owner",IF(AND(D58&lt;&gt;"",COUNTIFS(R_TeamName,D58,R_TeamActive,"No")&gt;0),"Needs new owner","")),IF(AND(OR(C58="Proposal sent",C58="Negotiation"),H58="",I58="",K58=""),"Add package or proposed value",""),IF(AND(C58="Won",OR(P58="",V58="")),"Won needs renewal date and closed on",""),IF(AND(C58="Won",G58="Cash",J58=""),"Add agreed value",""),IF(AND(C58="Lost",OR(S58="",V58="")),"Lost needs reason and closed on",""),IF(AND(C58="Nurture",OR(T58="",U58="")),"Nurture needs reason and date","")))</f>
        <v/>
      </c>
      <c r="AB58" s="34" t="str">
        <f aca="false">IF(AND(C58="Won",V58&lt;&gt;"",V58&gt;=S_SemStart,V58&lt;=S_SemEnd),V58+ROW()/100000,"")</f>
        <v/>
      </c>
      <c r="AC58" s="34" t="str">
        <f aca="false">IF(AND(C58="Lost",V58&lt;&gt;"",V58&gt;=S_SemStart,V58&lt;=S_SemEnd),V58+ROW()/100000,"")</f>
        <v/>
      </c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9"/>
      <c r="J59" s="29"/>
      <c r="K59" s="27"/>
      <c r="L59" s="27"/>
      <c r="M59" s="28"/>
      <c r="N59" s="28"/>
      <c r="O59" s="28"/>
      <c r="P59" s="28"/>
      <c r="Q59" s="27"/>
      <c r="R59" s="27"/>
      <c r="S59" s="27"/>
      <c r="T59" s="27"/>
      <c r="U59" s="28"/>
      <c r="V59" s="28"/>
      <c r="W59" s="27"/>
      <c r="X59" s="32" t="str">
        <f aca="false">IF(A59="","",IF(OR(C59="Planned",C59="Contacted",C59="Meeting",C59="Proposal sent",C59="Negotiation"),"Yes","No"))</f>
        <v/>
      </c>
      <c r="Y59" s="32" t="str">
        <f aca="false">IF(A59="","",IF(AND(C59="Won",P59&lt;&gt;"",P59&lt;=S_Today+S_RenewalDays,COUNTIFS($A$3:$A$502,A59,$F$3:$F$502,"Yes",$X$3:$X$502,"Yes")=0),"Renewal due",IF(X59&lt;&gt;"Yes","",IF(OR(L59="",M59=""),"Missing next action",IF(M59&lt;S_Today,"Overdue",IF(AND(C59="Contacted",_xlfn.MAXIFS(Interactions!$A$3:$A$502,Interactions!$B$3:$B$502,A59,Interactions!$F$3:$F$502,"Sent by us")&gt;0,_xlfn.MAXIFS(Interactions!$A$3:$A$502,Interactions!$B$3:$B$502,A59,Interactions!$F$3:$F$502,"Sent by us")&lt;=S_Today-S_NoReplyDays,MAX(_xlfn.MAXIFS(Interactions!$A$3:$A$502,Interactions!$B$3:$B$502,A59,Interactions!$F$3:$F$502,"Received from them"),_xlfn.MAXIFS(Interactions!$A$3:$A$502,Interactions!$B$3:$B$502,A59,Interactions!$F$3:$F$502,"Two-way"))&lt;_xlfn.MAXIFS(Interactions!$A$3:$A$502,Interactions!$B$3:$B$502,A59,Interactions!$F$3:$F$502,"Sent by us")),"No reply",IF(M59&lt;=S_Today+7,"Due this week","")))))))</f>
        <v/>
      </c>
      <c r="Z59" s="34" t="str">
        <f aca="false">IF(OR(A59="",Y59=""),"",IF(Y59="Renewal due",100000,IF(Y59="Overdue",200000,IF(Y59="No reply",300000,IF(Y59="Due this week",400000,500000))))+IF(Y59="Renewal due",P59-40000,IF(Y59="Missing next action",0,M59-40000))+ROW()/100000)</f>
        <v/>
      </c>
      <c r="AA59" s="32" t="str">
        <f aca="false">IF(A59="","",_xlfn.TEXTJOIN(", ",TRUE(),IF(AND(X59="Yes",D59=""),"No owner",IF(AND(D59&lt;&gt;"",COUNTIFS(R_TeamName,D59,R_TeamActive,"No")&gt;0),"Needs new owner","")),IF(AND(OR(C59="Proposal sent",C59="Negotiation"),H59="",I59="",K59=""),"Add package or proposed value",""),IF(AND(C59="Won",OR(P59="",V59="")),"Won needs renewal date and closed on",""),IF(AND(C59="Won",G59="Cash",J59=""),"Add agreed value",""),IF(AND(C59="Lost",OR(S59="",V59="")),"Lost needs reason and closed on",""),IF(AND(C59="Nurture",OR(T59="",U59="")),"Nurture needs reason and date","")))</f>
        <v/>
      </c>
      <c r="AB59" s="34" t="str">
        <f aca="false">IF(AND(C59="Won",V59&lt;&gt;"",V59&gt;=S_SemStart,V59&lt;=S_SemEnd),V59+ROW()/100000,"")</f>
        <v/>
      </c>
      <c r="AC59" s="34" t="str">
        <f aca="false">IF(AND(C59="Lost",V59&lt;&gt;"",V59&gt;=S_SemStart,V59&lt;=S_SemEnd),V59+ROW()/100000,"")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9"/>
      <c r="J60" s="29"/>
      <c r="K60" s="27"/>
      <c r="L60" s="27"/>
      <c r="M60" s="28"/>
      <c r="N60" s="28"/>
      <c r="O60" s="28"/>
      <c r="P60" s="28"/>
      <c r="Q60" s="27"/>
      <c r="R60" s="27"/>
      <c r="S60" s="27"/>
      <c r="T60" s="27"/>
      <c r="U60" s="28"/>
      <c r="V60" s="28"/>
      <c r="W60" s="27"/>
      <c r="X60" s="32" t="str">
        <f aca="false">IF(A60="","",IF(OR(C60="Planned",C60="Contacted",C60="Meeting",C60="Proposal sent",C60="Negotiation"),"Yes","No"))</f>
        <v/>
      </c>
      <c r="Y60" s="32" t="str">
        <f aca="false">IF(A60="","",IF(AND(C60="Won",P60&lt;&gt;"",P60&lt;=S_Today+S_RenewalDays,COUNTIFS($A$3:$A$502,A60,$F$3:$F$502,"Yes",$X$3:$X$502,"Yes")=0),"Renewal due",IF(X60&lt;&gt;"Yes","",IF(OR(L60="",M60=""),"Missing next action",IF(M60&lt;S_Today,"Overdue",IF(AND(C60="Contacted",_xlfn.MAXIFS(Interactions!$A$3:$A$502,Interactions!$B$3:$B$502,A60,Interactions!$F$3:$F$502,"Sent by us")&gt;0,_xlfn.MAXIFS(Interactions!$A$3:$A$502,Interactions!$B$3:$B$502,A60,Interactions!$F$3:$F$502,"Sent by us")&lt;=S_Today-S_NoReplyDays,MAX(_xlfn.MAXIFS(Interactions!$A$3:$A$502,Interactions!$B$3:$B$502,A60,Interactions!$F$3:$F$502,"Received from them"),_xlfn.MAXIFS(Interactions!$A$3:$A$502,Interactions!$B$3:$B$502,A60,Interactions!$F$3:$F$502,"Two-way"))&lt;_xlfn.MAXIFS(Interactions!$A$3:$A$502,Interactions!$B$3:$B$502,A60,Interactions!$F$3:$F$502,"Sent by us")),"No reply",IF(M60&lt;=S_Today+7,"Due this week","")))))))</f>
        <v/>
      </c>
      <c r="Z60" s="34" t="str">
        <f aca="false">IF(OR(A60="",Y60=""),"",IF(Y60="Renewal due",100000,IF(Y60="Overdue",200000,IF(Y60="No reply",300000,IF(Y60="Due this week",400000,500000))))+IF(Y60="Renewal due",P60-40000,IF(Y60="Missing next action",0,M60-40000))+ROW()/100000)</f>
        <v/>
      </c>
      <c r="AA60" s="32" t="str">
        <f aca="false">IF(A60="","",_xlfn.TEXTJOIN(", ",TRUE(),IF(AND(X60="Yes",D60=""),"No owner",IF(AND(D60&lt;&gt;"",COUNTIFS(R_TeamName,D60,R_TeamActive,"No")&gt;0),"Needs new owner","")),IF(AND(OR(C60="Proposal sent",C60="Negotiation"),H60="",I60="",K60=""),"Add package or proposed value",""),IF(AND(C60="Won",OR(P60="",V60="")),"Won needs renewal date and closed on",""),IF(AND(C60="Won",G60="Cash",J60=""),"Add agreed value",""),IF(AND(C60="Lost",OR(S60="",V60="")),"Lost needs reason and closed on",""),IF(AND(C60="Nurture",OR(T60="",U60="")),"Nurture needs reason and date","")))</f>
        <v/>
      </c>
      <c r="AB60" s="34" t="str">
        <f aca="false">IF(AND(C60="Won",V60&lt;&gt;"",V60&gt;=S_SemStart,V60&lt;=S_SemEnd),V60+ROW()/100000,"")</f>
        <v/>
      </c>
      <c r="AC60" s="34" t="str">
        <f aca="false">IF(AND(C60="Lost",V60&lt;&gt;"",V60&gt;=S_SemStart,V60&lt;=S_SemEnd),V60+ROW()/100000,"")</f>
        <v/>
      </c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9"/>
      <c r="J61" s="29"/>
      <c r="K61" s="27"/>
      <c r="L61" s="27"/>
      <c r="M61" s="28"/>
      <c r="N61" s="28"/>
      <c r="O61" s="28"/>
      <c r="P61" s="28"/>
      <c r="Q61" s="27"/>
      <c r="R61" s="27"/>
      <c r="S61" s="27"/>
      <c r="T61" s="27"/>
      <c r="U61" s="28"/>
      <c r="V61" s="28"/>
      <c r="W61" s="27"/>
      <c r="X61" s="32" t="str">
        <f aca="false">IF(A61="","",IF(OR(C61="Planned",C61="Contacted",C61="Meeting",C61="Proposal sent",C61="Negotiation"),"Yes","No"))</f>
        <v/>
      </c>
      <c r="Y61" s="32" t="str">
        <f aca="false">IF(A61="","",IF(AND(C61="Won",P61&lt;&gt;"",P61&lt;=S_Today+S_RenewalDays,COUNTIFS($A$3:$A$502,A61,$F$3:$F$502,"Yes",$X$3:$X$502,"Yes")=0),"Renewal due",IF(X61&lt;&gt;"Yes","",IF(OR(L61="",M61=""),"Missing next action",IF(M61&lt;S_Today,"Overdue",IF(AND(C61="Contacted",_xlfn.MAXIFS(Interactions!$A$3:$A$502,Interactions!$B$3:$B$502,A61,Interactions!$F$3:$F$502,"Sent by us")&gt;0,_xlfn.MAXIFS(Interactions!$A$3:$A$502,Interactions!$B$3:$B$502,A61,Interactions!$F$3:$F$502,"Sent by us")&lt;=S_Today-S_NoReplyDays,MAX(_xlfn.MAXIFS(Interactions!$A$3:$A$502,Interactions!$B$3:$B$502,A61,Interactions!$F$3:$F$502,"Received from them"),_xlfn.MAXIFS(Interactions!$A$3:$A$502,Interactions!$B$3:$B$502,A61,Interactions!$F$3:$F$502,"Two-way"))&lt;_xlfn.MAXIFS(Interactions!$A$3:$A$502,Interactions!$B$3:$B$502,A61,Interactions!$F$3:$F$502,"Sent by us")),"No reply",IF(M61&lt;=S_Today+7,"Due this week","")))))))</f>
        <v/>
      </c>
      <c r="Z61" s="34" t="str">
        <f aca="false">IF(OR(A61="",Y61=""),"",IF(Y61="Renewal due",100000,IF(Y61="Overdue",200000,IF(Y61="No reply",300000,IF(Y61="Due this week",400000,500000))))+IF(Y61="Renewal due",P61-40000,IF(Y61="Missing next action",0,M61-40000))+ROW()/100000)</f>
        <v/>
      </c>
      <c r="AA61" s="32" t="str">
        <f aca="false">IF(A61="","",_xlfn.TEXTJOIN(", ",TRUE(),IF(AND(X61="Yes",D61=""),"No owner",IF(AND(D61&lt;&gt;"",COUNTIFS(R_TeamName,D61,R_TeamActive,"No")&gt;0),"Needs new owner","")),IF(AND(OR(C61="Proposal sent",C61="Negotiation"),H61="",I61="",K61=""),"Add package or proposed value",""),IF(AND(C61="Won",OR(P61="",V61="")),"Won needs renewal date and closed on",""),IF(AND(C61="Won",G61="Cash",J61=""),"Add agreed value",""),IF(AND(C61="Lost",OR(S61="",V61="")),"Lost needs reason and closed on",""),IF(AND(C61="Nurture",OR(T61="",U61="")),"Nurture needs reason and date","")))</f>
        <v/>
      </c>
      <c r="AB61" s="34" t="str">
        <f aca="false">IF(AND(C61="Won",V61&lt;&gt;"",V61&gt;=S_SemStart,V61&lt;=S_SemEnd),V61+ROW()/100000,"")</f>
        <v/>
      </c>
      <c r="AC61" s="34" t="str">
        <f aca="false">IF(AND(C61="Lost",V61&lt;&gt;"",V61&gt;=S_SemStart,V61&lt;=S_SemEnd),V61+ROW()/100000,"")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9"/>
      <c r="J62" s="29"/>
      <c r="K62" s="27"/>
      <c r="L62" s="27"/>
      <c r="M62" s="28"/>
      <c r="N62" s="28"/>
      <c r="O62" s="28"/>
      <c r="P62" s="28"/>
      <c r="Q62" s="27"/>
      <c r="R62" s="27"/>
      <c r="S62" s="27"/>
      <c r="T62" s="27"/>
      <c r="U62" s="28"/>
      <c r="V62" s="28"/>
      <c r="W62" s="27"/>
      <c r="X62" s="32" t="str">
        <f aca="false">IF(A62="","",IF(OR(C62="Planned",C62="Contacted",C62="Meeting",C62="Proposal sent",C62="Negotiation"),"Yes","No"))</f>
        <v/>
      </c>
      <c r="Y62" s="32" t="str">
        <f aca="false">IF(A62="","",IF(AND(C62="Won",P62&lt;&gt;"",P62&lt;=S_Today+S_RenewalDays,COUNTIFS($A$3:$A$502,A62,$F$3:$F$502,"Yes",$X$3:$X$502,"Yes")=0),"Renewal due",IF(X62&lt;&gt;"Yes","",IF(OR(L62="",M62=""),"Missing next action",IF(M62&lt;S_Today,"Overdue",IF(AND(C62="Contacted",_xlfn.MAXIFS(Interactions!$A$3:$A$502,Interactions!$B$3:$B$502,A62,Interactions!$F$3:$F$502,"Sent by us")&gt;0,_xlfn.MAXIFS(Interactions!$A$3:$A$502,Interactions!$B$3:$B$502,A62,Interactions!$F$3:$F$502,"Sent by us")&lt;=S_Today-S_NoReplyDays,MAX(_xlfn.MAXIFS(Interactions!$A$3:$A$502,Interactions!$B$3:$B$502,A62,Interactions!$F$3:$F$502,"Received from them"),_xlfn.MAXIFS(Interactions!$A$3:$A$502,Interactions!$B$3:$B$502,A62,Interactions!$F$3:$F$502,"Two-way"))&lt;_xlfn.MAXIFS(Interactions!$A$3:$A$502,Interactions!$B$3:$B$502,A62,Interactions!$F$3:$F$502,"Sent by us")),"No reply",IF(M62&lt;=S_Today+7,"Due this week","")))))))</f>
        <v/>
      </c>
      <c r="Z62" s="34" t="str">
        <f aca="false">IF(OR(A62="",Y62=""),"",IF(Y62="Renewal due",100000,IF(Y62="Overdue",200000,IF(Y62="No reply",300000,IF(Y62="Due this week",400000,500000))))+IF(Y62="Renewal due",P62-40000,IF(Y62="Missing next action",0,M62-40000))+ROW()/100000)</f>
        <v/>
      </c>
      <c r="AA62" s="32" t="str">
        <f aca="false">IF(A62="","",_xlfn.TEXTJOIN(", ",TRUE(),IF(AND(X62="Yes",D62=""),"No owner",IF(AND(D62&lt;&gt;"",COUNTIFS(R_TeamName,D62,R_TeamActive,"No")&gt;0),"Needs new owner","")),IF(AND(OR(C62="Proposal sent",C62="Negotiation"),H62="",I62="",K62=""),"Add package or proposed value",""),IF(AND(C62="Won",OR(P62="",V62="")),"Won needs renewal date and closed on",""),IF(AND(C62="Won",G62="Cash",J62=""),"Add agreed value",""),IF(AND(C62="Lost",OR(S62="",V62="")),"Lost needs reason and closed on",""),IF(AND(C62="Nurture",OR(T62="",U62="")),"Nurture needs reason and date","")))</f>
        <v/>
      </c>
      <c r="AB62" s="34" t="str">
        <f aca="false">IF(AND(C62="Won",V62&lt;&gt;"",V62&gt;=S_SemStart,V62&lt;=S_SemEnd),V62+ROW()/100000,"")</f>
        <v/>
      </c>
      <c r="AC62" s="34" t="str">
        <f aca="false">IF(AND(C62="Lost",V62&lt;&gt;"",V62&gt;=S_SemStart,V62&lt;=S_SemEnd),V62+ROW()/100000,"")</f>
        <v/>
      </c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9"/>
      <c r="J63" s="29"/>
      <c r="K63" s="27"/>
      <c r="L63" s="27"/>
      <c r="M63" s="28"/>
      <c r="N63" s="28"/>
      <c r="O63" s="28"/>
      <c r="P63" s="28"/>
      <c r="Q63" s="27"/>
      <c r="R63" s="27"/>
      <c r="S63" s="27"/>
      <c r="T63" s="27"/>
      <c r="U63" s="28"/>
      <c r="V63" s="28"/>
      <c r="W63" s="27"/>
      <c r="X63" s="32" t="str">
        <f aca="false">IF(A63="","",IF(OR(C63="Planned",C63="Contacted",C63="Meeting",C63="Proposal sent",C63="Negotiation"),"Yes","No"))</f>
        <v/>
      </c>
      <c r="Y63" s="32" t="str">
        <f aca="false">IF(A63="","",IF(AND(C63="Won",P63&lt;&gt;"",P63&lt;=S_Today+S_RenewalDays,COUNTIFS($A$3:$A$502,A63,$F$3:$F$502,"Yes",$X$3:$X$502,"Yes")=0),"Renewal due",IF(X63&lt;&gt;"Yes","",IF(OR(L63="",M63=""),"Missing next action",IF(M63&lt;S_Today,"Overdue",IF(AND(C63="Contacted",_xlfn.MAXIFS(Interactions!$A$3:$A$502,Interactions!$B$3:$B$502,A63,Interactions!$F$3:$F$502,"Sent by us")&gt;0,_xlfn.MAXIFS(Interactions!$A$3:$A$502,Interactions!$B$3:$B$502,A63,Interactions!$F$3:$F$502,"Sent by us")&lt;=S_Today-S_NoReplyDays,MAX(_xlfn.MAXIFS(Interactions!$A$3:$A$502,Interactions!$B$3:$B$502,A63,Interactions!$F$3:$F$502,"Received from them"),_xlfn.MAXIFS(Interactions!$A$3:$A$502,Interactions!$B$3:$B$502,A63,Interactions!$F$3:$F$502,"Two-way"))&lt;_xlfn.MAXIFS(Interactions!$A$3:$A$502,Interactions!$B$3:$B$502,A63,Interactions!$F$3:$F$502,"Sent by us")),"No reply",IF(M63&lt;=S_Today+7,"Due this week","")))))))</f>
        <v/>
      </c>
      <c r="Z63" s="34" t="str">
        <f aca="false">IF(OR(A63="",Y63=""),"",IF(Y63="Renewal due",100000,IF(Y63="Overdue",200000,IF(Y63="No reply",300000,IF(Y63="Due this week",400000,500000))))+IF(Y63="Renewal due",P63-40000,IF(Y63="Missing next action",0,M63-40000))+ROW()/100000)</f>
        <v/>
      </c>
      <c r="AA63" s="32" t="str">
        <f aca="false">IF(A63="","",_xlfn.TEXTJOIN(", ",TRUE(),IF(AND(X63="Yes",D63=""),"No owner",IF(AND(D63&lt;&gt;"",COUNTIFS(R_TeamName,D63,R_TeamActive,"No")&gt;0),"Needs new owner","")),IF(AND(OR(C63="Proposal sent",C63="Negotiation"),H63="",I63="",K63=""),"Add package or proposed value",""),IF(AND(C63="Won",OR(P63="",V63="")),"Won needs renewal date and closed on",""),IF(AND(C63="Won",G63="Cash",J63=""),"Add agreed value",""),IF(AND(C63="Lost",OR(S63="",V63="")),"Lost needs reason and closed on",""),IF(AND(C63="Nurture",OR(T63="",U63="")),"Nurture needs reason and date","")))</f>
        <v/>
      </c>
      <c r="AB63" s="34" t="str">
        <f aca="false">IF(AND(C63="Won",V63&lt;&gt;"",V63&gt;=S_SemStart,V63&lt;=S_SemEnd),V63+ROW()/100000,"")</f>
        <v/>
      </c>
      <c r="AC63" s="34" t="str">
        <f aca="false">IF(AND(C63="Lost",V63&lt;&gt;"",V63&gt;=S_SemStart,V63&lt;=S_SemEnd),V63+ROW()/100000,"")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9"/>
      <c r="J64" s="29"/>
      <c r="K64" s="27"/>
      <c r="L64" s="27"/>
      <c r="M64" s="28"/>
      <c r="N64" s="28"/>
      <c r="O64" s="28"/>
      <c r="P64" s="28"/>
      <c r="Q64" s="27"/>
      <c r="R64" s="27"/>
      <c r="S64" s="27"/>
      <c r="T64" s="27"/>
      <c r="U64" s="28"/>
      <c r="V64" s="28"/>
      <c r="W64" s="27"/>
      <c r="X64" s="32" t="str">
        <f aca="false">IF(A64="","",IF(OR(C64="Planned",C64="Contacted",C64="Meeting",C64="Proposal sent",C64="Negotiation"),"Yes","No"))</f>
        <v/>
      </c>
      <c r="Y64" s="32" t="str">
        <f aca="false">IF(A64="","",IF(AND(C64="Won",P64&lt;&gt;"",P64&lt;=S_Today+S_RenewalDays,COUNTIFS($A$3:$A$502,A64,$F$3:$F$502,"Yes",$X$3:$X$502,"Yes")=0),"Renewal due",IF(X64&lt;&gt;"Yes","",IF(OR(L64="",M64=""),"Missing next action",IF(M64&lt;S_Today,"Overdue",IF(AND(C64="Contacted",_xlfn.MAXIFS(Interactions!$A$3:$A$502,Interactions!$B$3:$B$502,A64,Interactions!$F$3:$F$502,"Sent by us")&gt;0,_xlfn.MAXIFS(Interactions!$A$3:$A$502,Interactions!$B$3:$B$502,A64,Interactions!$F$3:$F$502,"Sent by us")&lt;=S_Today-S_NoReplyDays,MAX(_xlfn.MAXIFS(Interactions!$A$3:$A$502,Interactions!$B$3:$B$502,A64,Interactions!$F$3:$F$502,"Received from them"),_xlfn.MAXIFS(Interactions!$A$3:$A$502,Interactions!$B$3:$B$502,A64,Interactions!$F$3:$F$502,"Two-way"))&lt;_xlfn.MAXIFS(Interactions!$A$3:$A$502,Interactions!$B$3:$B$502,A64,Interactions!$F$3:$F$502,"Sent by us")),"No reply",IF(M64&lt;=S_Today+7,"Due this week","")))))))</f>
        <v/>
      </c>
      <c r="Z64" s="34" t="str">
        <f aca="false">IF(OR(A64="",Y64=""),"",IF(Y64="Renewal due",100000,IF(Y64="Overdue",200000,IF(Y64="No reply",300000,IF(Y64="Due this week",400000,500000))))+IF(Y64="Renewal due",P64-40000,IF(Y64="Missing next action",0,M64-40000))+ROW()/100000)</f>
        <v/>
      </c>
      <c r="AA64" s="32" t="str">
        <f aca="false">IF(A64="","",_xlfn.TEXTJOIN(", ",TRUE(),IF(AND(X64="Yes",D64=""),"No owner",IF(AND(D64&lt;&gt;"",COUNTIFS(R_TeamName,D64,R_TeamActive,"No")&gt;0),"Needs new owner","")),IF(AND(OR(C64="Proposal sent",C64="Negotiation"),H64="",I64="",K64=""),"Add package or proposed value",""),IF(AND(C64="Won",OR(P64="",V64="")),"Won needs renewal date and closed on",""),IF(AND(C64="Won",G64="Cash",J64=""),"Add agreed value",""),IF(AND(C64="Lost",OR(S64="",V64="")),"Lost needs reason and closed on",""),IF(AND(C64="Nurture",OR(T64="",U64="")),"Nurture needs reason and date","")))</f>
        <v/>
      </c>
      <c r="AB64" s="34" t="str">
        <f aca="false">IF(AND(C64="Won",V64&lt;&gt;"",V64&gt;=S_SemStart,V64&lt;=S_SemEnd),V64+ROW()/100000,"")</f>
        <v/>
      </c>
      <c r="AC64" s="34" t="str">
        <f aca="false">IF(AND(C64="Lost",V64&lt;&gt;"",V64&gt;=S_SemStart,V64&lt;=S_SemEnd),V64+ROW()/100000,"")</f>
        <v/>
      </c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9"/>
      <c r="J65" s="29"/>
      <c r="K65" s="27"/>
      <c r="L65" s="27"/>
      <c r="M65" s="28"/>
      <c r="N65" s="28"/>
      <c r="O65" s="28"/>
      <c r="P65" s="28"/>
      <c r="Q65" s="27"/>
      <c r="R65" s="27"/>
      <c r="S65" s="27"/>
      <c r="T65" s="27"/>
      <c r="U65" s="28"/>
      <c r="V65" s="28"/>
      <c r="W65" s="27"/>
      <c r="X65" s="32" t="str">
        <f aca="false">IF(A65="","",IF(OR(C65="Planned",C65="Contacted",C65="Meeting",C65="Proposal sent",C65="Negotiation"),"Yes","No"))</f>
        <v/>
      </c>
      <c r="Y65" s="32" t="str">
        <f aca="false">IF(A65="","",IF(AND(C65="Won",P65&lt;&gt;"",P65&lt;=S_Today+S_RenewalDays,COUNTIFS($A$3:$A$502,A65,$F$3:$F$502,"Yes",$X$3:$X$502,"Yes")=0),"Renewal due",IF(X65&lt;&gt;"Yes","",IF(OR(L65="",M65=""),"Missing next action",IF(M65&lt;S_Today,"Overdue",IF(AND(C65="Contacted",_xlfn.MAXIFS(Interactions!$A$3:$A$502,Interactions!$B$3:$B$502,A65,Interactions!$F$3:$F$502,"Sent by us")&gt;0,_xlfn.MAXIFS(Interactions!$A$3:$A$502,Interactions!$B$3:$B$502,A65,Interactions!$F$3:$F$502,"Sent by us")&lt;=S_Today-S_NoReplyDays,MAX(_xlfn.MAXIFS(Interactions!$A$3:$A$502,Interactions!$B$3:$B$502,A65,Interactions!$F$3:$F$502,"Received from them"),_xlfn.MAXIFS(Interactions!$A$3:$A$502,Interactions!$B$3:$B$502,A65,Interactions!$F$3:$F$502,"Two-way"))&lt;_xlfn.MAXIFS(Interactions!$A$3:$A$502,Interactions!$B$3:$B$502,A65,Interactions!$F$3:$F$502,"Sent by us")),"No reply",IF(M65&lt;=S_Today+7,"Due this week","")))))))</f>
        <v/>
      </c>
      <c r="Z65" s="34" t="str">
        <f aca="false">IF(OR(A65="",Y65=""),"",IF(Y65="Renewal due",100000,IF(Y65="Overdue",200000,IF(Y65="No reply",300000,IF(Y65="Due this week",400000,500000))))+IF(Y65="Renewal due",P65-40000,IF(Y65="Missing next action",0,M65-40000))+ROW()/100000)</f>
        <v/>
      </c>
      <c r="AA65" s="32" t="str">
        <f aca="false">IF(A65="","",_xlfn.TEXTJOIN(", ",TRUE(),IF(AND(X65="Yes",D65=""),"No owner",IF(AND(D65&lt;&gt;"",COUNTIFS(R_TeamName,D65,R_TeamActive,"No")&gt;0),"Needs new owner","")),IF(AND(OR(C65="Proposal sent",C65="Negotiation"),H65="",I65="",K65=""),"Add package or proposed value",""),IF(AND(C65="Won",OR(P65="",V65="")),"Won needs renewal date and closed on",""),IF(AND(C65="Won",G65="Cash",J65=""),"Add agreed value",""),IF(AND(C65="Lost",OR(S65="",V65="")),"Lost needs reason and closed on",""),IF(AND(C65="Nurture",OR(T65="",U65="")),"Nurture needs reason and date","")))</f>
        <v/>
      </c>
      <c r="AB65" s="34" t="str">
        <f aca="false">IF(AND(C65="Won",V65&lt;&gt;"",V65&gt;=S_SemStart,V65&lt;=S_SemEnd),V65+ROW()/100000,"")</f>
        <v/>
      </c>
      <c r="AC65" s="34" t="str">
        <f aca="false">IF(AND(C65="Lost",V65&lt;&gt;"",V65&gt;=S_SemStart,V65&lt;=S_SemEnd),V65+ROW()/100000,"")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9"/>
      <c r="J66" s="29"/>
      <c r="K66" s="27"/>
      <c r="L66" s="27"/>
      <c r="M66" s="28"/>
      <c r="N66" s="28"/>
      <c r="O66" s="28"/>
      <c r="P66" s="28"/>
      <c r="Q66" s="27"/>
      <c r="R66" s="27"/>
      <c r="S66" s="27"/>
      <c r="T66" s="27"/>
      <c r="U66" s="28"/>
      <c r="V66" s="28"/>
      <c r="W66" s="27"/>
      <c r="X66" s="32" t="str">
        <f aca="false">IF(A66="","",IF(OR(C66="Planned",C66="Contacted",C66="Meeting",C66="Proposal sent",C66="Negotiation"),"Yes","No"))</f>
        <v/>
      </c>
      <c r="Y66" s="32" t="str">
        <f aca="false">IF(A66="","",IF(AND(C66="Won",P66&lt;&gt;"",P66&lt;=S_Today+S_RenewalDays,COUNTIFS($A$3:$A$502,A66,$F$3:$F$502,"Yes",$X$3:$X$502,"Yes")=0),"Renewal due",IF(X66&lt;&gt;"Yes","",IF(OR(L66="",M66=""),"Missing next action",IF(M66&lt;S_Today,"Overdue",IF(AND(C66="Contacted",_xlfn.MAXIFS(Interactions!$A$3:$A$502,Interactions!$B$3:$B$502,A66,Interactions!$F$3:$F$502,"Sent by us")&gt;0,_xlfn.MAXIFS(Interactions!$A$3:$A$502,Interactions!$B$3:$B$502,A66,Interactions!$F$3:$F$502,"Sent by us")&lt;=S_Today-S_NoReplyDays,MAX(_xlfn.MAXIFS(Interactions!$A$3:$A$502,Interactions!$B$3:$B$502,A66,Interactions!$F$3:$F$502,"Received from them"),_xlfn.MAXIFS(Interactions!$A$3:$A$502,Interactions!$B$3:$B$502,A66,Interactions!$F$3:$F$502,"Two-way"))&lt;_xlfn.MAXIFS(Interactions!$A$3:$A$502,Interactions!$B$3:$B$502,A66,Interactions!$F$3:$F$502,"Sent by us")),"No reply",IF(M66&lt;=S_Today+7,"Due this week","")))))))</f>
        <v/>
      </c>
      <c r="Z66" s="34" t="str">
        <f aca="false">IF(OR(A66="",Y66=""),"",IF(Y66="Renewal due",100000,IF(Y66="Overdue",200000,IF(Y66="No reply",300000,IF(Y66="Due this week",400000,500000))))+IF(Y66="Renewal due",P66-40000,IF(Y66="Missing next action",0,M66-40000))+ROW()/100000)</f>
        <v/>
      </c>
      <c r="AA66" s="32" t="str">
        <f aca="false">IF(A66="","",_xlfn.TEXTJOIN(", ",TRUE(),IF(AND(X66="Yes",D66=""),"No owner",IF(AND(D66&lt;&gt;"",COUNTIFS(R_TeamName,D66,R_TeamActive,"No")&gt;0),"Needs new owner","")),IF(AND(OR(C66="Proposal sent",C66="Negotiation"),H66="",I66="",K66=""),"Add package or proposed value",""),IF(AND(C66="Won",OR(P66="",V66="")),"Won needs renewal date and closed on",""),IF(AND(C66="Won",G66="Cash",J66=""),"Add agreed value",""),IF(AND(C66="Lost",OR(S66="",V66="")),"Lost needs reason and closed on",""),IF(AND(C66="Nurture",OR(T66="",U66="")),"Nurture needs reason and date","")))</f>
        <v/>
      </c>
      <c r="AB66" s="34" t="str">
        <f aca="false">IF(AND(C66="Won",V66&lt;&gt;"",V66&gt;=S_SemStart,V66&lt;=S_SemEnd),V66+ROW()/100000,"")</f>
        <v/>
      </c>
      <c r="AC66" s="34" t="str">
        <f aca="false">IF(AND(C66="Lost",V66&lt;&gt;"",V66&gt;=S_SemStart,V66&lt;=S_SemEnd),V66+ROW()/100000,"")</f>
        <v/>
      </c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9"/>
      <c r="J67" s="29"/>
      <c r="K67" s="27"/>
      <c r="L67" s="27"/>
      <c r="M67" s="28"/>
      <c r="N67" s="28"/>
      <c r="O67" s="28"/>
      <c r="P67" s="28"/>
      <c r="Q67" s="27"/>
      <c r="R67" s="27"/>
      <c r="S67" s="27"/>
      <c r="T67" s="27"/>
      <c r="U67" s="28"/>
      <c r="V67" s="28"/>
      <c r="W67" s="27"/>
      <c r="X67" s="32" t="str">
        <f aca="false">IF(A67="","",IF(OR(C67="Planned",C67="Contacted",C67="Meeting",C67="Proposal sent",C67="Negotiation"),"Yes","No"))</f>
        <v/>
      </c>
      <c r="Y67" s="32" t="str">
        <f aca="false">IF(A67="","",IF(AND(C67="Won",P67&lt;&gt;"",P67&lt;=S_Today+S_RenewalDays,COUNTIFS($A$3:$A$502,A67,$F$3:$F$502,"Yes",$X$3:$X$502,"Yes")=0),"Renewal due",IF(X67&lt;&gt;"Yes","",IF(OR(L67="",M67=""),"Missing next action",IF(M67&lt;S_Today,"Overdue",IF(AND(C67="Contacted",_xlfn.MAXIFS(Interactions!$A$3:$A$502,Interactions!$B$3:$B$502,A67,Interactions!$F$3:$F$502,"Sent by us")&gt;0,_xlfn.MAXIFS(Interactions!$A$3:$A$502,Interactions!$B$3:$B$502,A67,Interactions!$F$3:$F$502,"Sent by us")&lt;=S_Today-S_NoReplyDays,MAX(_xlfn.MAXIFS(Interactions!$A$3:$A$502,Interactions!$B$3:$B$502,A67,Interactions!$F$3:$F$502,"Received from them"),_xlfn.MAXIFS(Interactions!$A$3:$A$502,Interactions!$B$3:$B$502,A67,Interactions!$F$3:$F$502,"Two-way"))&lt;_xlfn.MAXIFS(Interactions!$A$3:$A$502,Interactions!$B$3:$B$502,A67,Interactions!$F$3:$F$502,"Sent by us")),"No reply",IF(M67&lt;=S_Today+7,"Due this week","")))))))</f>
        <v/>
      </c>
      <c r="Z67" s="34" t="str">
        <f aca="false">IF(OR(A67="",Y67=""),"",IF(Y67="Renewal due",100000,IF(Y67="Overdue",200000,IF(Y67="No reply",300000,IF(Y67="Due this week",400000,500000))))+IF(Y67="Renewal due",P67-40000,IF(Y67="Missing next action",0,M67-40000))+ROW()/100000)</f>
        <v/>
      </c>
      <c r="AA67" s="32" t="str">
        <f aca="false">IF(A67="","",_xlfn.TEXTJOIN(", ",TRUE(),IF(AND(X67="Yes",D67=""),"No owner",IF(AND(D67&lt;&gt;"",COUNTIFS(R_TeamName,D67,R_TeamActive,"No")&gt;0),"Needs new owner","")),IF(AND(OR(C67="Proposal sent",C67="Negotiation"),H67="",I67="",K67=""),"Add package or proposed value",""),IF(AND(C67="Won",OR(P67="",V67="")),"Won needs renewal date and closed on",""),IF(AND(C67="Won",G67="Cash",J67=""),"Add agreed value",""),IF(AND(C67="Lost",OR(S67="",V67="")),"Lost needs reason and closed on",""),IF(AND(C67="Nurture",OR(T67="",U67="")),"Nurture needs reason and date","")))</f>
        <v/>
      </c>
      <c r="AB67" s="34" t="str">
        <f aca="false">IF(AND(C67="Won",V67&lt;&gt;"",V67&gt;=S_SemStart,V67&lt;=S_SemEnd),V67+ROW()/100000,"")</f>
        <v/>
      </c>
      <c r="AC67" s="34" t="str">
        <f aca="false">IF(AND(C67="Lost",V67&lt;&gt;"",V67&gt;=S_SemStart,V67&lt;=S_SemEnd),V67+ROW()/100000,"")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9"/>
      <c r="J68" s="29"/>
      <c r="K68" s="27"/>
      <c r="L68" s="27"/>
      <c r="M68" s="28"/>
      <c r="N68" s="28"/>
      <c r="O68" s="28"/>
      <c r="P68" s="28"/>
      <c r="Q68" s="27"/>
      <c r="R68" s="27"/>
      <c r="S68" s="27"/>
      <c r="T68" s="27"/>
      <c r="U68" s="28"/>
      <c r="V68" s="28"/>
      <c r="W68" s="27"/>
      <c r="X68" s="32" t="str">
        <f aca="false">IF(A68="","",IF(OR(C68="Planned",C68="Contacted",C68="Meeting",C68="Proposal sent",C68="Negotiation"),"Yes","No"))</f>
        <v/>
      </c>
      <c r="Y68" s="32" t="str">
        <f aca="false">IF(A68="","",IF(AND(C68="Won",P68&lt;&gt;"",P68&lt;=S_Today+S_RenewalDays,COUNTIFS($A$3:$A$502,A68,$F$3:$F$502,"Yes",$X$3:$X$502,"Yes")=0),"Renewal due",IF(X68&lt;&gt;"Yes","",IF(OR(L68="",M68=""),"Missing next action",IF(M68&lt;S_Today,"Overdue",IF(AND(C68="Contacted",_xlfn.MAXIFS(Interactions!$A$3:$A$502,Interactions!$B$3:$B$502,A68,Interactions!$F$3:$F$502,"Sent by us")&gt;0,_xlfn.MAXIFS(Interactions!$A$3:$A$502,Interactions!$B$3:$B$502,A68,Interactions!$F$3:$F$502,"Sent by us")&lt;=S_Today-S_NoReplyDays,MAX(_xlfn.MAXIFS(Interactions!$A$3:$A$502,Interactions!$B$3:$B$502,A68,Interactions!$F$3:$F$502,"Received from them"),_xlfn.MAXIFS(Interactions!$A$3:$A$502,Interactions!$B$3:$B$502,A68,Interactions!$F$3:$F$502,"Two-way"))&lt;_xlfn.MAXIFS(Interactions!$A$3:$A$502,Interactions!$B$3:$B$502,A68,Interactions!$F$3:$F$502,"Sent by us")),"No reply",IF(M68&lt;=S_Today+7,"Due this week","")))))))</f>
        <v/>
      </c>
      <c r="Z68" s="34" t="str">
        <f aca="false">IF(OR(A68="",Y68=""),"",IF(Y68="Renewal due",100000,IF(Y68="Overdue",200000,IF(Y68="No reply",300000,IF(Y68="Due this week",400000,500000))))+IF(Y68="Renewal due",P68-40000,IF(Y68="Missing next action",0,M68-40000))+ROW()/100000)</f>
        <v/>
      </c>
      <c r="AA68" s="32" t="str">
        <f aca="false">IF(A68="","",_xlfn.TEXTJOIN(", ",TRUE(),IF(AND(X68="Yes",D68=""),"No owner",IF(AND(D68&lt;&gt;"",COUNTIFS(R_TeamName,D68,R_TeamActive,"No")&gt;0),"Needs new owner","")),IF(AND(OR(C68="Proposal sent",C68="Negotiation"),H68="",I68="",K68=""),"Add package or proposed value",""),IF(AND(C68="Won",OR(P68="",V68="")),"Won needs renewal date and closed on",""),IF(AND(C68="Won",G68="Cash",J68=""),"Add agreed value",""),IF(AND(C68="Lost",OR(S68="",V68="")),"Lost needs reason and closed on",""),IF(AND(C68="Nurture",OR(T68="",U68="")),"Nurture needs reason and date","")))</f>
        <v/>
      </c>
      <c r="AB68" s="34" t="str">
        <f aca="false">IF(AND(C68="Won",V68&lt;&gt;"",V68&gt;=S_SemStart,V68&lt;=S_SemEnd),V68+ROW()/100000,"")</f>
        <v/>
      </c>
      <c r="AC68" s="34" t="str">
        <f aca="false">IF(AND(C68="Lost",V68&lt;&gt;"",V68&gt;=S_SemStart,V68&lt;=S_SemEnd),V68+ROW()/100000,"")</f>
        <v/>
      </c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9"/>
      <c r="J69" s="29"/>
      <c r="K69" s="27"/>
      <c r="L69" s="27"/>
      <c r="M69" s="28"/>
      <c r="N69" s="28"/>
      <c r="O69" s="28"/>
      <c r="P69" s="28"/>
      <c r="Q69" s="27"/>
      <c r="R69" s="27"/>
      <c r="S69" s="27"/>
      <c r="T69" s="27"/>
      <c r="U69" s="28"/>
      <c r="V69" s="28"/>
      <c r="W69" s="27"/>
      <c r="X69" s="32" t="str">
        <f aca="false">IF(A69="","",IF(OR(C69="Planned",C69="Contacted",C69="Meeting",C69="Proposal sent",C69="Negotiation"),"Yes","No"))</f>
        <v/>
      </c>
      <c r="Y69" s="32" t="str">
        <f aca="false">IF(A69="","",IF(AND(C69="Won",P69&lt;&gt;"",P69&lt;=S_Today+S_RenewalDays,COUNTIFS($A$3:$A$502,A69,$F$3:$F$502,"Yes",$X$3:$X$502,"Yes")=0),"Renewal due",IF(X69&lt;&gt;"Yes","",IF(OR(L69="",M69=""),"Missing next action",IF(M69&lt;S_Today,"Overdue",IF(AND(C69="Contacted",_xlfn.MAXIFS(Interactions!$A$3:$A$502,Interactions!$B$3:$B$502,A69,Interactions!$F$3:$F$502,"Sent by us")&gt;0,_xlfn.MAXIFS(Interactions!$A$3:$A$502,Interactions!$B$3:$B$502,A69,Interactions!$F$3:$F$502,"Sent by us")&lt;=S_Today-S_NoReplyDays,MAX(_xlfn.MAXIFS(Interactions!$A$3:$A$502,Interactions!$B$3:$B$502,A69,Interactions!$F$3:$F$502,"Received from them"),_xlfn.MAXIFS(Interactions!$A$3:$A$502,Interactions!$B$3:$B$502,A69,Interactions!$F$3:$F$502,"Two-way"))&lt;_xlfn.MAXIFS(Interactions!$A$3:$A$502,Interactions!$B$3:$B$502,A69,Interactions!$F$3:$F$502,"Sent by us")),"No reply",IF(M69&lt;=S_Today+7,"Due this week","")))))))</f>
        <v/>
      </c>
      <c r="Z69" s="34" t="str">
        <f aca="false">IF(OR(A69="",Y69=""),"",IF(Y69="Renewal due",100000,IF(Y69="Overdue",200000,IF(Y69="No reply",300000,IF(Y69="Due this week",400000,500000))))+IF(Y69="Renewal due",P69-40000,IF(Y69="Missing next action",0,M69-40000))+ROW()/100000)</f>
        <v/>
      </c>
      <c r="AA69" s="32" t="str">
        <f aca="false">IF(A69="","",_xlfn.TEXTJOIN(", ",TRUE(),IF(AND(X69="Yes",D69=""),"No owner",IF(AND(D69&lt;&gt;"",COUNTIFS(R_TeamName,D69,R_TeamActive,"No")&gt;0),"Needs new owner","")),IF(AND(OR(C69="Proposal sent",C69="Negotiation"),H69="",I69="",K69=""),"Add package or proposed value",""),IF(AND(C69="Won",OR(P69="",V69="")),"Won needs renewal date and closed on",""),IF(AND(C69="Won",G69="Cash",J69=""),"Add agreed value",""),IF(AND(C69="Lost",OR(S69="",V69="")),"Lost needs reason and closed on",""),IF(AND(C69="Nurture",OR(T69="",U69="")),"Nurture needs reason and date","")))</f>
        <v/>
      </c>
      <c r="AB69" s="34" t="str">
        <f aca="false">IF(AND(C69="Won",V69&lt;&gt;"",V69&gt;=S_SemStart,V69&lt;=S_SemEnd),V69+ROW()/100000,"")</f>
        <v/>
      </c>
      <c r="AC69" s="34" t="str">
        <f aca="false">IF(AND(C69="Lost",V69&lt;&gt;"",V69&gt;=S_SemStart,V69&lt;=S_SemEnd),V69+ROW()/100000,"")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9"/>
      <c r="J70" s="29"/>
      <c r="K70" s="27"/>
      <c r="L70" s="27"/>
      <c r="M70" s="28"/>
      <c r="N70" s="28"/>
      <c r="O70" s="28"/>
      <c r="P70" s="28"/>
      <c r="Q70" s="27"/>
      <c r="R70" s="27"/>
      <c r="S70" s="27"/>
      <c r="T70" s="27"/>
      <c r="U70" s="28"/>
      <c r="V70" s="28"/>
      <c r="W70" s="27"/>
      <c r="X70" s="32" t="str">
        <f aca="false">IF(A70="","",IF(OR(C70="Planned",C70="Contacted",C70="Meeting",C70="Proposal sent",C70="Negotiation"),"Yes","No"))</f>
        <v/>
      </c>
      <c r="Y70" s="32" t="str">
        <f aca="false">IF(A70="","",IF(AND(C70="Won",P70&lt;&gt;"",P70&lt;=S_Today+S_RenewalDays,COUNTIFS($A$3:$A$502,A70,$F$3:$F$502,"Yes",$X$3:$X$502,"Yes")=0),"Renewal due",IF(X70&lt;&gt;"Yes","",IF(OR(L70="",M70=""),"Missing next action",IF(M70&lt;S_Today,"Overdue",IF(AND(C70="Contacted",_xlfn.MAXIFS(Interactions!$A$3:$A$502,Interactions!$B$3:$B$502,A70,Interactions!$F$3:$F$502,"Sent by us")&gt;0,_xlfn.MAXIFS(Interactions!$A$3:$A$502,Interactions!$B$3:$B$502,A70,Interactions!$F$3:$F$502,"Sent by us")&lt;=S_Today-S_NoReplyDays,MAX(_xlfn.MAXIFS(Interactions!$A$3:$A$502,Interactions!$B$3:$B$502,A70,Interactions!$F$3:$F$502,"Received from them"),_xlfn.MAXIFS(Interactions!$A$3:$A$502,Interactions!$B$3:$B$502,A70,Interactions!$F$3:$F$502,"Two-way"))&lt;_xlfn.MAXIFS(Interactions!$A$3:$A$502,Interactions!$B$3:$B$502,A70,Interactions!$F$3:$F$502,"Sent by us")),"No reply",IF(M70&lt;=S_Today+7,"Due this week","")))))))</f>
        <v/>
      </c>
      <c r="Z70" s="34" t="str">
        <f aca="false">IF(OR(A70="",Y70=""),"",IF(Y70="Renewal due",100000,IF(Y70="Overdue",200000,IF(Y70="No reply",300000,IF(Y70="Due this week",400000,500000))))+IF(Y70="Renewal due",P70-40000,IF(Y70="Missing next action",0,M70-40000))+ROW()/100000)</f>
        <v/>
      </c>
      <c r="AA70" s="32" t="str">
        <f aca="false">IF(A70="","",_xlfn.TEXTJOIN(", ",TRUE(),IF(AND(X70="Yes",D70=""),"No owner",IF(AND(D70&lt;&gt;"",COUNTIFS(R_TeamName,D70,R_TeamActive,"No")&gt;0),"Needs new owner","")),IF(AND(OR(C70="Proposal sent",C70="Negotiation"),H70="",I70="",K70=""),"Add package or proposed value",""),IF(AND(C70="Won",OR(P70="",V70="")),"Won needs renewal date and closed on",""),IF(AND(C70="Won",G70="Cash",J70=""),"Add agreed value",""),IF(AND(C70="Lost",OR(S70="",V70="")),"Lost needs reason and closed on",""),IF(AND(C70="Nurture",OR(T70="",U70="")),"Nurture needs reason and date","")))</f>
        <v/>
      </c>
      <c r="AB70" s="34" t="str">
        <f aca="false">IF(AND(C70="Won",V70&lt;&gt;"",V70&gt;=S_SemStart,V70&lt;=S_SemEnd),V70+ROW()/100000,"")</f>
        <v/>
      </c>
      <c r="AC70" s="34" t="str">
        <f aca="false">IF(AND(C70="Lost",V70&lt;&gt;"",V70&gt;=S_SemStart,V70&lt;=S_SemEnd),V70+ROW()/100000,"")</f>
        <v/>
      </c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9"/>
      <c r="J71" s="29"/>
      <c r="K71" s="27"/>
      <c r="L71" s="27"/>
      <c r="M71" s="28"/>
      <c r="N71" s="28"/>
      <c r="O71" s="28"/>
      <c r="P71" s="28"/>
      <c r="Q71" s="27"/>
      <c r="R71" s="27"/>
      <c r="S71" s="27"/>
      <c r="T71" s="27"/>
      <c r="U71" s="28"/>
      <c r="V71" s="28"/>
      <c r="W71" s="27"/>
      <c r="X71" s="32" t="str">
        <f aca="false">IF(A71="","",IF(OR(C71="Planned",C71="Contacted",C71="Meeting",C71="Proposal sent",C71="Negotiation"),"Yes","No"))</f>
        <v/>
      </c>
      <c r="Y71" s="32" t="str">
        <f aca="false">IF(A71="","",IF(AND(C71="Won",P71&lt;&gt;"",P71&lt;=S_Today+S_RenewalDays,COUNTIFS($A$3:$A$502,A71,$F$3:$F$502,"Yes",$X$3:$X$502,"Yes")=0),"Renewal due",IF(X71&lt;&gt;"Yes","",IF(OR(L71="",M71=""),"Missing next action",IF(M71&lt;S_Today,"Overdue",IF(AND(C71="Contacted",_xlfn.MAXIFS(Interactions!$A$3:$A$502,Interactions!$B$3:$B$502,A71,Interactions!$F$3:$F$502,"Sent by us")&gt;0,_xlfn.MAXIFS(Interactions!$A$3:$A$502,Interactions!$B$3:$B$502,A71,Interactions!$F$3:$F$502,"Sent by us")&lt;=S_Today-S_NoReplyDays,MAX(_xlfn.MAXIFS(Interactions!$A$3:$A$502,Interactions!$B$3:$B$502,A71,Interactions!$F$3:$F$502,"Received from them"),_xlfn.MAXIFS(Interactions!$A$3:$A$502,Interactions!$B$3:$B$502,A71,Interactions!$F$3:$F$502,"Two-way"))&lt;_xlfn.MAXIFS(Interactions!$A$3:$A$502,Interactions!$B$3:$B$502,A71,Interactions!$F$3:$F$502,"Sent by us")),"No reply",IF(M71&lt;=S_Today+7,"Due this week","")))))))</f>
        <v/>
      </c>
      <c r="Z71" s="34" t="str">
        <f aca="false">IF(OR(A71="",Y71=""),"",IF(Y71="Renewal due",100000,IF(Y71="Overdue",200000,IF(Y71="No reply",300000,IF(Y71="Due this week",400000,500000))))+IF(Y71="Renewal due",P71-40000,IF(Y71="Missing next action",0,M71-40000))+ROW()/100000)</f>
        <v/>
      </c>
      <c r="AA71" s="32" t="str">
        <f aca="false">IF(A71="","",_xlfn.TEXTJOIN(", ",TRUE(),IF(AND(X71="Yes",D71=""),"No owner",IF(AND(D71&lt;&gt;"",COUNTIFS(R_TeamName,D71,R_TeamActive,"No")&gt;0),"Needs new owner","")),IF(AND(OR(C71="Proposal sent",C71="Negotiation"),H71="",I71="",K71=""),"Add package or proposed value",""),IF(AND(C71="Won",OR(P71="",V71="")),"Won needs renewal date and closed on",""),IF(AND(C71="Won",G71="Cash",J71=""),"Add agreed value",""),IF(AND(C71="Lost",OR(S71="",V71="")),"Lost needs reason and closed on",""),IF(AND(C71="Nurture",OR(T71="",U71="")),"Nurture needs reason and date","")))</f>
        <v/>
      </c>
      <c r="AB71" s="34" t="str">
        <f aca="false">IF(AND(C71="Won",V71&lt;&gt;"",V71&gt;=S_SemStart,V71&lt;=S_SemEnd),V71+ROW()/100000,"")</f>
        <v/>
      </c>
      <c r="AC71" s="34" t="str">
        <f aca="false">IF(AND(C71="Lost",V71&lt;&gt;"",V71&gt;=S_SemStart,V71&lt;=S_SemEnd),V71+ROW()/100000,"")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9"/>
      <c r="J72" s="29"/>
      <c r="K72" s="27"/>
      <c r="L72" s="27"/>
      <c r="M72" s="28"/>
      <c r="N72" s="28"/>
      <c r="O72" s="28"/>
      <c r="P72" s="28"/>
      <c r="Q72" s="27"/>
      <c r="R72" s="27"/>
      <c r="S72" s="27"/>
      <c r="T72" s="27"/>
      <c r="U72" s="28"/>
      <c r="V72" s="28"/>
      <c r="W72" s="27"/>
      <c r="X72" s="32" t="str">
        <f aca="false">IF(A72="","",IF(OR(C72="Planned",C72="Contacted",C72="Meeting",C72="Proposal sent",C72="Negotiation"),"Yes","No"))</f>
        <v/>
      </c>
      <c r="Y72" s="32" t="str">
        <f aca="false">IF(A72="","",IF(AND(C72="Won",P72&lt;&gt;"",P72&lt;=S_Today+S_RenewalDays,COUNTIFS($A$3:$A$502,A72,$F$3:$F$502,"Yes",$X$3:$X$502,"Yes")=0),"Renewal due",IF(X72&lt;&gt;"Yes","",IF(OR(L72="",M72=""),"Missing next action",IF(M72&lt;S_Today,"Overdue",IF(AND(C72="Contacted",_xlfn.MAXIFS(Interactions!$A$3:$A$502,Interactions!$B$3:$B$502,A72,Interactions!$F$3:$F$502,"Sent by us")&gt;0,_xlfn.MAXIFS(Interactions!$A$3:$A$502,Interactions!$B$3:$B$502,A72,Interactions!$F$3:$F$502,"Sent by us")&lt;=S_Today-S_NoReplyDays,MAX(_xlfn.MAXIFS(Interactions!$A$3:$A$502,Interactions!$B$3:$B$502,A72,Interactions!$F$3:$F$502,"Received from them"),_xlfn.MAXIFS(Interactions!$A$3:$A$502,Interactions!$B$3:$B$502,A72,Interactions!$F$3:$F$502,"Two-way"))&lt;_xlfn.MAXIFS(Interactions!$A$3:$A$502,Interactions!$B$3:$B$502,A72,Interactions!$F$3:$F$502,"Sent by us")),"No reply",IF(M72&lt;=S_Today+7,"Due this week","")))))))</f>
        <v/>
      </c>
      <c r="Z72" s="34" t="str">
        <f aca="false">IF(OR(A72="",Y72=""),"",IF(Y72="Renewal due",100000,IF(Y72="Overdue",200000,IF(Y72="No reply",300000,IF(Y72="Due this week",400000,500000))))+IF(Y72="Renewal due",P72-40000,IF(Y72="Missing next action",0,M72-40000))+ROW()/100000)</f>
        <v/>
      </c>
      <c r="AA72" s="32" t="str">
        <f aca="false">IF(A72="","",_xlfn.TEXTJOIN(", ",TRUE(),IF(AND(X72="Yes",D72=""),"No owner",IF(AND(D72&lt;&gt;"",COUNTIFS(R_TeamName,D72,R_TeamActive,"No")&gt;0),"Needs new owner","")),IF(AND(OR(C72="Proposal sent",C72="Negotiation"),H72="",I72="",K72=""),"Add package or proposed value",""),IF(AND(C72="Won",OR(P72="",V72="")),"Won needs renewal date and closed on",""),IF(AND(C72="Won",G72="Cash",J72=""),"Add agreed value",""),IF(AND(C72="Lost",OR(S72="",V72="")),"Lost needs reason and closed on",""),IF(AND(C72="Nurture",OR(T72="",U72="")),"Nurture needs reason and date","")))</f>
        <v/>
      </c>
      <c r="AB72" s="34" t="str">
        <f aca="false">IF(AND(C72="Won",V72&lt;&gt;"",V72&gt;=S_SemStart,V72&lt;=S_SemEnd),V72+ROW()/100000,"")</f>
        <v/>
      </c>
      <c r="AC72" s="34" t="str">
        <f aca="false">IF(AND(C72="Lost",V72&lt;&gt;"",V72&gt;=S_SemStart,V72&lt;=S_SemEnd),V72+ROW()/100000,"")</f>
        <v/>
      </c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9"/>
      <c r="J73" s="29"/>
      <c r="K73" s="27"/>
      <c r="L73" s="27"/>
      <c r="M73" s="28"/>
      <c r="N73" s="28"/>
      <c r="O73" s="28"/>
      <c r="P73" s="28"/>
      <c r="Q73" s="27"/>
      <c r="R73" s="27"/>
      <c r="S73" s="27"/>
      <c r="T73" s="27"/>
      <c r="U73" s="28"/>
      <c r="V73" s="28"/>
      <c r="W73" s="27"/>
      <c r="X73" s="32" t="str">
        <f aca="false">IF(A73="","",IF(OR(C73="Planned",C73="Contacted",C73="Meeting",C73="Proposal sent",C73="Negotiation"),"Yes","No"))</f>
        <v/>
      </c>
      <c r="Y73" s="32" t="str">
        <f aca="false">IF(A73="","",IF(AND(C73="Won",P73&lt;&gt;"",P73&lt;=S_Today+S_RenewalDays,COUNTIFS($A$3:$A$502,A73,$F$3:$F$502,"Yes",$X$3:$X$502,"Yes")=0),"Renewal due",IF(X73&lt;&gt;"Yes","",IF(OR(L73="",M73=""),"Missing next action",IF(M73&lt;S_Today,"Overdue",IF(AND(C73="Contacted",_xlfn.MAXIFS(Interactions!$A$3:$A$502,Interactions!$B$3:$B$502,A73,Interactions!$F$3:$F$502,"Sent by us")&gt;0,_xlfn.MAXIFS(Interactions!$A$3:$A$502,Interactions!$B$3:$B$502,A73,Interactions!$F$3:$F$502,"Sent by us")&lt;=S_Today-S_NoReplyDays,MAX(_xlfn.MAXIFS(Interactions!$A$3:$A$502,Interactions!$B$3:$B$502,A73,Interactions!$F$3:$F$502,"Received from them"),_xlfn.MAXIFS(Interactions!$A$3:$A$502,Interactions!$B$3:$B$502,A73,Interactions!$F$3:$F$502,"Two-way"))&lt;_xlfn.MAXIFS(Interactions!$A$3:$A$502,Interactions!$B$3:$B$502,A73,Interactions!$F$3:$F$502,"Sent by us")),"No reply",IF(M73&lt;=S_Today+7,"Due this week","")))))))</f>
        <v/>
      </c>
      <c r="Z73" s="34" t="str">
        <f aca="false">IF(OR(A73="",Y73=""),"",IF(Y73="Renewal due",100000,IF(Y73="Overdue",200000,IF(Y73="No reply",300000,IF(Y73="Due this week",400000,500000))))+IF(Y73="Renewal due",P73-40000,IF(Y73="Missing next action",0,M73-40000))+ROW()/100000)</f>
        <v/>
      </c>
      <c r="AA73" s="32" t="str">
        <f aca="false">IF(A73="","",_xlfn.TEXTJOIN(", ",TRUE(),IF(AND(X73="Yes",D73=""),"No owner",IF(AND(D73&lt;&gt;"",COUNTIFS(R_TeamName,D73,R_TeamActive,"No")&gt;0),"Needs new owner","")),IF(AND(OR(C73="Proposal sent",C73="Negotiation"),H73="",I73="",K73=""),"Add package or proposed value",""),IF(AND(C73="Won",OR(P73="",V73="")),"Won needs renewal date and closed on",""),IF(AND(C73="Won",G73="Cash",J73=""),"Add agreed value",""),IF(AND(C73="Lost",OR(S73="",V73="")),"Lost needs reason and closed on",""),IF(AND(C73="Nurture",OR(T73="",U73="")),"Nurture needs reason and date","")))</f>
        <v/>
      </c>
      <c r="AB73" s="34" t="str">
        <f aca="false">IF(AND(C73="Won",V73&lt;&gt;"",V73&gt;=S_SemStart,V73&lt;=S_SemEnd),V73+ROW()/100000,"")</f>
        <v/>
      </c>
      <c r="AC73" s="34" t="str">
        <f aca="false">IF(AND(C73="Lost",V73&lt;&gt;"",V73&gt;=S_SemStart,V73&lt;=S_SemEnd),V73+ROW()/100000,"")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9"/>
      <c r="J74" s="29"/>
      <c r="K74" s="27"/>
      <c r="L74" s="27"/>
      <c r="M74" s="28"/>
      <c r="N74" s="28"/>
      <c r="O74" s="28"/>
      <c r="P74" s="28"/>
      <c r="Q74" s="27"/>
      <c r="R74" s="27"/>
      <c r="S74" s="27"/>
      <c r="T74" s="27"/>
      <c r="U74" s="28"/>
      <c r="V74" s="28"/>
      <c r="W74" s="27"/>
      <c r="X74" s="32" t="str">
        <f aca="false">IF(A74="","",IF(OR(C74="Planned",C74="Contacted",C74="Meeting",C74="Proposal sent",C74="Negotiation"),"Yes","No"))</f>
        <v/>
      </c>
      <c r="Y74" s="32" t="str">
        <f aca="false">IF(A74="","",IF(AND(C74="Won",P74&lt;&gt;"",P74&lt;=S_Today+S_RenewalDays,COUNTIFS($A$3:$A$502,A74,$F$3:$F$502,"Yes",$X$3:$X$502,"Yes")=0),"Renewal due",IF(X74&lt;&gt;"Yes","",IF(OR(L74="",M74=""),"Missing next action",IF(M74&lt;S_Today,"Overdue",IF(AND(C74="Contacted",_xlfn.MAXIFS(Interactions!$A$3:$A$502,Interactions!$B$3:$B$502,A74,Interactions!$F$3:$F$502,"Sent by us")&gt;0,_xlfn.MAXIFS(Interactions!$A$3:$A$502,Interactions!$B$3:$B$502,A74,Interactions!$F$3:$F$502,"Sent by us")&lt;=S_Today-S_NoReplyDays,MAX(_xlfn.MAXIFS(Interactions!$A$3:$A$502,Interactions!$B$3:$B$502,A74,Interactions!$F$3:$F$502,"Received from them"),_xlfn.MAXIFS(Interactions!$A$3:$A$502,Interactions!$B$3:$B$502,A74,Interactions!$F$3:$F$502,"Two-way"))&lt;_xlfn.MAXIFS(Interactions!$A$3:$A$502,Interactions!$B$3:$B$502,A74,Interactions!$F$3:$F$502,"Sent by us")),"No reply",IF(M74&lt;=S_Today+7,"Due this week","")))))))</f>
        <v/>
      </c>
      <c r="Z74" s="34" t="str">
        <f aca="false">IF(OR(A74="",Y74=""),"",IF(Y74="Renewal due",100000,IF(Y74="Overdue",200000,IF(Y74="No reply",300000,IF(Y74="Due this week",400000,500000))))+IF(Y74="Renewal due",P74-40000,IF(Y74="Missing next action",0,M74-40000))+ROW()/100000)</f>
        <v/>
      </c>
      <c r="AA74" s="32" t="str">
        <f aca="false">IF(A74="","",_xlfn.TEXTJOIN(", ",TRUE(),IF(AND(X74="Yes",D74=""),"No owner",IF(AND(D74&lt;&gt;"",COUNTIFS(R_TeamName,D74,R_TeamActive,"No")&gt;0),"Needs new owner","")),IF(AND(OR(C74="Proposal sent",C74="Negotiation"),H74="",I74="",K74=""),"Add package or proposed value",""),IF(AND(C74="Won",OR(P74="",V74="")),"Won needs renewal date and closed on",""),IF(AND(C74="Won",G74="Cash",J74=""),"Add agreed value",""),IF(AND(C74="Lost",OR(S74="",V74="")),"Lost needs reason and closed on",""),IF(AND(C74="Nurture",OR(T74="",U74="")),"Nurture needs reason and date","")))</f>
        <v/>
      </c>
      <c r="AB74" s="34" t="str">
        <f aca="false">IF(AND(C74="Won",V74&lt;&gt;"",V74&gt;=S_SemStart,V74&lt;=S_SemEnd),V74+ROW()/100000,"")</f>
        <v/>
      </c>
      <c r="AC74" s="34" t="str">
        <f aca="false">IF(AND(C74="Lost",V74&lt;&gt;"",V74&gt;=S_SemStart,V74&lt;=S_SemEnd),V74+ROW()/100000,"")</f>
        <v/>
      </c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9"/>
      <c r="J75" s="29"/>
      <c r="K75" s="27"/>
      <c r="L75" s="27"/>
      <c r="M75" s="28"/>
      <c r="N75" s="28"/>
      <c r="O75" s="28"/>
      <c r="P75" s="28"/>
      <c r="Q75" s="27"/>
      <c r="R75" s="27"/>
      <c r="S75" s="27"/>
      <c r="T75" s="27"/>
      <c r="U75" s="28"/>
      <c r="V75" s="28"/>
      <c r="W75" s="27"/>
      <c r="X75" s="32" t="str">
        <f aca="false">IF(A75="","",IF(OR(C75="Planned",C75="Contacted",C75="Meeting",C75="Proposal sent",C75="Negotiation"),"Yes","No"))</f>
        <v/>
      </c>
      <c r="Y75" s="32" t="str">
        <f aca="false">IF(A75="","",IF(AND(C75="Won",P75&lt;&gt;"",P75&lt;=S_Today+S_RenewalDays,COUNTIFS($A$3:$A$502,A75,$F$3:$F$502,"Yes",$X$3:$X$502,"Yes")=0),"Renewal due",IF(X75&lt;&gt;"Yes","",IF(OR(L75="",M75=""),"Missing next action",IF(M75&lt;S_Today,"Overdue",IF(AND(C75="Contacted",_xlfn.MAXIFS(Interactions!$A$3:$A$502,Interactions!$B$3:$B$502,A75,Interactions!$F$3:$F$502,"Sent by us")&gt;0,_xlfn.MAXIFS(Interactions!$A$3:$A$502,Interactions!$B$3:$B$502,A75,Interactions!$F$3:$F$502,"Sent by us")&lt;=S_Today-S_NoReplyDays,MAX(_xlfn.MAXIFS(Interactions!$A$3:$A$502,Interactions!$B$3:$B$502,A75,Interactions!$F$3:$F$502,"Received from them"),_xlfn.MAXIFS(Interactions!$A$3:$A$502,Interactions!$B$3:$B$502,A75,Interactions!$F$3:$F$502,"Two-way"))&lt;_xlfn.MAXIFS(Interactions!$A$3:$A$502,Interactions!$B$3:$B$502,A75,Interactions!$F$3:$F$502,"Sent by us")),"No reply",IF(M75&lt;=S_Today+7,"Due this week","")))))))</f>
        <v/>
      </c>
      <c r="Z75" s="34" t="str">
        <f aca="false">IF(OR(A75="",Y75=""),"",IF(Y75="Renewal due",100000,IF(Y75="Overdue",200000,IF(Y75="No reply",300000,IF(Y75="Due this week",400000,500000))))+IF(Y75="Renewal due",P75-40000,IF(Y75="Missing next action",0,M75-40000))+ROW()/100000)</f>
        <v/>
      </c>
      <c r="AA75" s="32" t="str">
        <f aca="false">IF(A75="","",_xlfn.TEXTJOIN(", ",TRUE(),IF(AND(X75="Yes",D75=""),"No owner",IF(AND(D75&lt;&gt;"",COUNTIFS(R_TeamName,D75,R_TeamActive,"No")&gt;0),"Needs new owner","")),IF(AND(OR(C75="Proposal sent",C75="Negotiation"),H75="",I75="",K75=""),"Add package or proposed value",""),IF(AND(C75="Won",OR(P75="",V75="")),"Won needs renewal date and closed on",""),IF(AND(C75="Won",G75="Cash",J75=""),"Add agreed value",""),IF(AND(C75="Lost",OR(S75="",V75="")),"Lost needs reason and closed on",""),IF(AND(C75="Nurture",OR(T75="",U75="")),"Nurture needs reason and date","")))</f>
        <v/>
      </c>
      <c r="AB75" s="34" t="str">
        <f aca="false">IF(AND(C75="Won",V75&lt;&gt;"",V75&gt;=S_SemStart,V75&lt;=S_SemEnd),V75+ROW()/100000,"")</f>
        <v/>
      </c>
      <c r="AC75" s="34" t="str">
        <f aca="false">IF(AND(C75="Lost",V75&lt;&gt;"",V75&gt;=S_SemStart,V75&lt;=S_SemEnd),V75+ROW()/100000,"")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9"/>
      <c r="J76" s="29"/>
      <c r="K76" s="27"/>
      <c r="L76" s="27"/>
      <c r="M76" s="28"/>
      <c r="N76" s="28"/>
      <c r="O76" s="28"/>
      <c r="P76" s="28"/>
      <c r="Q76" s="27"/>
      <c r="R76" s="27"/>
      <c r="S76" s="27"/>
      <c r="T76" s="27"/>
      <c r="U76" s="28"/>
      <c r="V76" s="28"/>
      <c r="W76" s="27"/>
      <c r="X76" s="32" t="str">
        <f aca="false">IF(A76="","",IF(OR(C76="Planned",C76="Contacted",C76="Meeting",C76="Proposal sent",C76="Negotiation"),"Yes","No"))</f>
        <v/>
      </c>
      <c r="Y76" s="32" t="str">
        <f aca="false">IF(A76="","",IF(AND(C76="Won",P76&lt;&gt;"",P76&lt;=S_Today+S_RenewalDays,COUNTIFS($A$3:$A$502,A76,$F$3:$F$502,"Yes",$X$3:$X$502,"Yes")=0),"Renewal due",IF(X76&lt;&gt;"Yes","",IF(OR(L76="",M76=""),"Missing next action",IF(M76&lt;S_Today,"Overdue",IF(AND(C76="Contacted",_xlfn.MAXIFS(Interactions!$A$3:$A$502,Interactions!$B$3:$B$502,A76,Interactions!$F$3:$F$502,"Sent by us")&gt;0,_xlfn.MAXIFS(Interactions!$A$3:$A$502,Interactions!$B$3:$B$502,A76,Interactions!$F$3:$F$502,"Sent by us")&lt;=S_Today-S_NoReplyDays,MAX(_xlfn.MAXIFS(Interactions!$A$3:$A$502,Interactions!$B$3:$B$502,A76,Interactions!$F$3:$F$502,"Received from them"),_xlfn.MAXIFS(Interactions!$A$3:$A$502,Interactions!$B$3:$B$502,A76,Interactions!$F$3:$F$502,"Two-way"))&lt;_xlfn.MAXIFS(Interactions!$A$3:$A$502,Interactions!$B$3:$B$502,A76,Interactions!$F$3:$F$502,"Sent by us")),"No reply",IF(M76&lt;=S_Today+7,"Due this week","")))))))</f>
        <v/>
      </c>
      <c r="Z76" s="34" t="str">
        <f aca="false">IF(OR(A76="",Y76=""),"",IF(Y76="Renewal due",100000,IF(Y76="Overdue",200000,IF(Y76="No reply",300000,IF(Y76="Due this week",400000,500000))))+IF(Y76="Renewal due",P76-40000,IF(Y76="Missing next action",0,M76-40000))+ROW()/100000)</f>
        <v/>
      </c>
      <c r="AA76" s="32" t="str">
        <f aca="false">IF(A76="","",_xlfn.TEXTJOIN(", ",TRUE(),IF(AND(X76="Yes",D76=""),"No owner",IF(AND(D76&lt;&gt;"",COUNTIFS(R_TeamName,D76,R_TeamActive,"No")&gt;0),"Needs new owner","")),IF(AND(OR(C76="Proposal sent",C76="Negotiation"),H76="",I76="",K76=""),"Add package or proposed value",""),IF(AND(C76="Won",OR(P76="",V76="")),"Won needs renewal date and closed on",""),IF(AND(C76="Won",G76="Cash",J76=""),"Add agreed value",""),IF(AND(C76="Lost",OR(S76="",V76="")),"Lost needs reason and closed on",""),IF(AND(C76="Nurture",OR(T76="",U76="")),"Nurture needs reason and date","")))</f>
        <v/>
      </c>
      <c r="AB76" s="34" t="str">
        <f aca="false">IF(AND(C76="Won",V76&lt;&gt;"",V76&gt;=S_SemStart,V76&lt;=S_SemEnd),V76+ROW()/100000,"")</f>
        <v/>
      </c>
      <c r="AC76" s="34" t="str">
        <f aca="false">IF(AND(C76="Lost",V76&lt;&gt;"",V76&gt;=S_SemStart,V76&lt;=S_SemEnd),V76+ROW()/100000,"")</f>
        <v/>
      </c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9"/>
      <c r="J77" s="29"/>
      <c r="K77" s="27"/>
      <c r="L77" s="27"/>
      <c r="M77" s="28"/>
      <c r="N77" s="28"/>
      <c r="O77" s="28"/>
      <c r="P77" s="28"/>
      <c r="Q77" s="27"/>
      <c r="R77" s="27"/>
      <c r="S77" s="27"/>
      <c r="T77" s="27"/>
      <c r="U77" s="28"/>
      <c r="V77" s="28"/>
      <c r="W77" s="27"/>
      <c r="X77" s="32" t="str">
        <f aca="false">IF(A77="","",IF(OR(C77="Planned",C77="Contacted",C77="Meeting",C77="Proposal sent",C77="Negotiation"),"Yes","No"))</f>
        <v/>
      </c>
      <c r="Y77" s="32" t="str">
        <f aca="false">IF(A77="","",IF(AND(C77="Won",P77&lt;&gt;"",P77&lt;=S_Today+S_RenewalDays,COUNTIFS($A$3:$A$502,A77,$F$3:$F$502,"Yes",$X$3:$X$502,"Yes")=0),"Renewal due",IF(X77&lt;&gt;"Yes","",IF(OR(L77="",M77=""),"Missing next action",IF(M77&lt;S_Today,"Overdue",IF(AND(C77="Contacted",_xlfn.MAXIFS(Interactions!$A$3:$A$502,Interactions!$B$3:$B$502,A77,Interactions!$F$3:$F$502,"Sent by us")&gt;0,_xlfn.MAXIFS(Interactions!$A$3:$A$502,Interactions!$B$3:$B$502,A77,Interactions!$F$3:$F$502,"Sent by us")&lt;=S_Today-S_NoReplyDays,MAX(_xlfn.MAXIFS(Interactions!$A$3:$A$502,Interactions!$B$3:$B$502,A77,Interactions!$F$3:$F$502,"Received from them"),_xlfn.MAXIFS(Interactions!$A$3:$A$502,Interactions!$B$3:$B$502,A77,Interactions!$F$3:$F$502,"Two-way"))&lt;_xlfn.MAXIFS(Interactions!$A$3:$A$502,Interactions!$B$3:$B$502,A77,Interactions!$F$3:$F$502,"Sent by us")),"No reply",IF(M77&lt;=S_Today+7,"Due this week","")))))))</f>
        <v/>
      </c>
      <c r="Z77" s="34" t="str">
        <f aca="false">IF(OR(A77="",Y77=""),"",IF(Y77="Renewal due",100000,IF(Y77="Overdue",200000,IF(Y77="No reply",300000,IF(Y77="Due this week",400000,500000))))+IF(Y77="Renewal due",P77-40000,IF(Y77="Missing next action",0,M77-40000))+ROW()/100000)</f>
        <v/>
      </c>
      <c r="AA77" s="32" t="str">
        <f aca="false">IF(A77="","",_xlfn.TEXTJOIN(", ",TRUE(),IF(AND(X77="Yes",D77=""),"No owner",IF(AND(D77&lt;&gt;"",COUNTIFS(R_TeamName,D77,R_TeamActive,"No")&gt;0),"Needs new owner","")),IF(AND(OR(C77="Proposal sent",C77="Negotiation"),H77="",I77="",K77=""),"Add package or proposed value",""),IF(AND(C77="Won",OR(P77="",V77="")),"Won needs renewal date and closed on",""),IF(AND(C77="Won",G77="Cash",J77=""),"Add agreed value",""),IF(AND(C77="Lost",OR(S77="",V77="")),"Lost needs reason and closed on",""),IF(AND(C77="Nurture",OR(T77="",U77="")),"Nurture needs reason and date","")))</f>
        <v/>
      </c>
      <c r="AB77" s="34" t="str">
        <f aca="false">IF(AND(C77="Won",V77&lt;&gt;"",V77&gt;=S_SemStart,V77&lt;=S_SemEnd),V77+ROW()/100000,"")</f>
        <v/>
      </c>
      <c r="AC77" s="34" t="str">
        <f aca="false">IF(AND(C77="Lost",V77&lt;&gt;"",V77&gt;=S_SemStart,V77&lt;=S_SemEnd),V77+ROW()/100000,"")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9"/>
      <c r="J78" s="29"/>
      <c r="K78" s="27"/>
      <c r="L78" s="27"/>
      <c r="M78" s="28"/>
      <c r="N78" s="28"/>
      <c r="O78" s="28"/>
      <c r="P78" s="28"/>
      <c r="Q78" s="27"/>
      <c r="R78" s="27"/>
      <c r="S78" s="27"/>
      <c r="T78" s="27"/>
      <c r="U78" s="28"/>
      <c r="V78" s="28"/>
      <c r="W78" s="27"/>
      <c r="X78" s="32" t="str">
        <f aca="false">IF(A78="","",IF(OR(C78="Planned",C78="Contacted",C78="Meeting",C78="Proposal sent",C78="Negotiation"),"Yes","No"))</f>
        <v/>
      </c>
      <c r="Y78" s="32" t="str">
        <f aca="false">IF(A78="","",IF(AND(C78="Won",P78&lt;&gt;"",P78&lt;=S_Today+S_RenewalDays,COUNTIFS($A$3:$A$502,A78,$F$3:$F$502,"Yes",$X$3:$X$502,"Yes")=0),"Renewal due",IF(X78&lt;&gt;"Yes","",IF(OR(L78="",M78=""),"Missing next action",IF(M78&lt;S_Today,"Overdue",IF(AND(C78="Contacted",_xlfn.MAXIFS(Interactions!$A$3:$A$502,Interactions!$B$3:$B$502,A78,Interactions!$F$3:$F$502,"Sent by us")&gt;0,_xlfn.MAXIFS(Interactions!$A$3:$A$502,Interactions!$B$3:$B$502,A78,Interactions!$F$3:$F$502,"Sent by us")&lt;=S_Today-S_NoReplyDays,MAX(_xlfn.MAXIFS(Interactions!$A$3:$A$502,Interactions!$B$3:$B$502,A78,Interactions!$F$3:$F$502,"Received from them"),_xlfn.MAXIFS(Interactions!$A$3:$A$502,Interactions!$B$3:$B$502,A78,Interactions!$F$3:$F$502,"Two-way"))&lt;_xlfn.MAXIFS(Interactions!$A$3:$A$502,Interactions!$B$3:$B$502,A78,Interactions!$F$3:$F$502,"Sent by us")),"No reply",IF(M78&lt;=S_Today+7,"Due this week","")))))))</f>
        <v/>
      </c>
      <c r="Z78" s="34" t="str">
        <f aca="false">IF(OR(A78="",Y78=""),"",IF(Y78="Renewal due",100000,IF(Y78="Overdue",200000,IF(Y78="No reply",300000,IF(Y78="Due this week",400000,500000))))+IF(Y78="Renewal due",P78-40000,IF(Y78="Missing next action",0,M78-40000))+ROW()/100000)</f>
        <v/>
      </c>
      <c r="AA78" s="32" t="str">
        <f aca="false">IF(A78="","",_xlfn.TEXTJOIN(", ",TRUE(),IF(AND(X78="Yes",D78=""),"No owner",IF(AND(D78&lt;&gt;"",COUNTIFS(R_TeamName,D78,R_TeamActive,"No")&gt;0),"Needs new owner","")),IF(AND(OR(C78="Proposal sent",C78="Negotiation"),H78="",I78="",K78=""),"Add package or proposed value",""),IF(AND(C78="Won",OR(P78="",V78="")),"Won needs renewal date and closed on",""),IF(AND(C78="Won",G78="Cash",J78=""),"Add agreed value",""),IF(AND(C78="Lost",OR(S78="",V78="")),"Lost needs reason and closed on",""),IF(AND(C78="Nurture",OR(T78="",U78="")),"Nurture needs reason and date","")))</f>
        <v/>
      </c>
      <c r="AB78" s="34" t="str">
        <f aca="false">IF(AND(C78="Won",V78&lt;&gt;"",V78&gt;=S_SemStart,V78&lt;=S_SemEnd),V78+ROW()/100000,"")</f>
        <v/>
      </c>
      <c r="AC78" s="34" t="str">
        <f aca="false">IF(AND(C78="Lost",V78&lt;&gt;"",V78&gt;=S_SemStart,V78&lt;=S_SemEnd),V78+ROW()/100000,"")</f>
        <v/>
      </c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9"/>
      <c r="J79" s="29"/>
      <c r="K79" s="27"/>
      <c r="L79" s="27"/>
      <c r="M79" s="28"/>
      <c r="N79" s="28"/>
      <c r="O79" s="28"/>
      <c r="P79" s="28"/>
      <c r="Q79" s="27"/>
      <c r="R79" s="27"/>
      <c r="S79" s="27"/>
      <c r="T79" s="27"/>
      <c r="U79" s="28"/>
      <c r="V79" s="28"/>
      <c r="W79" s="27"/>
      <c r="X79" s="32" t="str">
        <f aca="false">IF(A79="","",IF(OR(C79="Planned",C79="Contacted",C79="Meeting",C79="Proposal sent",C79="Negotiation"),"Yes","No"))</f>
        <v/>
      </c>
      <c r="Y79" s="32" t="str">
        <f aca="false">IF(A79="","",IF(AND(C79="Won",P79&lt;&gt;"",P79&lt;=S_Today+S_RenewalDays,COUNTIFS($A$3:$A$502,A79,$F$3:$F$502,"Yes",$X$3:$X$502,"Yes")=0),"Renewal due",IF(X79&lt;&gt;"Yes","",IF(OR(L79="",M79=""),"Missing next action",IF(M79&lt;S_Today,"Overdue",IF(AND(C79="Contacted",_xlfn.MAXIFS(Interactions!$A$3:$A$502,Interactions!$B$3:$B$502,A79,Interactions!$F$3:$F$502,"Sent by us")&gt;0,_xlfn.MAXIFS(Interactions!$A$3:$A$502,Interactions!$B$3:$B$502,A79,Interactions!$F$3:$F$502,"Sent by us")&lt;=S_Today-S_NoReplyDays,MAX(_xlfn.MAXIFS(Interactions!$A$3:$A$502,Interactions!$B$3:$B$502,A79,Interactions!$F$3:$F$502,"Received from them"),_xlfn.MAXIFS(Interactions!$A$3:$A$502,Interactions!$B$3:$B$502,A79,Interactions!$F$3:$F$502,"Two-way"))&lt;_xlfn.MAXIFS(Interactions!$A$3:$A$502,Interactions!$B$3:$B$502,A79,Interactions!$F$3:$F$502,"Sent by us")),"No reply",IF(M79&lt;=S_Today+7,"Due this week","")))))))</f>
        <v/>
      </c>
      <c r="Z79" s="34" t="str">
        <f aca="false">IF(OR(A79="",Y79=""),"",IF(Y79="Renewal due",100000,IF(Y79="Overdue",200000,IF(Y79="No reply",300000,IF(Y79="Due this week",400000,500000))))+IF(Y79="Renewal due",P79-40000,IF(Y79="Missing next action",0,M79-40000))+ROW()/100000)</f>
        <v/>
      </c>
      <c r="AA79" s="32" t="str">
        <f aca="false">IF(A79="","",_xlfn.TEXTJOIN(", ",TRUE(),IF(AND(X79="Yes",D79=""),"No owner",IF(AND(D79&lt;&gt;"",COUNTIFS(R_TeamName,D79,R_TeamActive,"No")&gt;0),"Needs new owner","")),IF(AND(OR(C79="Proposal sent",C79="Negotiation"),H79="",I79="",K79=""),"Add package or proposed value",""),IF(AND(C79="Won",OR(P79="",V79="")),"Won needs renewal date and closed on",""),IF(AND(C79="Won",G79="Cash",J79=""),"Add agreed value",""),IF(AND(C79="Lost",OR(S79="",V79="")),"Lost needs reason and closed on",""),IF(AND(C79="Nurture",OR(T79="",U79="")),"Nurture needs reason and date","")))</f>
        <v/>
      </c>
      <c r="AB79" s="34" t="str">
        <f aca="false">IF(AND(C79="Won",V79&lt;&gt;"",V79&gt;=S_SemStart,V79&lt;=S_SemEnd),V79+ROW()/100000,"")</f>
        <v/>
      </c>
      <c r="AC79" s="34" t="str">
        <f aca="false">IF(AND(C79="Lost",V79&lt;&gt;"",V79&gt;=S_SemStart,V79&lt;=S_SemEnd),V79+ROW()/100000,"")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9"/>
      <c r="J80" s="29"/>
      <c r="K80" s="27"/>
      <c r="L80" s="27"/>
      <c r="M80" s="28"/>
      <c r="N80" s="28"/>
      <c r="O80" s="28"/>
      <c r="P80" s="28"/>
      <c r="Q80" s="27"/>
      <c r="R80" s="27"/>
      <c r="S80" s="27"/>
      <c r="T80" s="27"/>
      <c r="U80" s="28"/>
      <c r="V80" s="28"/>
      <c r="W80" s="27"/>
      <c r="X80" s="32" t="str">
        <f aca="false">IF(A80="","",IF(OR(C80="Planned",C80="Contacted",C80="Meeting",C80="Proposal sent",C80="Negotiation"),"Yes","No"))</f>
        <v/>
      </c>
      <c r="Y80" s="32" t="str">
        <f aca="false">IF(A80="","",IF(AND(C80="Won",P80&lt;&gt;"",P80&lt;=S_Today+S_RenewalDays,COUNTIFS($A$3:$A$502,A80,$F$3:$F$502,"Yes",$X$3:$X$502,"Yes")=0),"Renewal due",IF(X80&lt;&gt;"Yes","",IF(OR(L80="",M80=""),"Missing next action",IF(M80&lt;S_Today,"Overdue",IF(AND(C80="Contacted",_xlfn.MAXIFS(Interactions!$A$3:$A$502,Interactions!$B$3:$B$502,A80,Interactions!$F$3:$F$502,"Sent by us")&gt;0,_xlfn.MAXIFS(Interactions!$A$3:$A$502,Interactions!$B$3:$B$502,A80,Interactions!$F$3:$F$502,"Sent by us")&lt;=S_Today-S_NoReplyDays,MAX(_xlfn.MAXIFS(Interactions!$A$3:$A$502,Interactions!$B$3:$B$502,A80,Interactions!$F$3:$F$502,"Received from them"),_xlfn.MAXIFS(Interactions!$A$3:$A$502,Interactions!$B$3:$B$502,A80,Interactions!$F$3:$F$502,"Two-way"))&lt;_xlfn.MAXIFS(Interactions!$A$3:$A$502,Interactions!$B$3:$B$502,A80,Interactions!$F$3:$F$502,"Sent by us")),"No reply",IF(M80&lt;=S_Today+7,"Due this week","")))))))</f>
        <v/>
      </c>
      <c r="Z80" s="34" t="str">
        <f aca="false">IF(OR(A80="",Y80=""),"",IF(Y80="Renewal due",100000,IF(Y80="Overdue",200000,IF(Y80="No reply",300000,IF(Y80="Due this week",400000,500000))))+IF(Y80="Renewal due",P80-40000,IF(Y80="Missing next action",0,M80-40000))+ROW()/100000)</f>
        <v/>
      </c>
      <c r="AA80" s="32" t="str">
        <f aca="false">IF(A80="","",_xlfn.TEXTJOIN(", ",TRUE(),IF(AND(X80="Yes",D80=""),"No owner",IF(AND(D80&lt;&gt;"",COUNTIFS(R_TeamName,D80,R_TeamActive,"No")&gt;0),"Needs new owner","")),IF(AND(OR(C80="Proposal sent",C80="Negotiation"),H80="",I80="",K80=""),"Add package or proposed value",""),IF(AND(C80="Won",OR(P80="",V80="")),"Won needs renewal date and closed on",""),IF(AND(C80="Won",G80="Cash",J80=""),"Add agreed value",""),IF(AND(C80="Lost",OR(S80="",V80="")),"Lost needs reason and closed on",""),IF(AND(C80="Nurture",OR(T80="",U80="")),"Nurture needs reason and date","")))</f>
        <v/>
      </c>
      <c r="AB80" s="34" t="str">
        <f aca="false">IF(AND(C80="Won",V80&lt;&gt;"",V80&gt;=S_SemStart,V80&lt;=S_SemEnd),V80+ROW()/100000,"")</f>
        <v/>
      </c>
      <c r="AC80" s="34" t="str">
        <f aca="false">IF(AND(C80="Lost",V80&lt;&gt;"",V80&gt;=S_SemStart,V80&lt;=S_SemEnd),V80+ROW()/100000,"")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9"/>
      <c r="J81" s="29"/>
      <c r="K81" s="27"/>
      <c r="L81" s="27"/>
      <c r="M81" s="28"/>
      <c r="N81" s="28"/>
      <c r="O81" s="28"/>
      <c r="P81" s="28"/>
      <c r="Q81" s="27"/>
      <c r="R81" s="27"/>
      <c r="S81" s="27"/>
      <c r="T81" s="27"/>
      <c r="U81" s="28"/>
      <c r="V81" s="28"/>
      <c r="W81" s="27"/>
      <c r="X81" s="32" t="str">
        <f aca="false">IF(A81="","",IF(OR(C81="Planned",C81="Contacted",C81="Meeting",C81="Proposal sent",C81="Negotiation"),"Yes","No"))</f>
        <v/>
      </c>
      <c r="Y81" s="32" t="str">
        <f aca="false">IF(A81="","",IF(AND(C81="Won",P81&lt;&gt;"",P81&lt;=S_Today+S_RenewalDays,COUNTIFS($A$3:$A$502,A81,$F$3:$F$502,"Yes",$X$3:$X$502,"Yes")=0),"Renewal due",IF(X81&lt;&gt;"Yes","",IF(OR(L81="",M81=""),"Missing next action",IF(M81&lt;S_Today,"Overdue",IF(AND(C81="Contacted",_xlfn.MAXIFS(Interactions!$A$3:$A$502,Interactions!$B$3:$B$502,A81,Interactions!$F$3:$F$502,"Sent by us")&gt;0,_xlfn.MAXIFS(Interactions!$A$3:$A$502,Interactions!$B$3:$B$502,A81,Interactions!$F$3:$F$502,"Sent by us")&lt;=S_Today-S_NoReplyDays,MAX(_xlfn.MAXIFS(Interactions!$A$3:$A$502,Interactions!$B$3:$B$502,A81,Interactions!$F$3:$F$502,"Received from them"),_xlfn.MAXIFS(Interactions!$A$3:$A$502,Interactions!$B$3:$B$502,A81,Interactions!$F$3:$F$502,"Two-way"))&lt;_xlfn.MAXIFS(Interactions!$A$3:$A$502,Interactions!$B$3:$B$502,A81,Interactions!$F$3:$F$502,"Sent by us")),"No reply",IF(M81&lt;=S_Today+7,"Due this week","")))))))</f>
        <v/>
      </c>
      <c r="Z81" s="34" t="str">
        <f aca="false">IF(OR(A81="",Y81=""),"",IF(Y81="Renewal due",100000,IF(Y81="Overdue",200000,IF(Y81="No reply",300000,IF(Y81="Due this week",400000,500000))))+IF(Y81="Renewal due",P81-40000,IF(Y81="Missing next action",0,M81-40000))+ROW()/100000)</f>
        <v/>
      </c>
      <c r="AA81" s="32" t="str">
        <f aca="false">IF(A81="","",_xlfn.TEXTJOIN(", ",TRUE(),IF(AND(X81="Yes",D81=""),"No owner",IF(AND(D81&lt;&gt;"",COUNTIFS(R_TeamName,D81,R_TeamActive,"No")&gt;0),"Needs new owner","")),IF(AND(OR(C81="Proposal sent",C81="Negotiation"),H81="",I81="",K81=""),"Add package or proposed value",""),IF(AND(C81="Won",OR(P81="",V81="")),"Won needs renewal date and closed on",""),IF(AND(C81="Won",G81="Cash",J81=""),"Add agreed value",""),IF(AND(C81="Lost",OR(S81="",V81="")),"Lost needs reason and closed on",""),IF(AND(C81="Nurture",OR(T81="",U81="")),"Nurture needs reason and date","")))</f>
        <v/>
      </c>
      <c r="AB81" s="34" t="str">
        <f aca="false">IF(AND(C81="Won",V81&lt;&gt;"",V81&gt;=S_SemStart,V81&lt;=S_SemEnd),V81+ROW()/100000,"")</f>
        <v/>
      </c>
      <c r="AC81" s="34" t="str">
        <f aca="false">IF(AND(C81="Lost",V81&lt;&gt;"",V81&gt;=S_SemStart,V81&lt;=S_SemEnd),V81+ROW()/100000,"")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9"/>
      <c r="J82" s="29"/>
      <c r="K82" s="27"/>
      <c r="L82" s="27"/>
      <c r="M82" s="28"/>
      <c r="N82" s="28"/>
      <c r="O82" s="28"/>
      <c r="P82" s="28"/>
      <c r="Q82" s="27"/>
      <c r="R82" s="27"/>
      <c r="S82" s="27"/>
      <c r="T82" s="27"/>
      <c r="U82" s="28"/>
      <c r="V82" s="28"/>
      <c r="W82" s="27"/>
      <c r="X82" s="32" t="str">
        <f aca="false">IF(A82="","",IF(OR(C82="Planned",C82="Contacted",C82="Meeting",C82="Proposal sent",C82="Negotiation"),"Yes","No"))</f>
        <v/>
      </c>
      <c r="Y82" s="32" t="str">
        <f aca="false">IF(A82="","",IF(AND(C82="Won",P82&lt;&gt;"",P82&lt;=S_Today+S_RenewalDays,COUNTIFS($A$3:$A$502,A82,$F$3:$F$502,"Yes",$X$3:$X$502,"Yes")=0),"Renewal due",IF(X82&lt;&gt;"Yes","",IF(OR(L82="",M82=""),"Missing next action",IF(M82&lt;S_Today,"Overdue",IF(AND(C82="Contacted",_xlfn.MAXIFS(Interactions!$A$3:$A$502,Interactions!$B$3:$B$502,A82,Interactions!$F$3:$F$502,"Sent by us")&gt;0,_xlfn.MAXIFS(Interactions!$A$3:$A$502,Interactions!$B$3:$B$502,A82,Interactions!$F$3:$F$502,"Sent by us")&lt;=S_Today-S_NoReplyDays,MAX(_xlfn.MAXIFS(Interactions!$A$3:$A$502,Interactions!$B$3:$B$502,A82,Interactions!$F$3:$F$502,"Received from them"),_xlfn.MAXIFS(Interactions!$A$3:$A$502,Interactions!$B$3:$B$502,A82,Interactions!$F$3:$F$502,"Two-way"))&lt;_xlfn.MAXIFS(Interactions!$A$3:$A$502,Interactions!$B$3:$B$502,A82,Interactions!$F$3:$F$502,"Sent by us")),"No reply",IF(M82&lt;=S_Today+7,"Due this week","")))))))</f>
        <v/>
      </c>
      <c r="Z82" s="34" t="str">
        <f aca="false">IF(OR(A82="",Y82=""),"",IF(Y82="Renewal due",100000,IF(Y82="Overdue",200000,IF(Y82="No reply",300000,IF(Y82="Due this week",400000,500000))))+IF(Y82="Renewal due",P82-40000,IF(Y82="Missing next action",0,M82-40000))+ROW()/100000)</f>
        <v/>
      </c>
      <c r="AA82" s="32" t="str">
        <f aca="false">IF(A82="","",_xlfn.TEXTJOIN(", ",TRUE(),IF(AND(X82="Yes",D82=""),"No owner",IF(AND(D82&lt;&gt;"",COUNTIFS(R_TeamName,D82,R_TeamActive,"No")&gt;0),"Needs new owner","")),IF(AND(OR(C82="Proposal sent",C82="Negotiation"),H82="",I82="",K82=""),"Add package or proposed value",""),IF(AND(C82="Won",OR(P82="",V82="")),"Won needs renewal date and closed on",""),IF(AND(C82="Won",G82="Cash",J82=""),"Add agreed value",""),IF(AND(C82="Lost",OR(S82="",V82="")),"Lost needs reason and closed on",""),IF(AND(C82="Nurture",OR(T82="",U82="")),"Nurture needs reason and date","")))</f>
        <v/>
      </c>
      <c r="AB82" s="34" t="str">
        <f aca="false">IF(AND(C82="Won",V82&lt;&gt;"",V82&gt;=S_SemStart,V82&lt;=S_SemEnd),V82+ROW()/100000,"")</f>
        <v/>
      </c>
      <c r="AC82" s="34" t="str">
        <f aca="false">IF(AND(C82="Lost",V82&lt;&gt;"",V82&gt;=S_SemStart,V82&lt;=S_SemEnd),V82+ROW()/100000,"")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9"/>
      <c r="J83" s="29"/>
      <c r="K83" s="27"/>
      <c r="L83" s="27"/>
      <c r="M83" s="28"/>
      <c r="N83" s="28"/>
      <c r="O83" s="28"/>
      <c r="P83" s="28"/>
      <c r="Q83" s="27"/>
      <c r="R83" s="27"/>
      <c r="S83" s="27"/>
      <c r="T83" s="27"/>
      <c r="U83" s="28"/>
      <c r="V83" s="28"/>
      <c r="W83" s="27"/>
      <c r="X83" s="32" t="str">
        <f aca="false">IF(A83="","",IF(OR(C83="Planned",C83="Contacted",C83="Meeting",C83="Proposal sent",C83="Negotiation"),"Yes","No"))</f>
        <v/>
      </c>
      <c r="Y83" s="32" t="str">
        <f aca="false">IF(A83="","",IF(AND(C83="Won",P83&lt;&gt;"",P83&lt;=S_Today+S_RenewalDays,COUNTIFS($A$3:$A$502,A83,$F$3:$F$502,"Yes",$X$3:$X$502,"Yes")=0),"Renewal due",IF(X83&lt;&gt;"Yes","",IF(OR(L83="",M83=""),"Missing next action",IF(M83&lt;S_Today,"Overdue",IF(AND(C83="Contacted",_xlfn.MAXIFS(Interactions!$A$3:$A$502,Interactions!$B$3:$B$502,A83,Interactions!$F$3:$F$502,"Sent by us")&gt;0,_xlfn.MAXIFS(Interactions!$A$3:$A$502,Interactions!$B$3:$B$502,A83,Interactions!$F$3:$F$502,"Sent by us")&lt;=S_Today-S_NoReplyDays,MAX(_xlfn.MAXIFS(Interactions!$A$3:$A$502,Interactions!$B$3:$B$502,A83,Interactions!$F$3:$F$502,"Received from them"),_xlfn.MAXIFS(Interactions!$A$3:$A$502,Interactions!$B$3:$B$502,A83,Interactions!$F$3:$F$502,"Two-way"))&lt;_xlfn.MAXIFS(Interactions!$A$3:$A$502,Interactions!$B$3:$B$502,A83,Interactions!$F$3:$F$502,"Sent by us")),"No reply",IF(M83&lt;=S_Today+7,"Due this week","")))))))</f>
        <v/>
      </c>
      <c r="Z83" s="34" t="str">
        <f aca="false">IF(OR(A83="",Y83=""),"",IF(Y83="Renewal due",100000,IF(Y83="Overdue",200000,IF(Y83="No reply",300000,IF(Y83="Due this week",400000,500000))))+IF(Y83="Renewal due",P83-40000,IF(Y83="Missing next action",0,M83-40000))+ROW()/100000)</f>
        <v/>
      </c>
      <c r="AA83" s="32" t="str">
        <f aca="false">IF(A83="","",_xlfn.TEXTJOIN(", ",TRUE(),IF(AND(X83="Yes",D83=""),"No owner",IF(AND(D83&lt;&gt;"",COUNTIFS(R_TeamName,D83,R_TeamActive,"No")&gt;0),"Needs new owner","")),IF(AND(OR(C83="Proposal sent",C83="Negotiation"),H83="",I83="",K83=""),"Add package or proposed value",""),IF(AND(C83="Won",OR(P83="",V83="")),"Won needs renewal date and closed on",""),IF(AND(C83="Won",G83="Cash",J83=""),"Add agreed value",""),IF(AND(C83="Lost",OR(S83="",V83="")),"Lost needs reason and closed on",""),IF(AND(C83="Nurture",OR(T83="",U83="")),"Nurture needs reason and date","")))</f>
        <v/>
      </c>
      <c r="AB83" s="34" t="str">
        <f aca="false">IF(AND(C83="Won",V83&lt;&gt;"",V83&gt;=S_SemStart,V83&lt;=S_SemEnd),V83+ROW()/100000,"")</f>
        <v/>
      </c>
      <c r="AC83" s="34" t="str">
        <f aca="false">IF(AND(C83="Lost",V83&lt;&gt;"",V83&gt;=S_SemStart,V83&lt;=S_SemEnd),V83+ROW()/100000,"")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9"/>
      <c r="J84" s="29"/>
      <c r="K84" s="27"/>
      <c r="L84" s="27"/>
      <c r="M84" s="28"/>
      <c r="N84" s="28"/>
      <c r="O84" s="28"/>
      <c r="P84" s="28"/>
      <c r="Q84" s="27"/>
      <c r="R84" s="27"/>
      <c r="S84" s="27"/>
      <c r="T84" s="27"/>
      <c r="U84" s="28"/>
      <c r="V84" s="28"/>
      <c r="W84" s="27"/>
      <c r="X84" s="32" t="str">
        <f aca="false">IF(A84="","",IF(OR(C84="Planned",C84="Contacted",C84="Meeting",C84="Proposal sent",C84="Negotiation"),"Yes","No"))</f>
        <v/>
      </c>
      <c r="Y84" s="32" t="str">
        <f aca="false">IF(A84="","",IF(AND(C84="Won",P84&lt;&gt;"",P84&lt;=S_Today+S_RenewalDays,COUNTIFS($A$3:$A$502,A84,$F$3:$F$502,"Yes",$X$3:$X$502,"Yes")=0),"Renewal due",IF(X84&lt;&gt;"Yes","",IF(OR(L84="",M84=""),"Missing next action",IF(M84&lt;S_Today,"Overdue",IF(AND(C84="Contacted",_xlfn.MAXIFS(Interactions!$A$3:$A$502,Interactions!$B$3:$B$502,A84,Interactions!$F$3:$F$502,"Sent by us")&gt;0,_xlfn.MAXIFS(Interactions!$A$3:$A$502,Interactions!$B$3:$B$502,A84,Interactions!$F$3:$F$502,"Sent by us")&lt;=S_Today-S_NoReplyDays,MAX(_xlfn.MAXIFS(Interactions!$A$3:$A$502,Interactions!$B$3:$B$502,A84,Interactions!$F$3:$F$502,"Received from them"),_xlfn.MAXIFS(Interactions!$A$3:$A$502,Interactions!$B$3:$B$502,A84,Interactions!$F$3:$F$502,"Two-way"))&lt;_xlfn.MAXIFS(Interactions!$A$3:$A$502,Interactions!$B$3:$B$502,A84,Interactions!$F$3:$F$502,"Sent by us")),"No reply",IF(M84&lt;=S_Today+7,"Due this week","")))))))</f>
        <v/>
      </c>
      <c r="Z84" s="34" t="str">
        <f aca="false">IF(OR(A84="",Y84=""),"",IF(Y84="Renewal due",100000,IF(Y84="Overdue",200000,IF(Y84="No reply",300000,IF(Y84="Due this week",400000,500000))))+IF(Y84="Renewal due",P84-40000,IF(Y84="Missing next action",0,M84-40000))+ROW()/100000)</f>
        <v/>
      </c>
      <c r="AA84" s="32" t="str">
        <f aca="false">IF(A84="","",_xlfn.TEXTJOIN(", ",TRUE(),IF(AND(X84="Yes",D84=""),"No owner",IF(AND(D84&lt;&gt;"",COUNTIFS(R_TeamName,D84,R_TeamActive,"No")&gt;0),"Needs new owner","")),IF(AND(OR(C84="Proposal sent",C84="Negotiation"),H84="",I84="",K84=""),"Add package or proposed value",""),IF(AND(C84="Won",OR(P84="",V84="")),"Won needs renewal date and closed on",""),IF(AND(C84="Won",G84="Cash",J84=""),"Add agreed value",""),IF(AND(C84="Lost",OR(S84="",V84="")),"Lost needs reason and closed on",""),IF(AND(C84="Nurture",OR(T84="",U84="")),"Nurture needs reason and date","")))</f>
        <v/>
      </c>
      <c r="AB84" s="34" t="str">
        <f aca="false">IF(AND(C84="Won",V84&lt;&gt;"",V84&gt;=S_SemStart,V84&lt;=S_SemEnd),V84+ROW()/100000,"")</f>
        <v/>
      </c>
      <c r="AC84" s="34" t="str">
        <f aca="false">IF(AND(C84="Lost",V84&lt;&gt;"",V84&gt;=S_SemStart,V84&lt;=S_SemEnd),V84+ROW()/100000,"")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9"/>
      <c r="J85" s="29"/>
      <c r="K85" s="27"/>
      <c r="L85" s="27"/>
      <c r="M85" s="28"/>
      <c r="N85" s="28"/>
      <c r="O85" s="28"/>
      <c r="P85" s="28"/>
      <c r="Q85" s="27"/>
      <c r="R85" s="27"/>
      <c r="S85" s="27"/>
      <c r="T85" s="27"/>
      <c r="U85" s="28"/>
      <c r="V85" s="28"/>
      <c r="W85" s="27"/>
      <c r="X85" s="32" t="str">
        <f aca="false">IF(A85="","",IF(OR(C85="Planned",C85="Contacted",C85="Meeting",C85="Proposal sent",C85="Negotiation"),"Yes","No"))</f>
        <v/>
      </c>
      <c r="Y85" s="32" t="str">
        <f aca="false">IF(A85="","",IF(AND(C85="Won",P85&lt;&gt;"",P85&lt;=S_Today+S_RenewalDays,COUNTIFS($A$3:$A$502,A85,$F$3:$F$502,"Yes",$X$3:$X$502,"Yes")=0),"Renewal due",IF(X85&lt;&gt;"Yes","",IF(OR(L85="",M85=""),"Missing next action",IF(M85&lt;S_Today,"Overdue",IF(AND(C85="Contacted",_xlfn.MAXIFS(Interactions!$A$3:$A$502,Interactions!$B$3:$B$502,A85,Interactions!$F$3:$F$502,"Sent by us")&gt;0,_xlfn.MAXIFS(Interactions!$A$3:$A$502,Interactions!$B$3:$B$502,A85,Interactions!$F$3:$F$502,"Sent by us")&lt;=S_Today-S_NoReplyDays,MAX(_xlfn.MAXIFS(Interactions!$A$3:$A$502,Interactions!$B$3:$B$502,A85,Interactions!$F$3:$F$502,"Received from them"),_xlfn.MAXIFS(Interactions!$A$3:$A$502,Interactions!$B$3:$B$502,A85,Interactions!$F$3:$F$502,"Two-way"))&lt;_xlfn.MAXIFS(Interactions!$A$3:$A$502,Interactions!$B$3:$B$502,A85,Interactions!$F$3:$F$502,"Sent by us")),"No reply",IF(M85&lt;=S_Today+7,"Due this week","")))))))</f>
        <v/>
      </c>
      <c r="Z85" s="34" t="str">
        <f aca="false">IF(OR(A85="",Y85=""),"",IF(Y85="Renewal due",100000,IF(Y85="Overdue",200000,IF(Y85="No reply",300000,IF(Y85="Due this week",400000,500000))))+IF(Y85="Renewal due",P85-40000,IF(Y85="Missing next action",0,M85-40000))+ROW()/100000)</f>
        <v/>
      </c>
      <c r="AA85" s="32" t="str">
        <f aca="false">IF(A85="","",_xlfn.TEXTJOIN(", ",TRUE(),IF(AND(X85="Yes",D85=""),"No owner",IF(AND(D85&lt;&gt;"",COUNTIFS(R_TeamName,D85,R_TeamActive,"No")&gt;0),"Needs new owner","")),IF(AND(OR(C85="Proposal sent",C85="Negotiation"),H85="",I85="",K85=""),"Add package or proposed value",""),IF(AND(C85="Won",OR(P85="",V85="")),"Won needs renewal date and closed on",""),IF(AND(C85="Won",G85="Cash",J85=""),"Add agreed value",""),IF(AND(C85="Lost",OR(S85="",V85="")),"Lost needs reason and closed on",""),IF(AND(C85="Nurture",OR(T85="",U85="")),"Nurture needs reason and date","")))</f>
        <v/>
      </c>
      <c r="AB85" s="34" t="str">
        <f aca="false">IF(AND(C85="Won",V85&lt;&gt;"",V85&gt;=S_SemStart,V85&lt;=S_SemEnd),V85+ROW()/100000,"")</f>
        <v/>
      </c>
      <c r="AC85" s="34" t="str">
        <f aca="false">IF(AND(C85="Lost",V85&lt;&gt;"",V85&gt;=S_SemStart,V85&lt;=S_SemEnd),V85+ROW()/100000,"")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9"/>
      <c r="J86" s="29"/>
      <c r="K86" s="27"/>
      <c r="L86" s="27"/>
      <c r="M86" s="28"/>
      <c r="N86" s="28"/>
      <c r="O86" s="28"/>
      <c r="P86" s="28"/>
      <c r="Q86" s="27"/>
      <c r="R86" s="27"/>
      <c r="S86" s="27"/>
      <c r="T86" s="27"/>
      <c r="U86" s="28"/>
      <c r="V86" s="28"/>
      <c r="W86" s="27"/>
      <c r="X86" s="32" t="str">
        <f aca="false">IF(A86="","",IF(OR(C86="Planned",C86="Contacted",C86="Meeting",C86="Proposal sent",C86="Negotiation"),"Yes","No"))</f>
        <v/>
      </c>
      <c r="Y86" s="32" t="str">
        <f aca="false">IF(A86="","",IF(AND(C86="Won",P86&lt;&gt;"",P86&lt;=S_Today+S_RenewalDays,COUNTIFS($A$3:$A$502,A86,$F$3:$F$502,"Yes",$X$3:$X$502,"Yes")=0),"Renewal due",IF(X86&lt;&gt;"Yes","",IF(OR(L86="",M86=""),"Missing next action",IF(M86&lt;S_Today,"Overdue",IF(AND(C86="Contacted",_xlfn.MAXIFS(Interactions!$A$3:$A$502,Interactions!$B$3:$B$502,A86,Interactions!$F$3:$F$502,"Sent by us")&gt;0,_xlfn.MAXIFS(Interactions!$A$3:$A$502,Interactions!$B$3:$B$502,A86,Interactions!$F$3:$F$502,"Sent by us")&lt;=S_Today-S_NoReplyDays,MAX(_xlfn.MAXIFS(Interactions!$A$3:$A$502,Interactions!$B$3:$B$502,A86,Interactions!$F$3:$F$502,"Received from them"),_xlfn.MAXIFS(Interactions!$A$3:$A$502,Interactions!$B$3:$B$502,A86,Interactions!$F$3:$F$502,"Two-way"))&lt;_xlfn.MAXIFS(Interactions!$A$3:$A$502,Interactions!$B$3:$B$502,A86,Interactions!$F$3:$F$502,"Sent by us")),"No reply",IF(M86&lt;=S_Today+7,"Due this week","")))))))</f>
        <v/>
      </c>
      <c r="Z86" s="34" t="str">
        <f aca="false">IF(OR(A86="",Y86=""),"",IF(Y86="Renewal due",100000,IF(Y86="Overdue",200000,IF(Y86="No reply",300000,IF(Y86="Due this week",400000,500000))))+IF(Y86="Renewal due",P86-40000,IF(Y86="Missing next action",0,M86-40000))+ROW()/100000)</f>
        <v/>
      </c>
      <c r="AA86" s="32" t="str">
        <f aca="false">IF(A86="","",_xlfn.TEXTJOIN(", ",TRUE(),IF(AND(X86="Yes",D86=""),"No owner",IF(AND(D86&lt;&gt;"",COUNTIFS(R_TeamName,D86,R_TeamActive,"No")&gt;0),"Needs new owner","")),IF(AND(OR(C86="Proposal sent",C86="Negotiation"),H86="",I86="",K86=""),"Add package or proposed value",""),IF(AND(C86="Won",OR(P86="",V86="")),"Won needs renewal date and closed on",""),IF(AND(C86="Won",G86="Cash",J86=""),"Add agreed value",""),IF(AND(C86="Lost",OR(S86="",V86="")),"Lost needs reason and closed on",""),IF(AND(C86="Nurture",OR(T86="",U86="")),"Nurture needs reason and date","")))</f>
        <v/>
      </c>
      <c r="AB86" s="34" t="str">
        <f aca="false">IF(AND(C86="Won",V86&lt;&gt;"",V86&gt;=S_SemStart,V86&lt;=S_SemEnd),V86+ROW()/100000,"")</f>
        <v/>
      </c>
      <c r="AC86" s="34" t="str">
        <f aca="false">IF(AND(C86="Lost",V86&lt;&gt;"",V86&gt;=S_SemStart,V86&lt;=S_SemEnd),V86+ROW()/100000,"")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9"/>
      <c r="J87" s="29"/>
      <c r="K87" s="27"/>
      <c r="L87" s="27"/>
      <c r="M87" s="28"/>
      <c r="N87" s="28"/>
      <c r="O87" s="28"/>
      <c r="P87" s="28"/>
      <c r="Q87" s="27"/>
      <c r="R87" s="27"/>
      <c r="S87" s="27"/>
      <c r="T87" s="27"/>
      <c r="U87" s="28"/>
      <c r="V87" s="28"/>
      <c r="W87" s="27"/>
      <c r="X87" s="32" t="str">
        <f aca="false">IF(A87="","",IF(OR(C87="Planned",C87="Contacted",C87="Meeting",C87="Proposal sent",C87="Negotiation"),"Yes","No"))</f>
        <v/>
      </c>
      <c r="Y87" s="32" t="str">
        <f aca="false">IF(A87="","",IF(AND(C87="Won",P87&lt;&gt;"",P87&lt;=S_Today+S_RenewalDays,COUNTIFS($A$3:$A$502,A87,$F$3:$F$502,"Yes",$X$3:$X$502,"Yes")=0),"Renewal due",IF(X87&lt;&gt;"Yes","",IF(OR(L87="",M87=""),"Missing next action",IF(M87&lt;S_Today,"Overdue",IF(AND(C87="Contacted",_xlfn.MAXIFS(Interactions!$A$3:$A$502,Interactions!$B$3:$B$502,A87,Interactions!$F$3:$F$502,"Sent by us")&gt;0,_xlfn.MAXIFS(Interactions!$A$3:$A$502,Interactions!$B$3:$B$502,A87,Interactions!$F$3:$F$502,"Sent by us")&lt;=S_Today-S_NoReplyDays,MAX(_xlfn.MAXIFS(Interactions!$A$3:$A$502,Interactions!$B$3:$B$502,A87,Interactions!$F$3:$F$502,"Received from them"),_xlfn.MAXIFS(Interactions!$A$3:$A$502,Interactions!$B$3:$B$502,A87,Interactions!$F$3:$F$502,"Two-way"))&lt;_xlfn.MAXIFS(Interactions!$A$3:$A$502,Interactions!$B$3:$B$502,A87,Interactions!$F$3:$F$502,"Sent by us")),"No reply",IF(M87&lt;=S_Today+7,"Due this week","")))))))</f>
        <v/>
      </c>
      <c r="Z87" s="34" t="str">
        <f aca="false">IF(OR(A87="",Y87=""),"",IF(Y87="Renewal due",100000,IF(Y87="Overdue",200000,IF(Y87="No reply",300000,IF(Y87="Due this week",400000,500000))))+IF(Y87="Renewal due",P87-40000,IF(Y87="Missing next action",0,M87-40000))+ROW()/100000)</f>
        <v/>
      </c>
      <c r="AA87" s="32" t="str">
        <f aca="false">IF(A87="","",_xlfn.TEXTJOIN(", ",TRUE(),IF(AND(X87="Yes",D87=""),"No owner",IF(AND(D87&lt;&gt;"",COUNTIFS(R_TeamName,D87,R_TeamActive,"No")&gt;0),"Needs new owner","")),IF(AND(OR(C87="Proposal sent",C87="Negotiation"),H87="",I87="",K87=""),"Add package or proposed value",""),IF(AND(C87="Won",OR(P87="",V87="")),"Won needs renewal date and closed on",""),IF(AND(C87="Won",G87="Cash",J87=""),"Add agreed value",""),IF(AND(C87="Lost",OR(S87="",V87="")),"Lost needs reason and closed on",""),IF(AND(C87="Nurture",OR(T87="",U87="")),"Nurture needs reason and date","")))</f>
        <v/>
      </c>
      <c r="AB87" s="34" t="str">
        <f aca="false">IF(AND(C87="Won",V87&lt;&gt;"",V87&gt;=S_SemStart,V87&lt;=S_SemEnd),V87+ROW()/100000,"")</f>
        <v/>
      </c>
      <c r="AC87" s="34" t="str">
        <f aca="false">IF(AND(C87="Lost",V87&lt;&gt;"",V87&gt;=S_SemStart,V87&lt;=S_SemEnd),V87+ROW()/100000,"")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9"/>
      <c r="J88" s="29"/>
      <c r="K88" s="27"/>
      <c r="L88" s="27"/>
      <c r="M88" s="28"/>
      <c r="N88" s="28"/>
      <c r="O88" s="28"/>
      <c r="P88" s="28"/>
      <c r="Q88" s="27"/>
      <c r="R88" s="27"/>
      <c r="S88" s="27"/>
      <c r="T88" s="27"/>
      <c r="U88" s="28"/>
      <c r="V88" s="28"/>
      <c r="W88" s="27"/>
      <c r="X88" s="32" t="str">
        <f aca="false">IF(A88="","",IF(OR(C88="Planned",C88="Contacted",C88="Meeting",C88="Proposal sent",C88="Negotiation"),"Yes","No"))</f>
        <v/>
      </c>
      <c r="Y88" s="32" t="str">
        <f aca="false">IF(A88="","",IF(AND(C88="Won",P88&lt;&gt;"",P88&lt;=S_Today+S_RenewalDays,COUNTIFS($A$3:$A$502,A88,$F$3:$F$502,"Yes",$X$3:$X$502,"Yes")=0),"Renewal due",IF(X88&lt;&gt;"Yes","",IF(OR(L88="",M88=""),"Missing next action",IF(M88&lt;S_Today,"Overdue",IF(AND(C88="Contacted",_xlfn.MAXIFS(Interactions!$A$3:$A$502,Interactions!$B$3:$B$502,A88,Interactions!$F$3:$F$502,"Sent by us")&gt;0,_xlfn.MAXIFS(Interactions!$A$3:$A$502,Interactions!$B$3:$B$502,A88,Interactions!$F$3:$F$502,"Sent by us")&lt;=S_Today-S_NoReplyDays,MAX(_xlfn.MAXIFS(Interactions!$A$3:$A$502,Interactions!$B$3:$B$502,A88,Interactions!$F$3:$F$502,"Received from them"),_xlfn.MAXIFS(Interactions!$A$3:$A$502,Interactions!$B$3:$B$502,A88,Interactions!$F$3:$F$502,"Two-way"))&lt;_xlfn.MAXIFS(Interactions!$A$3:$A$502,Interactions!$B$3:$B$502,A88,Interactions!$F$3:$F$502,"Sent by us")),"No reply",IF(M88&lt;=S_Today+7,"Due this week","")))))))</f>
        <v/>
      </c>
      <c r="Z88" s="34" t="str">
        <f aca="false">IF(OR(A88="",Y88=""),"",IF(Y88="Renewal due",100000,IF(Y88="Overdue",200000,IF(Y88="No reply",300000,IF(Y88="Due this week",400000,500000))))+IF(Y88="Renewal due",P88-40000,IF(Y88="Missing next action",0,M88-40000))+ROW()/100000)</f>
        <v/>
      </c>
      <c r="AA88" s="32" t="str">
        <f aca="false">IF(A88="","",_xlfn.TEXTJOIN(", ",TRUE(),IF(AND(X88="Yes",D88=""),"No owner",IF(AND(D88&lt;&gt;"",COUNTIFS(R_TeamName,D88,R_TeamActive,"No")&gt;0),"Needs new owner","")),IF(AND(OR(C88="Proposal sent",C88="Negotiation"),H88="",I88="",K88=""),"Add package or proposed value",""),IF(AND(C88="Won",OR(P88="",V88="")),"Won needs renewal date and closed on",""),IF(AND(C88="Won",G88="Cash",J88=""),"Add agreed value",""),IF(AND(C88="Lost",OR(S88="",V88="")),"Lost needs reason and closed on",""),IF(AND(C88="Nurture",OR(T88="",U88="")),"Nurture needs reason and date","")))</f>
        <v/>
      </c>
      <c r="AB88" s="34" t="str">
        <f aca="false">IF(AND(C88="Won",V88&lt;&gt;"",V88&gt;=S_SemStart,V88&lt;=S_SemEnd),V88+ROW()/100000,"")</f>
        <v/>
      </c>
      <c r="AC88" s="34" t="str">
        <f aca="false">IF(AND(C88="Lost",V88&lt;&gt;"",V88&gt;=S_SemStart,V88&lt;=S_SemEnd),V88+ROW()/100000,"")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9"/>
      <c r="J89" s="29"/>
      <c r="K89" s="27"/>
      <c r="L89" s="27"/>
      <c r="M89" s="28"/>
      <c r="N89" s="28"/>
      <c r="O89" s="28"/>
      <c r="P89" s="28"/>
      <c r="Q89" s="27"/>
      <c r="R89" s="27"/>
      <c r="S89" s="27"/>
      <c r="T89" s="27"/>
      <c r="U89" s="28"/>
      <c r="V89" s="28"/>
      <c r="W89" s="27"/>
      <c r="X89" s="32" t="str">
        <f aca="false">IF(A89="","",IF(OR(C89="Planned",C89="Contacted",C89="Meeting",C89="Proposal sent",C89="Negotiation"),"Yes","No"))</f>
        <v/>
      </c>
      <c r="Y89" s="32" t="str">
        <f aca="false">IF(A89="","",IF(AND(C89="Won",P89&lt;&gt;"",P89&lt;=S_Today+S_RenewalDays,COUNTIFS($A$3:$A$502,A89,$F$3:$F$502,"Yes",$X$3:$X$502,"Yes")=0),"Renewal due",IF(X89&lt;&gt;"Yes","",IF(OR(L89="",M89=""),"Missing next action",IF(M89&lt;S_Today,"Overdue",IF(AND(C89="Contacted",_xlfn.MAXIFS(Interactions!$A$3:$A$502,Interactions!$B$3:$B$502,A89,Interactions!$F$3:$F$502,"Sent by us")&gt;0,_xlfn.MAXIFS(Interactions!$A$3:$A$502,Interactions!$B$3:$B$502,A89,Interactions!$F$3:$F$502,"Sent by us")&lt;=S_Today-S_NoReplyDays,MAX(_xlfn.MAXIFS(Interactions!$A$3:$A$502,Interactions!$B$3:$B$502,A89,Interactions!$F$3:$F$502,"Received from them"),_xlfn.MAXIFS(Interactions!$A$3:$A$502,Interactions!$B$3:$B$502,A89,Interactions!$F$3:$F$502,"Two-way"))&lt;_xlfn.MAXIFS(Interactions!$A$3:$A$502,Interactions!$B$3:$B$502,A89,Interactions!$F$3:$F$502,"Sent by us")),"No reply",IF(M89&lt;=S_Today+7,"Due this week","")))))))</f>
        <v/>
      </c>
      <c r="Z89" s="34" t="str">
        <f aca="false">IF(OR(A89="",Y89=""),"",IF(Y89="Renewal due",100000,IF(Y89="Overdue",200000,IF(Y89="No reply",300000,IF(Y89="Due this week",400000,500000))))+IF(Y89="Renewal due",P89-40000,IF(Y89="Missing next action",0,M89-40000))+ROW()/100000)</f>
        <v/>
      </c>
      <c r="AA89" s="32" t="str">
        <f aca="false">IF(A89="","",_xlfn.TEXTJOIN(", ",TRUE(),IF(AND(X89="Yes",D89=""),"No owner",IF(AND(D89&lt;&gt;"",COUNTIFS(R_TeamName,D89,R_TeamActive,"No")&gt;0),"Needs new owner","")),IF(AND(OR(C89="Proposal sent",C89="Negotiation"),H89="",I89="",K89=""),"Add package or proposed value",""),IF(AND(C89="Won",OR(P89="",V89="")),"Won needs renewal date and closed on",""),IF(AND(C89="Won",G89="Cash",J89=""),"Add agreed value",""),IF(AND(C89="Lost",OR(S89="",V89="")),"Lost needs reason and closed on",""),IF(AND(C89="Nurture",OR(T89="",U89="")),"Nurture needs reason and date","")))</f>
        <v/>
      </c>
      <c r="AB89" s="34" t="str">
        <f aca="false">IF(AND(C89="Won",V89&lt;&gt;"",V89&gt;=S_SemStart,V89&lt;=S_SemEnd),V89+ROW()/100000,"")</f>
        <v/>
      </c>
      <c r="AC89" s="34" t="str">
        <f aca="false">IF(AND(C89="Lost",V89&lt;&gt;"",V89&gt;=S_SemStart,V89&lt;=S_SemEnd),V89+ROW()/100000,"")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9"/>
      <c r="J90" s="29"/>
      <c r="K90" s="27"/>
      <c r="L90" s="27"/>
      <c r="M90" s="28"/>
      <c r="N90" s="28"/>
      <c r="O90" s="28"/>
      <c r="P90" s="28"/>
      <c r="Q90" s="27"/>
      <c r="R90" s="27"/>
      <c r="S90" s="27"/>
      <c r="T90" s="27"/>
      <c r="U90" s="28"/>
      <c r="V90" s="28"/>
      <c r="W90" s="27"/>
      <c r="X90" s="32" t="str">
        <f aca="false">IF(A90="","",IF(OR(C90="Planned",C90="Contacted",C90="Meeting",C90="Proposal sent",C90="Negotiation"),"Yes","No"))</f>
        <v/>
      </c>
      <c r="Y90" s="32" t="str">
        <f aca="false">IF(A90="","",IF(AND(C90="Won",P90&lt;&gt;"",P90&lt;=S_Today+S_RenewalDays,COUNTIFS($A$3:$A$502,A90,$F$3:$F$502,"Yes",$X$3:$X$502,"Yes")=0),"Renewal due",IF(X90&lt;&gt;"Yes","",IF(OR(L90="",M90=""),"Missing next action",IF(M90&lt;S_Today,"Overdue",IF(AND(C90="Contacted",_xlfn.MAXIFS(Interactions!$A$3:$A$502,Interactions!$B$3:$B$502,A90,Interactions!$F$3:$F$502,"Sent by us")&gt;0,_xlfn.MAXIFS(Interactions!$A$3:$A$502,Interactions!$B$3:$B$502,A90,Interactions!$F$3:$F$502,"Sent by us")&lt;=S_Today-S_NoReplyDays,MAX(_xlfn.MAXIFS(Interactions!$A$3:$A$502,Interactions!$B$3:$B$502,A90,Interactions!$F$3:$F$502,"Received from them"),_xlfn.MAXIFS(Interactions!$A$3:$A$502,Interactions!$B$3:$B$502,A90,Interactions!$F$3:$F$502,"Two-way"))&lt;_xlfn.MAXIFS(Interactions!$A$3:$A$502,Interactions!$B$3:$B$502,A90,Interactions!$F$3:$F$502,"Sent by us")),"No reply",IF(M90&lt;=S_Today+7,"Due this week","")))))))</f>
        <v/>
      </c>
      <c r="Z90" s="34" t="str">
        <f aca="false">IF(OR(A90="",Y90=""),"",IF(Y90="Renewal due",100000,IF(Y90="Overdue",200000,IF(Y90="No reply",300000,IF(Y90="Due this week",400000,500000))))+IF(Y90="Renewal due",P90-40000,IF(Y90="Missing next action",0,M90-40000))+ROW()/100000)</f>
        <v/>
      </c>
      <c r="AA90" s="32" t="str">
        <f aca="false">IF(A90="","",_xlfn.TEXTJOIN(", ",TRUE(),IF(AND(X90="Yes",D90=""),"No owner",IF(AND(D90&lt;&gt;"",COUNTIFS(R_TeamName,D90,R_TeamActive,"No")&gt;0),"Needs new owner","")),IF(AND(OR(C90="Proposal sent",C90="Negotiation"),H90="",I90="",K90=""),"Add package or proposed value",""),IF(AND(C90="Won",OR(P90="",V90="")),"Won needs renewal date and closed on",""),IF(AND(C90="Won",G90="Cash",J90=""),"Add agreed value",""),IF(AND(C90="Lost",OR(S90="",V90="")),"Lost needs reason and closed on",""),IF(AND(C90="Nurture",OR(T90="",U90="")),"Nurture needs reason and date","")))</f>
        <v/>
      </c>
      <c r="AB90" s="34" t="str">
        <f aca="false">IF(AND(C90="Won",V90&lt;&gt;"",V90&gt;=S_SemStart,V90&lt;=S_SemEnd),V90+ROW()/100000,"")</f>
        <v/>
      </c>
      <c r="AC90" s="34" t="str">
        <f aca="false">IF(AND(C90="Lost",V90&lt;&gt;"",V90&gt;=S_SemStart,V90&lt;=S_SemEnd),V90+ROW()/100000,"")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9"/>
      <c r="J91" s="29"/>
      <c r="K91" s="27"/>
      <c r="L91" s="27"/>
      <c r="M91" s="28"/>
      <c r="N91" s="28"/>
      <c r="O91" s="28"/>
      <c r="P91" s="28"/>
      <c r="Q91" s="27"/>
      <c r="R91" s="27"/>
      <c r="S91" s="27"/>
      <c r="T91" s="27"/>
      <c r="U91" s="28"/>
      <c r="V91" s="28"/>
      <c r="W91" s="27"/>
      <c r="X91" s="32" t="str">
        <f aca="false">IF(A91="","",IF(OR(C91="Planned",C91="Contacted",C91="Meeting",C91="Proposal sent",C91="Negotiation"),"Yes","No"))</f>
        <v/>
      </c>
      <c r="Y91" s="32" t="str">
        <f aca="false">IF(A91="","",IF(AND(C91="Won",P91&lt;&gt;"",P91&lt;=S_Today+S_RenewalDays,COUNTIFS($A$3:$A$502,A91,$F$3:$F$502,"Yes",$X$3:$X$502,"Yes")=0),"Renewal due",IF(X91&lt;&gt;"Yes","",IF(OR(L91="",M91=""),"Missing next action",IF(M91&lt;S_Today,"Overdue",IF(AND(C91="Contacted",_xlfn.MAXIFS(Interactions!$A$3:$A$502,Interactions!$B$3:$B$502,A91,Interactions!$F$3:$F$502,"Sent by us")&gt;0,_xlfn.MAXIFS(Interactions!$A$3:$A$502,Interactions!$B$3:$B$502,A91,Interactions!$F$3:$F$502,"Sent by us")&lt;=S_Today-S_NoReplyDays,MAX(_xlfn.MAXIFS(Interactions!$A$3:$A$502,Interactions!$B$3:$B$502,A91,Interactions!$F$3:$F$502,"Received from them"),_xlfn.MAXIFS(Interactions!$A$3:$A$502,Interactions!$B$3:$B$502,A91,Interactions!$F$3:$F$502,"Two-way"))&lt;_xlfn.MAXIFS(Interactions!$A$3:$A$502,Interactions!$B$3:$B$502,A91,Interactions!$F$3:$F$502,"Sent by us")),"No reply",IF(M91&lt;=S_Today+7,"Due this week","")))))))</f>
        <v/>
      </c>
      <c r="Z91" s="34" t="str">
        <f aca="false">IF(OR(A91="",Y91=""),"",IF(Y91="Renewal due",100000,IF(Y91="Overdue",200000,IF(Y91="No reply",300000,IF(Y91="Due this week",400000,500000))))+IF(Y91="Renewal due",P91-40000,IF(Y91="Missing next action",0,M91-40000))+ROW()/100000)</f>
        <v/>
      </c>
      <c r="AA91" s="32" t="str">
        <f aca="false">IF(A91="","",_xlfn.TEXTJOIN(", ",TRUE(),IF(AND(X91="Yes",D91=""),"No owner",IF(AND(D91&lt;&gt;"",COUNTIFS(R_TeamName,D91,R_TeamActive,"No")&gt;0),"Needs new owner","")),IF(AND(OR(C91="Proposal sent",C91="Negotiation"),H91="",I91="",K91=""),"Add package or proposed value",""),IF(AND(C91="Won",OR(P91="",V91="")),"Won needs renewal date and closed on",""),IF(AND(C91="Won",G91="Cash",J91=""),"Add agreed value",""),IF(AND(C91="Lost",OR(S91="",V91="")),"Lost needs reason and closed on",""),IF(AND(C91="Nurture",OR(T91="",U91="")),"Nurture needs reason and date","")))</f>
        <v/>
      </c>
      <c r="AB91" s="34" t="str">
        <f aca="false">IF(AND(C91="Won",V91&lt;&gt;"",V91&gt;=S_SemStart,V91&lt;=S_SemEnd),V91+ROW()/100000,"")</f>
        <v/>
      </c>
      <c r="AC91" s="34" t="str">
        <f aca="false">IF(AND(C91="Lost",V91&lt;&gt;"",V91&gt;=S_SemStart,V91&lt;=S_SemEnd),V91+ROW()/100000,"")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9"/>
      <c r="J92" s="29"/>
      <c r="K92" s="27"/>
      <c r="L92" s="27"/>
      <c r="M92" s="28"/>
      <c r="N92" s="28"/>
      <c r="O92" s="28"/>
      <c r="P92" s="28"/>
      <c r="Q92" s="27"/>
      <c r="R92" s="27"/>
      <c r="S92" s="27"/>
      <c r="T92" s="27"/>
      <c r="U92" s="28"/>
      <c r="V92" s="28"/>
      <c r="W92" s="27"/>
      <c r="X92" s="32" t="str">
        <f aca="false">IF(A92="","",IF(OR(C92="Planned",C92="Contacted",C92="Meeting",C92="Proposal sent",C92="Negotiation"),"Yes","No"))</f>
        <v/>
      </c>
      <c r="Y92" s="32" t="str">
        <f aca="false">IF(A92="","",IF(AND(C92="Won",P92&lt;&gt;"",P92&lt;=S_Today+S_RenewalDays,COUNTIFS($A$3:$A$502,A92,$F$3:$F$502,"Yes",$X$3:$X$502,"Yes")=0),"Renewal due",IF(X92&lt;&gt;"Yes","",IF(OR(L92="",M92=""),"Missing next action",IF(M92&lt;S_Today,"Overdue",IF(AND(C92="Contacted",_xlfn.MAXIFS(Interactions!$A$3:$A$502,Interactions!$B$3:$B$502,A92,Interactions!$F$3:$F$502,"Sent by us")&gt;0,_xlfn.MAXIFS(Interactions!$A$3:$A$502,Interactions!$B$3:$B$502,A92,Interactions!$F$3:$F$502,"Sent by us")&lt;=S_Today-S_NoReplyDays,MAX(_xlfn.MAXIFS(Interactions!$A$3:$A$502,Interactions!$B$3:$B$502,A92,Interactions!$F$3:$F$502,"Received from them"),_xlfn.MAXIFS(Interactions!$A$3:$A$502,Interactions!$B$3:$B$502,A92,Interactions!$F$3:$F$502,"Two-way"))&lt;_xlfn.MAXIFS(Interactions!$A$3:$A$502,Interactions!$B$3:$B$502,A92,Interactions!$F$3:$F$502,"Sent by us")),"No reply",IF(M92&lt;=S_Today+7,"Due this week","")))))))</f>
        <v/>
      </c>
      <c r="Z92" s="34" t="str">
        <f aca="false">IF(OR(A92="",Y92=""),"",IF(Y92="Renewal due",100000,IF(Y92="Overdue",200000,IF(Y92="No reply",300000,IF(Y92="Due this week",400000,500000))))+IF(Y92="Renewal due",P92-40000,IF(Y92="Missing next action",0,M92-40000))+ROW()/100000)</f>
        <v/>
      </c>
      <c r="AA92" s="32" t="str">
        <f aca="false">IF(A92="","",_xlfn.TEXTJOIN(", ",TRUE(),IF(AND(X92="Yes",D92=""),"No owner",IF(AND(D92&lt;&gt;"",COUNTIFS(R_TeamName,D92,R_TeamActive,"No")&gt;0),"Needs new owner","")),IF(AND(OR(C92="Proposal sent",C92="Negotiation"),H92="",I92="",K92=""),"Add package or proposed value",""),IF(AND(C92="Won",OR(P92="",V92="")),"Won needs renewal date and closed on",""),IF(AND(C92="Won",G92="Cash",J92=""),"Add agreed value",""),IF(AND(C92="Lost",OR(S92="",V92="")),"Lost needs reason and closed on",""),IF(AND(C92="Nurture",OR(T92="",U92="")),"Nurture needs reason and date","")))</f>
        <v/>
      </c>
      <c r="AB92" s="34" t="str">
        <f aca="false">IF(AND(C92="Won",V92&lt;&gt;"",V92&gt;=S_SemStart,V92&lt;=S_SemEnd),V92+ROW()/100000,"")</f>
        <v/>
      </c>
      <c r="AC92" s="34" t="str">
        <f aca="false">IF(AND(C92="Lost",V92&lt;&gt;"",V92&gt;=S_SemStart,V92&lt;=S_SemEnd),V92+ROW()/100000,"")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9"/>
      <c r="J93" s="29"/>
      <c r="K93" s="27"/>
      <c r="L93" s="27"/>
      <c r="M93" s="28"/>
      <c r="N93" s="28"/>
      <c r="O93" s="28"/>
      <c r="P93" s="28"/>
      <c r="Q93" s="27"/>
      <c r="R93" s="27"/>
      <c r="S93" s="27"/>
      <c r="T93" s="27"/>
      <c r="U93" s="28"/>
      <c r="V93" s="28"/>
      <c r="W93" s="27"/>
      <c r="X93" s="32" t="str">
        <f aca="false">IF(A93="","",IF(OR(C93="Planned",C93="Contacted",C93="Meeting",C93="Proposal sent",C93="Negotiation"),"Yes","No"))</f>
        <v/>
      </c>
      <c r="Y93" s="32" t="str">
        <f aca="false">IF(A93="","",IF(AND(C93="Won",P93&lt;&gt;"",P93&lt;=S_Today+S_RenewalDays,COUNTIFS($A$3:$A$502,A93,$F$3:$F$502,"Yes",$X$3:$X$502,"Yes")=0),"Renewal due",IF(X93&lt;&gt;"Yes","",IF(OR(L93="",M93=""),"Missing next action",IF(M93&lt;S_Today,"Overdue",IF(AND(C93="Contacted",_xlfn.MAXIFS(Interactions!$A$3:$A$502,Interactions!$B$3:$B$502,A93,Interactions!$F$3:$F$502,"Sent by us")&gt;0,_xlfn.MAXIFS(Interactions!$A$3:$A$502,Interactions!$B$3:$B$502,A93,Interactions!$F$3:$F$502,"Sent by us")&lt;=S_Today-S_NoReplyDays,MAX(_xlfn.MAXIFS(Interactions!$A$3:$A$502,Interactions!$B$3:$B$502,A93,Interactions!$F$3:$F$502,"Received from them"),_xlfn.MAXIFS(Interactions!$A$3:$A$502,Interactions!$B$3:$B$502,A93,Interactions!$F$3:$F$502,"Two-way"))&lt;_xlfn.MAXIFS(Interactions!$A$3:$A$502,Interactions!$B$3:$B$502,A93,Interactions!$F$3:$F$502,"Sent by us")),"No reply",IF(M93&lt;=S_Today+7,"Due this week","")))))))</f>
        <v/>
      </c>
      <c r="Z93" s="34" t="str">
        <f aca="false">IF(OR(A93="",Y93=""),"",IF(Y93="Renewal due",100000,IF(Y93="Overdue",200000,IF(Y93="No reply",300000,IF(Y93="Due this week",400000,500000))))+IF(Y93="Renewal due",P93-40000,IF(Y93="Missing next action",0,M93-40000))+ROW()/100000)</f>
        <v/>
      </c>
      <c r="AA93" s="32" t="str">
        <f aca="false">IF(A93="","",_xlfn.TEXTJOIN(", ",TRUE(),IF(AND(X93="Yes",D93=""),"No owner",IF(AND(D93&lt;&gt;"",COUNTIFS(R_TeamName,D93,R_TeamActive,"No")&gt;0),"Needs new owner","")),IF(AND(OR(C93="Proposal sent",C93="Negotiation"),H93="",I93="",K93=""),"Add package or proposed value",""),IF(AND(C93="Won",OR(P93="",V93="")),"Won needs renewal date and closed on",""),IF(AND(C93="Won",G93="Cash",J93=""),"Add agreed value",""),IF(AND(C93="Lost",OR(S93="",V93="")),"Lost needs reason and closed on",""),IF(AND(C93="Nurture",OR(T93="",U93="")),"Nurture needs reason and date","")))</f>
        <v/>
      </c>
      <c r="AB93" s="34" t="str">
        <f aca="false">IF(AND(C93="Won",V93&lt;&gt;"",V93&gt;=S_SemStart,V93&lt;=S_SemEnd),V93+ROW()/100000,"")</f>
        <v/>
      </c>
      <c r="AC93" s="34" t="str">
        <f aca="false">IF(AND(C93="Lost",V93&lt;&gt;"",V93&gt;=S_SemStart,V93&lt;=S_SemEnd),V93+ROW()/100000,"")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9"/>
      <c r="J94" s="29"/>
      <c r="K94" s="27"/>
      <c r="L94" s="27"/>
      <c r="M94" s="28"/>
      <c r="N94" s="28"/>
      <c r="O94" s="28"/>
      <c r="P94" s="28"/>
      <c r="Q94" s="27"/>
      <c r="R94" s="27"/>
      <c r="S94" s="27"/>
      <c r="T94" s="27"/>
      <c r="U94" s="28"/>
      <c r="V94" s="28"/>
      <c r="W94" s="27"/>
      <c r="X94" s="32" t="str">
        <f aca="false">IF(A94="","",IF(OR(C94="Planned",C94="Contacted",C94="Meeting",C94="Proposal sent",C94="Negotiation"),"Yes","No"))</f>
        <v/>
      </c>
      <c r="Y94" s="32" t="str">
        <f aca="false">IF(A94="","",IF(AND(C94="Won",P94&lt;&gt;"",P94&lt;=S_Today+S_RenewalDays,COUNTIFS($A$3:$A$502,A94,$F$3:$F$502,"Yes",$X$3:$X$502,"Yes")=0),"Renewal due",IF(X94&lt;&gt;"Yes","",IF(OR(L94="",M94=""),"Missing next action",IF(M94&lt;S_Today,"Overdue",IF(AND(C94="Contacted",_xlfn.MAXIFS(Interactions!$A$3:$A$502,Interactions!$B$3:$B$502,A94,Interactions!$F$3:$F$502,"Sent by us")&gt;0,_xlfn.MAXIFS(Interactions!$A$3:$A$502,Interactions!$B$3:$B$502,A94,Interactions!$F$3:$F$502,"Sent by us")&lt;=S_Today-S_NoReplyDays,MAX(_xlfn.MAXIFS(Interactions!$A$3:$A$502,Interactions!$B$3:$B$502,A94,Interactions!$F$3:$F$502,"Received from them"),_xlfn.MAXIFS(Interactions!$A$3:$A$502,Interactions!$B$3:$B$502,A94,Interactions!$F$3:$F$502,"Two-way"))&lt;_xlfn.MAXIFS(Interactions!$A$3:$A$502,Interactions!$B$3:$B$502,A94,Interactions!$F$3:$F$502,"Sent by us")),"No reply",IF(M94&lt;=S_Today+7,"Due this week","")))))))</f>
        <v/>
      </c>
      <c r="Z94" s="34" t="str">
        <f aca="false">IF(OR(A94="",Y94=""),"",IF(Y94="Renewal due",100000,IF(Y94="Overdue",200000,IF(Y94="No reply",300000,IF(Y94="Due this week",400000,500000))))+IF(Y94="Renewal due",P94-40000,IF(Y94="Missing next action",0,M94-40000))+ROW()/100000)</f>
        <v/>
      </c>
      <c r="AA94" s="32" t="str">
        <f aca="false">IF(A94="","",_xlfn.TEXTJOIN(", ",TRUE(),IF(AND(X94="Yes",D94=""),"No owner",IF(AND(D94&lt;&gt;"",COUNTIFS(R_TeamName,D94,R_TeamActive,"No")&gt;0),"Needs new owner","")),IF(AND(OR(C94="Proposal sent",C94="Negotiation"),H94="",I94="",K94=""),"Add package or proposed value",""),IF(AND(C94="Won",OR(P94="",V94="")),"Won needs renewal date and closed on",""),IF(AND(C94="Won",G94="Cash",J94=""),"Add agreed value",""),IF(AND(C94="Lost",OR(S94="",V94="")),"Lost needs reason and closed on",""),IF(AND(C94="Nurture",OR(T94="",U94="")),"Nurture needs reason and date","")))</f>
        <v/>
      </c>
      <c r="AB94" s="34" t="str">
        <f aca="false">IF(AND(C94="Won",V94&lt;&gt;"",V94&gt;=S_SemStart,V94&lt;=S_SemEnd),V94+ROW()/100000,"")</f>
        <v/>
      </c>
      <c r="AC94" s="34" t="str">
        <f aca="false">IF(AND(C94="Lost",V94&lt;&gt;"",V94&gt;=S_SemStart,V94&lt;=S_SemEnd),V94+ROW()/100000,"")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9"/>
      <c r="J95" s="29"/>
      <c r="K95" s="27"/>
      <c r="L95" s="27"/>
      <c r="M95" s="28"/>
      <c r="N95" s="28"/>
      <c r="O95" s="28"/>
      <c r="P95" s="28"/>
      <c r="Q95" s="27"/>
      <c r="R95" s="27"/>
      <c r="S95" s="27"/>
      <c r="T95" s="27"/>
      <c r="U95" s="28"/>
      <c r="V95" s="28"/>
      <c r="W95" s="27"/>
      <c r="X95" s="32" t="str">
        <f aca="false">IF(A95="","",IF(OR(C95="Planned",C95="Contacted",C95="Meeting",C95="Proposal sent",C95="Negotiation"),"Yes","No"))</f>
        <v/>
      </c>
      <c r="Y95" s="32" t="str">
        <f aca="false">IF(A95="","",IF(AND(C95="Won",P95&lt;&gt;"",P95&lt;=S_Today+S_RenewalDays,COUNTIFS($A$3:$A$502,A95,$F$3:$F$502,"Yes",$X$3:$X$502,"Yes")=0),"Renewal due",IF(X95&lt;&gt;"Yes","",IF(OR(L95="",M95=""),"Missing next action",IF(M95&lt;S_Today,"Overdue",IF(AND(C95="Contacted",_xlfn.MAXIFS(Interactions!$A$3:$A$502,Interactions!$B$3:$B$502,A95,Interactions!$F$3:$F$502,"Sent by us")&gt;0,_xlfn.MAXIFS(Interactions!$A$3:$A$502,Interactions!$B$3:$B$502,A95,Interactions!$F$3:$F$502,"Sent by us")&lt;=S_Today-S_NoReplyDays,MAX(_xlfn.MAXIFS(Interactions!$A$3:$A$502,Interactions!$B$3:$B$502,A95,Interactions!$F$3:$F$502,"Received from them"),_xlfn.MAXIFS(Interactions!$A$3:$A$502,Interactions!$B$3:$B$502,A95,Interactions!$F$3:$F$502,"Two-way"))&lt;_xlfn.MAXIFS(Interactions!$A$3:$A$502,Interactions!$B$3:$B$502,A95,Interactions!$F$3:$F$502,"Sent by us")),"No reply",IF(M95&lt;=S_Today+7,"Due this week","")))))))</f>
        <v/>
      </c>
      <c r="Z95" s="34" t="str">
        <f aca="false">IF(OR(A95="",Y95=""),"",IF(Y95="Renewal due",100000,IF(Y95="Overdue",200000,IF(Y95="No reply",300000,IF(Y95="Due this week",400000,500000))))+IF(Y95="Renewal due",P95-40000,IF(Y95="Missing next action",0,M95-40000))+ROW()/100000)</f>
        <v/>
      </c>
      <c r="AA95" s="32" t="str">
        <f aca="false">IF(A95="","",_xlfn.TEXTJOIN(", ",TRUE(),IF(AND(X95="Yes",D95=""),"No owner",IF(AND(D95&lt;&gt;"",COUNTIFS(R_TeamName,D95,R_TeamActive,"No")&gt;0),"Needs new owner","")),IF(AND(OR(C95="Proposal sent",C95="Negotiation"),H95="",I95="",K95=""),"Add package or proposed value",""),IF(AND(C95="Won",OR(P95="",V95="")),"Won needs renewal date and closed on",""),IF(AND(C95="Won",G95="Cash",J95=""),"Add agreed value",""),IF(AND(C95="Lost",OR(S95="",V95="")),"Lost needs reason and closed on",""),IF(AND(C95="Nurture",OR(T95="",U95="")),"Nurture needs reason and date","")))</f>
        <v/>
      </c>
      <c r="AB95" s="34" t="str">
        <f aca="false">IF(AND(C95="Won",V95&lt;&gt;"",V95&gt;=S_SemStart,V95&lt;=S_SemEnd),V95+ROW()/100000,"")</f>
        <v/>
      </c>
      <c r="AC95" s="34" t="str">
        <f aca="false">IF(AND(C95="Lost",V95&lt;&gt;"",V95&gt;=S_SemStart,V95&lt;=S_SemEnd),V95+ROW()/100000,"")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9"/>
      <c r="J96" s="29"/>
      <c r="K96" s="27"/>
      <c r="L96" s="27"/>
      <c r="M96" s="28"/>
      <c r="N96" s="28"/>
      <c r="O96" s="28"/>
      <c r="P96" s="28"/>
      <c r="Q96" s="27"/>
      <c r="R96" s="27"/>
      <c r="S96" s="27"/>
      <c r="T96" s="27"/>
      <c r="U96" s="28"/>
      <c r="V96" s="28"/>
      <c r="W96" s="27"/>
      <c r="X96" s="32" t="str">
        <f aca="false">IF(A96="","",IF(OR(C96="Planned",C96="Contacted",C96="Meeting",C96="Proposal sent",C96="Negotiation"),"Yes","No"))</f>
        <v/>
      </c>
      <c r="Y96" s="32" t="str">
        <f aca="false">IF(A96="","",IF(AND(C96="Won",P96&lt;&gt;"",P96&lt;=S_Today+S_RenewalDays,COUNTIFS($A$3:$A$502,A96,$F$3:$F$502,"Yes",$X$3:$X$502,"Yes")=0),"Renewal due",IF(X96&lt;&gt;"Yes","",IF(OR(L96="",M96=""),"Missing next action",IF(M96&lt;S_Today,"Overdue",IF(AND(C96="Contacted",_xlfn.MAXIFS(Interactions!$A$3:$A$502,Interactions!$B$3:$B$502,A96,Interactions!$F$3:$F$502,"Sent by us")&gt;0,_xlfn.MAXIFS(Interactions!$A$3:$A$502,Interactions!$B$3:$B$502,A96,Interactions!$F$3:$F$502,"Sent by us")&lt;=S_Today-S_NoReplyDays,MAX(_xlfn.MAXIFS(Interactions!$A$3:$A$502,Interactions!$B$3:$B$502,A96,Interactions!$F$3:$F$502,"Received from them"),_xlfn.MAXIFS(Interactions!$A$3:$A$502,Interactions!$B$3:$B$502,A96,Interactions!$F$3:$F$502,"Two-way"))&lt;_xlfn.MAXIFS(Interactions!$A$3:$A$502,Interactions!$B$3:$B$502,A96,Interactions!$F$3:$F$502,"Sent by us")),"No reply",IF(M96&lt;=S_Today+7,"Due this week","")))))))</f>
        <v/>
      </c>
      <c r="Z96" s="34" t="str">
        <f aca="false">IF(OR(A96="",Y96=""),"",IF(Y96="Renewal due",100000,IF(Y96="Overdue",200000,IF(Y96="No reply",300000,IF(Y96="Due this week",400000,500000))))+IF(Y96="Renewal due",P96-40000,IF(Y96="Missing next action",0,M96-40000))+ROW()/100000)</f>
        <v/>
      </c>
      <c r="AA96" s="32" t="str">
        <f aca="false">IF(A96="","",_xlfn.TEXTJOIN(", ",TRUE(),IF(AND(X96="Yes",D96=""),"No owner",IF(AND(D96&lt;&gt;"",COUNTIFS(R_TeamName,D96,R_TeamActive,"No")&gt;0),"Needs new owner","")),IF(AND(OR(C96="Proposal sent",C96="Negotiation"),H96="",I96="",K96=""),"Add package or proposed value",""),IF(AND(C96="Won",OR(P96="",V96="")),"Won needs renewal date and closed on",""),IF(AND(C96="Won",G96="Cash",J96=""),"Add agreed value",""),IF(AND(C96="Lost",OR(S96="",V96="")),"Lost needs reason and closed on",""),IF(AND(C96="Nurture",OR(T96="",U96="")),"Nurture needs reason and date","")))</f>
        <v/>
      </c>
      <c r="AB96" s="34" t="str">
        <f aca="false">IF(AND(C96="Won",V96&lt;&gt;"",V96&gt;=S_SemStart,V96&lt;=S_SemEnd),V96+ROW()/100000,"")</f>
        <v/>
      </c>
      <c r="AC96" s="34" t="str">
        <f aca="false">IF(AND(C96="Lost",V96&lt;&gt;"",V96&gt;=S_SemStart,V96&lt;=S_SemEnd),V96+ROW()/100000,"")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9"/>
      <c r="J97" s="29"/>
      <c r="K97" s="27"/>
      <c r="L97" s="27"/>
      <c r="M97" s="28"/>
      <c r="N97" s="28"/>
      <c r="O97" s="28"/>
      <c r="P97" s="28"/>
      <c r="Q97" s="27"/>
      <c r="R97" s="27"/>
      <c r="S97" s="27"/>
      <c r="T97" s="27"/>
      <c r="U97" s="28"/>
      <c r="V97" s="28"/>
      <c r="W97" s="27"/>
      <c r="X97" s="32" t="str">
        <f aca="false">IF(A97="","",IF(OR(C97="Planned",C97="Contacted",C97="Meeting",C97="Proposal sent",C97="Negotiation"),"Yes","No"))</f>
        <v/>
      </c>
      <c r="Y97" s="32" t="str">
        <f aca="false">IF(A97="","",IF(AND(C97="Won",P97&lt;&gt;"",P97&lt;=S_Today+S_RenewalDays,COUNTIFS($A$3:$A$502,A97,$F$3:$F$502,"Yes",$X$3:$X$502,"Yes")=0),"Renewal due",IF(X97&lt;&gt;"Yes","",IF(OR(L97="",M97=""),"Missing next action",IF(M97&lt;S_Today,"Overdue",IF(AND(C97="Contacted",_xlfn.MAXIFS(Interactions!$A$3:$A$502,Interactions!$B$3:$B$502,A97,Interactions!$F$3:$F$502,"Sent by us")&gt;0,_xlfn.MAXIFS(Interactions!$A$3:$A$502,Interactions!$B$3:$B$502,A97,Interactions!$F$3:$F$502,"Sent by us")&lt;=S_Today-S_NoReplyDays,MAX(_xlfn.MAXIFS(Interactions!$A$3:$A$502,Interactions!$B$3:$B$502,A97,Interactions!$F$3:$F$502,"Received from them"),_xlfn.MAXIFS(Interactions!$A$3:$A$502,Interactions!$B$3:$B$502,A97,Interactions!$F$3:$F$502,"Two-way"))&lt;_xlfn.MAXIFS(Interactions!$A$3:$A$502,Interactions!$B$3:$B$502,A97,Interactions!$F$3:$F$502,"Sent by us")),"No reply",IF(M97&lt;=S_Today+7,"Due this week","")))))))</f>
        <v/>
      </c>
      <c r="Z97" s="34" t="str">
        <f aca="false">IF(OR(A97="",Y97=""),"",IF(Y97="Renewal due",100000,IF(Y97="Overdue",200000,IF(Y97="No reply",300000,IF(Y97="Due this week",400000,500000))))+IF(Y97="Renewal due",P97-40000,IF(Y97="Missing next action",0,M97-40000))+ROW()/100000)</f>
        <v/>
      </c>
      <c r="AA97" s="32" t="str">
        <f aca="false">IF(A97="","",_xlfn.TEXTJOIN(", ",TRUE(),IF(AND(X97="Yes",D97=""),"No owner",IF(AND(D97&lt;&gt;"",COUNTIFS(R_TeamName,D97,R_TeamActive,"No")&gt;0),"Needs new owner","")),IF(AND(OR(C97="Proposal sent",C97="Negotiation"),H97="",I97="",K97=""),"Add package or proposed value",""),IF(AND(C97="Won",OR(P97="",V97="")),"Won needs renewal date and closed on",""),IF(AND(C97="Won",G97="Cash",J97=""),"Add agreed value",""),IF(AND(C97="Lost",OR(S97="",V97="")),"Lost needs reason and closed on",""),IF(AND(C97="Nurture",OR(T97="",U97="")),"Nurture needs reason and date","")))</f>
        <v/>
      </c>
      <c r="AB97" s="34" t="str">
        <f aca="false">IF(AND(C97="Won",V97&lt;&gt;"",V97&gt;=S_SemStart,V97&lt;=S_SemEnd),V97+ROW()/100000,"")</f>
        <v/>
      </c>
      <c r="AC97" s="34" t="str">
        <f aca="false">IF(AND(C97="Lost",V97&lt;&gt;"",V97&gt;=S_SemStart,V97&lt;=S_SemEnd),V97+ROW()/100000,"")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9"/>
      <c r="J98" s="29"/>
      <c r="K98" s="27"/>
      <c r="L98" s="27"/>
      <c r="M98" s="28"/>
      <c r="N98" s="28"/>
      <c r="O98" s="28"/>
      <c r="P98" s="28"/>
      <c r="Q98" s="27"/>
      <c r="R98" s="27"/>
      <c r="S98" s="27"/>
      <c r="T98" s="27"/>
      <c r="U98" s="28"/>
      <c r="V98" s="28"/>
      <c r="W98" s="27"/>
      <c r="X98" s="32" t="str">
        <f aca="false">IF(A98="","",IF(OR(C98="Planned",C98="Contacted",C98="Meeting",C98="Proposal sent",C98="Negotiation"),"Yes","No"))</f>
        <v/>
      </c>
      <c r="Y98" s="32" t="str">
        <f aca="false">IF(A98="","",IF(AND(C98="Won",P98&lt;&gt;"",P98&lt;=S_Today+S_RenewalDays,COUNTIFS($A$3:$A$502,A98,$F$3:$F$502,"Yes",$X$3:$X$502,"Yes")=0),"Renewal due",IF(X98&lt;&gt;"Yes","",IF(OR(L98="",M98=""),"Missing next action",IF(M98&lt;S_Today,"Overdue",IF(AND(C98="Contacted",_xlfn.MAXIFS(Interactions!$A$3:$A$502,Interactions!$B$3:$B$502,A98,Interactions!$F$3:$F$502,"Sent by us")&gt;0,_xlfn.MAXIFS(Interactions!$A$3:$A$502,Interactions!$B$3:$B$502,A98,Interactions!$F$3:$F$502,"Sent by us")&lt;=S_Today-S_NoReplyDays,MAX(_xlfn.MAXIFS(Interactions!$A$3:$A$502,Interactions!$B$3:$B$502,A98,Interactions!$F$3:$F$502,"Received from them"),_xlfn.MAXIFS(Interactions!$A$3:$A$502,Interactions!$B$3:$B$502,A98,Interactions!$F$3:$F$502,"Two-way"))&lt;_xlfn.MAXIFS(Interactions!$A$3:$A$502,Interactions!$B$3:$B$502,A98,Interactions!$F$3:$F$502,"Sent by us")),"No reply",IF(M98&lt;=S_Today+7,"Due this week","")))))))</f>
        <v/>
      </c>
      <c r="Z98" s="34" t="str">
        <f aca="false">IF(OR(A98="",Y98=""),"",IF(Y98="Renewal due",100000,IF(Y98="Overdue",200000,IF(Y98="No reply",300000,IF(Y98="Due this week",400000,500000))))+IF(Y98="Renewal due",P98-40000,IF(Y98="Missing next action",0,M98-40000))+ROW()/100000)</f>
        <v/>
      </c>
      <c r="AA98" s="32" t="str">
        <f aca="false">IF(A98="","",_xlfn.TEXTJOIN(", ",TRUE(),IF(AND(X98="Yes",D98=""),"No owner",IF(AND(D98&lt;&gt;"",COUNTIFS(R_TeamName,D98,R_TeamActive,"No")&gt;0),"Needs new owner","")),IF(AND(OR(C98="Proposal sent",C98="Negotiation"),H98="",I98="",K98=""),"Add package or proposed value",""),IF(AND(C98="Won",OR(P98="",V98="")),"Won needs renewal date and closed on",""),IF(AND(C98="Won",G98="Cash",J98=""),"Add agreed value",""),IF(AND(C98="Lost",OR(S98="",V98="")),"Lost needs reason and closed on",""),IF(AND(C98="Nurture",OR(T98="",U98="")),"Nurture needs reason and date","")))</f>
        <v/>
      </c>
      <c r="AB98" s="34" t="str">
        <f aca="false">IF(AND(C98="Won",V98&lt;&gt;"",V98&gt;=S_SemStart,V98&lt;=S_SemEnd),V98+ROW()/100000,"")</f>
        <v/>
      </c>
      <c r="AC98" s="34" t="str">
        <f aca="false">IF(AND(C98="Lost",V98&lt;&gt;"",V98&gt;=S_SemStart,V98&lt;=S_SemEnd),V98+ROW()/100000,"")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9"/>
      <c r="J99" s="29"/>
      <c r="K99" s="27"/>
      <c r="L99" s="27"/>
      <c r="M99" s="28"/>
      <c r="N99" s="28"/>
      <c r="O99" s="28"/>
      <c r="P99" s="28"/>
      <c r="Q99" s="27"/>
      <c r="R99" s="27"/>
      <c r="S99" s="27"/>
      <c r="T99" s="27"/>
      <c r="U99" s="28"/>
      <c r="V99" s="28"/>
      <c r="W99" s="27"/>
      <c r="X99" s="32" t="str">
        <f aca="false">IF(A99="","",IF(OR(C99="Planned",C99="Contacted",C99="Meeting",C99="Proposal sent",C99="Negotiation"),"Yes","No"))</f>
        <v/>
      </c>
      <c r="Y99" s="32" t="str">
        <f aca="false">IF(A99="","",IF(AND(C99="Won",P99&lt;&gt;"",P99&lt;=S_Today+S_RenewalDays,COUNTIFS($A$3:$A$502,A99,$F$3:$F$502,"Yes",$X$3:$X$502,"Yes")=0),"Renewal due",IF(X99&lt;&gt;"Yes","",IF(OR(L99="",M99=""),"Missing next action",IF(M99&lt;S_Today,"Overdue",IF(AND(C99="Contacted",_xlfn.MAXIFS(Interactions!$A$3:$A$502,Interactions!$B$3:$B$502,A99,Interactions!$F$3:$F$502,"Sent by us")&gt;0,_xlfn.MAXIFS(Interactions!$A$3:$A$502,Interactions!$B$3:$B$502,A99,Interactions!$F$3:$F$502,"Sent by us")&lt;=S_Today-S_NoReplyDays,MAX(_xlfn.MAXIFS(Interactions!$A$3:$A$502,Interactions!$B$3:$B$502,A99,Interactions!$F$3:$F$502,"Received from them"),_xlfn.MAXIFS(Interactions!$A$3:$A$502,Interactions!$B$3:$B$502,A99,Interactions!$F$3:$F$502,"Two-way"))&lt;_xlfn.MAXIFS(Interactions!$A$3:$A$502,Interactions!$B$3:$B$502,A99,Interactions!$F$3:$F$502,"Sent by us")),"No reply",IF(M99&lt;=S_Today+7,"Due this week","")))))))</f>
        <v/>
      </c>
      <c r="Z99" s="34" t="str">
        <f aca="false">IF(OR(A99="",Y99=""),"",IF(Y99="Renewal due",100000,IF(Y99="Overdue",200000,IF(Y99="No reply",300000,IF(Y99="Due this week",400000,500000))))+IF(Y99="Renewal due",P99-40000,IF(Y99="Missing next action",0,M99-40000))+ROW()/100000)</f>
        <v/>
      </c>
      <c r="AA99" s="32" t="str">
        <f aca="false">IF(A99="","",_xlfn.TEXTJOIN(", ",TRUE(),IF(AND(X99="Yes",D99=""),"No owner",IF(AND(D99&lt;&gt;"",COUNTIFS(R_TeamName,D99,R_TeamActive,"No")&gt;0),"Needs new owner","")),IF(AND(OR(C99="Proposal sent",C99="Negotiation"),H99="",I99="",K99=""),"Add package or proposed value",""),IF(AND(C99="Won",OR(P99="",V99="")),"Won needs renewal date and closed on",""),IF(AND(C99="Won",G99="Cash",J99=""),"Add agreed value",""),IF(AND(C99="Lost",OR(S99="",V99="")),"Lost needs reason and closed on",""),IF(AND(C99="Nurture",OR(T99="",U99="")),"Nurture needs reason and date","")))</f>
        <v/>
      </c>
      <c r="AB99" s="34" t="str">
        <f aca="false">IF(AND(C99="Won",V99&lt;&gt;"",V99&gt;=S_SemStart,V99&lt;=S_SemEnd),V99+ROW()/100000,"")</f>
        <v/>
      </c>
      <c r="AC99" s="34" t="str">
        <f aca="false">IF(AND(C99="Lost",V99&lt;&gt;"",V99&gt;=S_SemStart,V99&lt;=S_SemEnd),V99+ROW()/100000,"")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9"/>
      <c r="J100" s="29"/>
      <c r="K100" s="27"/>
      <c r="L100" s="27"/>
      <c r="M100" s="28"/>
      <c r="N100" s="28"/>
      <c r="O100" s="28"/>
      <c r="P100" s="28"/>
      <c r="Q100" s="27"/>
      <c r="R100" s="27"/>
      <c r="S100" s="27"/>
      <c r="T100" s="27"/>
      <c r="U100" s="28"/>
      <c r="V100" s="28"/>
      <c r="W100" s="27"/>
      <c r="X100" s="32" t="str">
        <f aca="false">IF(A100="","",IF(OR(C100="Planned",C100="Contacted",C100="Meeting",C100="Proposal sent",C100="Negotiation"),"Yes","No"))</f>
        <v/>
      </c>
      <c r="Y100" s="32" t="str">
        <f aca="false">IF(A100="","",IF(AND(C100="Won",P100&lt;&gt;"",P100&lt;=S_Today+S_RenewalDays,COUNTIFS($A$3:$A$502,A100,$F$3:$F$502,"Yes",$X$3:$X$502,"Yes")=0),"Renewal due",IF(X100&lt;&gt;"Yes","",IF(OR(L100="",M100=""),"Missing next action",IF(M100&lt;S_Today,"Overdue",IF(AND(C100="Contacted",_xlfn.MAXIFS(Interactions!$A$3:$A$502,Interactions!$B$3:$B$502,A100,Interactions!$F$3:$F$502,"Sent by us")&gt;0,_xlfn.MAXIFS(Interactions!$A$3:$A$502,Interactions!$B$3:$B$502,A100,Interactions!$F$3:$F$502,"Sent by us")&lt;=S_Today-S_NoReplyDays,MAX(_xlfn.MAXIFS(Interactions!$A$3:$A$502,Interactions!$B$3:$B$502,A100,Interactions!$F$3:$F$502,"Received from them"),_xlfn.MAXIFS(Interactions!$A$3:$A$502,Interactions!$B$3:$B$502,A100,Interactions!$F$3:$F$502,"Two-way"))&lt;_xlfn.MAXIFS(Interactions!$A$3:$A$502,Interactions!$B$3:$B$502,A100,Interactions!$F$3:$F$502,"Sent by us")),"No reply",IF(M100&lt;=S_Today+7,"Due this week","")))))))</f>
        <v/>
      </c>
      <c r="Z100" s="34" t="str">
        <f aca="false">IF(OR(A100="",Y100=""),"",IF(Y100="Renewal due",100000,IF(Y100="Overdue",200000,IF(Y100="No reply",300000,IF(Y100="Due this week",400000,500000))))+IF(Y100="Renewal due",P100-40000,IF(Y100="Missing next action",0,M100-40000))+ROW()/100000)</f>
        <v/>
      </c>
      <c r="AA100" s="32" t="str">
        <f aca="false">IF(A100="","",_xlfn.TEXTJOIN(", ",TRUE(),IF(AND(X100="Yes",D100=""),"No owner",IF(AND(D100&lt;&gt;"",COUNTIFS(R_TeamName,D100,R_TeamActive,"No")&gt;0),"Needs new owner","")),IF(AND(OR(C100="Proposal sent",C100="Negotiation"),H100="",I100="",K100=""),"Add package or proposed value",""),IF(AND(C100="Won",OR(P100="",V100="")),"Won needs renewal date and closed on",""),IF(AND(C100="Won",G100="Cash",J100=""),"Add agreed value",""),IF(AND(C100="Lost",OR(S100="",V100="")),"Lost needs reason and closed on",""),IF(AND(C100="Nurture",OR(T100="",U100="")),"Nurture needs reason and date","")))</f>
        <v/>
      </c>
      <c r="AB100" s="34" t="str">
        <f aca="false">IF(AND(C100="Won",V100&lt;&gt;"",V100&gt;=S_SemStart,V100&lt;=S_SemEnd),V100+ROW()/100000,"")</f>
        <v/>
      </c>
      <c r="AC100" s="34" t="str">
        <f aca="false">IF(AND(C100="Lost",V100&lt;&gt;"",V100&gt;=S_SemStart,V100&lt;=S_SemEnd),V100+ROW()/100000,"")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9"/>
      <c r="J101" s="29"/>
      <c r="K101" s="27"/>
      <c r="L101" s="27"/>
      <c r="M101" s="28"/>
      <c r="N101" s="28"/>
      <c r="O101" s="28"/>
      <c r="P101" s="28"/>
      <c r="Q101" s="27"/>
      <c r="R101" s="27"/>
      <c r="S101" s="27"/>
      <c r="T101" s="27"/>
      <c r="U101" s="28"/>
      <c r="V101" s="28"/>
      <c r="W101" s="27"/>
      <c r="X101" s="32" t="str">
        <f aca="false">IF(A101="","",IF(OR(C101="Planned",C101="Contacted",C101="Meeting",C101="Proposal sent",C101="Negotiation"),"Yes","No"))</f>
        <v/>
      </c>
      <c r="Y101" s="32" t="str">
        <f aca="false">IF(A101="","",IF(AND(C101="Won",P101&lt;&gt;"",P101&lt;=S_Today+S_RenewalDays,COUNTIFS($A$3:$A$502,A101,$F$3:$F$502,"Yes",$X$3:$X$502,"Yes")=0),"Renewal due",IF(X101&lt;&gt;"Yes","",IF(OR(L101="",M101=""),"Missing next action",IF(M101&lt;S_Today,"Overdue",IF(AND(C101="Contacted",_xlfn.MAXIFS(Interactions!$A$3:$A$502,Interactions!$B$3:$B$502,A101,Interactions!$F$3:$F$502,"Sent by us")&gt;0,_xlfn.MAXIFS(Interactions!$A$3:$A$502,Interactions!$B$3:$B$502,A101,Interactions!$F$3:$F$502,"Sent by us")&lt;=S_Today-S_NoReplyDays,MAX(_xlfn.MAXIFS(Interactions!$A$3:$A$502,Interactions!$B$3:$B$502,A101,Interactions!$F$3:$F$502,"Received from them"),_xlfn.MAXIFS(Interactions!$A$3:$A$502,Interactions!$B$3:$B$502,A101,Interactions!$F$3:$F$502,"Two-way"))&lt;_xlfn.MAXIFS(Interactions!$A$3:$A$502,Interactions!$B$3:$B$502,A101,Interactions!$F$3:$F$502,"Sent by us")),"No reply",IF(M101&lt;=S_Today+7,"Due this week","")))))))</f>
        <v/>
      </c>
      <c r="Z101" s="34" t="str">
        <f aca="false">IF(OR(A101="",Y101=""),"",IF(Y101="Renewal due",100000,IF(Y101="Overdue",200000,IF(Y101="No reply",300000,IF(Y101="Due this week",400000,500000))))+IF(Y101="Renewal due",P101-40000,IF(Y101="Missing next action",0,M101-40000))+ROW()/100000)</f>
        <v/>
      </c>
      <c r="AA101" s="32" t="str">
        <f aca="false">IF(A101="","",_xlfn.TEXTJOIN(", ",TRUE(),IF(AND(X101="Yes",D101=""),"No owner",IF(AND(D101&lt;&gt;"",COUNTIFS(R_TeamName,D101,R_TeamActive,"No")&gt;0),"Needs new owner","")),IF(AND(OR(C101="Proposal sent",C101="Negotiation"),H101="",I101="",K101=""),"Add package or proposed value",""),IF(AND(C101="Won",OR(P101="",V101="")),"Won needs renewal date and closed on",""),IF(AND(C101="Won",G101="Cash",J101=""),"Add agreed value",""),IF(AND(C101="Lost",OR(S101="",V101="")),"Lost needs reason and closed on",""),IF(AND(C101="Nurture",OR(T101="",U101="")),"Nurture needs reason and date","")))</f>
        <v/>
      </c>
      <c r="AB101" s="34" t="str">
        <f aca="false">IF(AND(C101="Won",V101&lt;&gt;"",V101&gt;=S_SemStart,V101&lt;=S_SemEnd),V101+ROW()/100000,"")</f>
        <v/>
      </c>
      <c r="AC101" s="34" t="str">
        <f aca="false">IF(AND(C101="Lost",V101&lt;&gt;"",V101&gt;=S_SemStart,V101&lt;=S_SemEnd),V101+ROW()/100000,"")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9"/>
      <c r="J102" s="29"/>
      <c r="K102" s="27"/>
      <c r="L102" s="27"/>
      <c r="M102" s="28"/>
      <c r="N102" s="28"/>
      <c r="O102" s="28"/>
      <c r="P102" s="28"/>
      <c r="Q102" s="27"/>
      <c r="R102" s="27"/>
      <c r="S102" s="27"/>
      <c r="T102" s="27"/>
      <c r="U102" s="28"/>
      <c r="V102" s="28"/>
      <c r="W102" s="27"/>
      <c r="X102" s="32" t="str">
        <f aca="false">IF(A102="","",IF(OR(C102="Planned",C102="Contacted",C102="Meeting",C102="Proposal sent",C102="Negotiation"),"Yes","No"))</f>
        <v/>
      </c>
      <c r="Y102" s="32" t="str">
        <f aca="false">IF(A102="","",IF(AND(C102="Won",P102&lt;&gt;"",P102&lt;=S_Today+S_RenewalDays,COUNTIFS($A$3:$A$502,A102,$F$3:$F$502,"Yes",$X$3:$X$502,"Yes")=0),"Renewal due",IF(X102&lt;&gt;"Yes","",IF(OR(L102="",M102=""),"Missing next action",IF(M102&lt;S_Today,"Overdue",IF(AND(C102="Contacted",_xlfn.MAXIFS(Interactions!$A$3:$A$502,Interactions!$B$3:$B$502,A102,Interactions!$F$3:$F$502,"Sent by us")&gt;0,_xlfn.MAXIFS(Interactions!$A$3:$A$502,Interactions!$B$3:$B$502,A102,Interactions!$F$3:$F$502,"Sent by us")&lt;=S_Today-S_NoReplyDays,MAX(_xlfn.MAXIFS(Interactions!$A$3:$A$502,Interactions!$B$3:$B$502,A102,Interactions!$F$3:$F$502,"Received from them"),_xlfn.MAXIFS(Interactions!$A$3:$A$502,Interactions!$B$3:$B$502,A102,Interactions!$F$3:$F$502,"Two-way"))&lt;_xlfn.MAXIFS(Interactions!$A$3:$A$502,Interactions!$B$3:$B$502,A102,Interactions!$F$3:$F$502,"Sent by us")),"No reply",IF(M102&lt;=S_Today+7,"Due this week","")))))))</f>
        <v/>
      </c>
      <c r="Z102" s="34" t="str">
        <f aca="false">IF(OR(A102="",Y102=""),"",IF(Y102="Renewal due",100000,IF(Y102="Overdue",200000,IF(Y102="No reply",300000,IF(Y102="Due this week",400000,500000))))+IF(Y102="Renewal due",P102-40000,IF(Y102="Missing next action",0,M102-40000))+ROW()/100000)</f>
        <v/>
      </c>
      <c r="AA102" s="32" t="str">
        <f aca="false">IF(A102="","",_xlfn.TEXTJOIN(", ",TRUE(),IF(AND(X102="Yes",D102=""),"No owner",IF(AND(D102&lt;&gt;"",COUNTIFS(R_TeamName,D102,R_TeamActive,"No")&gt;0),"Needs new owner","")),IF(AND(OR(C102="Proposal sent",C102="Negotiation"),H102="",I102="",K102=""),"Add package or proposed value",""),IF(AND(C102="Won",OR(P102="",V102="")),"Won needs renewal date and closed on",""),IF(AND(C102="Won",G102="Cash",J102=""),"Add agreed value",""),IF(AND(C102="Lost",OR(S102="",V102="")),"Lost needs reason and closed on",""),IF(AND(C102="Nurture",OR(T102="",U102="")),"Nurture needs reason and date","")))</f>
        <v/>
      </c>
      <c r="AB102" s="34" t="str">
        <f aca="false">IF(AND(C102="Won",V102&lt;&gt;"",V102&gt;=S_SemStart,V102&lt;=S_SemEnd),V102+ROW()/100000,"")</f>
        <v/>
      </c>
      <c r="AC102" s="34" t="str">
        <f aca="false">IF(AND(C102="Lost",V102&lt;&gt;"",V102&gt;=S_SemStart,V102&lt;=S_SemEnd),V102+ROW()/100000,"")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9"/>
      <c r="J103" s="29"/>
      <c r="K103" s="27"/>
      <c r="L103" s="27"/>
      <c r="M103" s="28"/>
      <c r="N103" s="28"/>
      <c r="O103" s="28"/>
      <c r="P103" s="28"/>
      <c r="Q103" s="27"/>
      <c r="R103" s="27"/>
      <c r="S103" s="27"/>
      <c r="T103" s="27"/>
      <c r="U103" s="28"/>
      <c r="V103" s="28"/>
      <c r="W103" s="27"/>
      <c r="X103" s="32" t="str">
        <f aca="false">IF(A103="","",IF(OR(C103="Planned",C103="Contacted",C103="Meeting",C103="Proposal sent",C103="Negotiation"),"Yes","No"))</f>
        <v/>
      </c>
      <c r="Y103" s="32" t="str">
        <f aca="false">IF(A103="","",IF(AND(C103="Won",P103&lt;&gt;"",P103&lt;=S_Today+S_RenewalDays,COUNTIFS($A$3:$A$502,A103,$F$3:$F$502,"Yes",$X$3:$X$502,"Yes")=0),"Renewal due",IF(X103&lt;&gt;"Yes","",IF(OR(L103="",M103=""),"Missing next action",IF(M103&lt;S_Today,"Overdue",IF(AND(C103="Contacted",_xlfn.MAXIFS(Interactions!$A$3:$A$502,Interactions!$B$3:$B$502,A103,Interactions!$F$3:$F$502,"Sent by us")&gt;0,_xlfn.MAXIFS(Interactions!$A$3:$A$502,Interactions!$B$3:$B$502,A103,Interactions!$F$3:$F$502,"Sent by us")&lt;=S_Today-S_NoReplyDays,MAX(_xlfn.MAXIFS(Interactions!$A$3:$A$502,Interactions!$B$3:$B$502,A103,Interactions!$F$3:$F$502,"Received from them"),_xlfn.MAXIFS(Interactions!$A$3:$A$502,Interactions!$B$3:$B$502,A103,Interactions!$F$3:$F$502,"Two-way"))&lt;_xlfn.MAXIFS(Interactions!$A$3:$A$502,Interactions!$B$3:$B$502,A103,Interactions!$F$3:$F$502,"Sent by us")),"No reply",IF(M103&lt;=S_Today+7,"Due this week","")))))))</f>
        <v/>
      </c>
      <c r="Z103" s="34" t="str">
        <f aca="false">IF(OR(A103="",Y103=""),"",IF(Y103="Renewal due",100000,IF(Y103="Overdue",200000,IF(Y103="No reply",300000,IF(Y103="Due this week",400000,500000))))+IF(Y103="Renewal due",P103-40000,IF(Y103="Missing next action",0,M103-40000))+ROW()/100000)</f>
        <v/>
      </c>
      <c r="AA103" s="32" t="str">
        <f aca="false">IF(A103="","",_xlfn.TEXTJOIN(", ",TRUE(),IF(AND(X103="Yes",D103=""),"No owner",IF(AND(D103&lt;&gt;"",COUNTIFS(R_TeamName,D103,R_TeamActive,"No")&gt;0),"Needs new owner","")),IF(AND(OR(C103="Proposal sent",C103="Negotiation"),H103="",I103="",K103=""),"Add package or proposed value",""),IF(AND(C103="Won",OR(P103="",V103="")),"Won needs renewal date and closed on",""),IF(AND(C103="Won",G103="Cash",J103=""),"Add agreed value",""),IF(AND(C103="Lost",OR(S103="",V103="")),"Lost needs reason and closed on",""),IF(AND(C103="Nurture",OR(T103="",U103="")),"Nurture needs reason and date","")))</f>
        <v/>
      </c>
      <c r="AB103" s="34" t="str">
        <f aca="false">IF(AND(C103="Won",V103&lt;&gt;"",V103&gt;=S_SemStart,V103&lt;=S_SemEnd),V103+ROW()/100000,"")</f>
        <v/>
      </c>
      <c r="AC103" s="34" t="str">
        <f aca="false">IF(AND(C103="Lost",V103&lt;&gt;"",V103&gt;=S_SemStart,V103&lt;=S_SemEnd),V103+ROW()/100000,"")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9"/>
      <c r="J104" s="29"/>
      <c r="K104" s="27"/>
      <c r="L104" s="27"/>
      <c r="M104" s="28"/>
      <c r="N104" s="28"/>
      <c r="O104" s="28"/>
      <c r="P104" s="28"/>
      <c r="Q104" s="27"/>
      <c r="R104" s="27"/>
      <c r="S104" s="27"/>
      <c r="T104" s="27"/>
      <c r="U104" s="28"/>
      <c r="V104" s="28"/>
      <c r="W104" s="27"/>
      <c r="X104" s="32" t="str">
        <f aca="false">IF(A104="","",IF(OR(C104="Planned",C104="Contacted",C104="Meeting",C104="Proposal sent",C104="Negotiation"),"Yes","No"))</f>
        <v/>
      </c>
      <c r="Y104" s="32" t="str">
        <f aca="false">IF(A104="","",IF(AND(C104="Won",P104&lt;&gt;"",P104&lt;=S_Today+S_RenewalDays,COUNTIFS($A$3:$A$502,A104,$F$3:$F$502,"Yes",$X$3:$X$502,"Yes")=0),"Renewal due",IF(X104&lt;&gt;"Yes","",IF(OR(L104="",M104=""),"Missing next action",IF(M104&lt;S_Today,"Overdue",IF(AND(C104="Contacted",_xlfn.MAXIFS(Interactions!$A$3:$A$502,Interactions!$B$3:$B$502,A104,Interactions!$F$3:$F$502,"Sent by us")&gt;0,_xlfn.MAXIFS(Interactions!$A$3:$A$502,Interactions!$B$3:$B$502,A104,Interactions!$F$3:$F$502,"Sent by us")&lt;=S_Today-S_NoReplyDays,MAX(_xlfn.MAXIFS(Interactions!$A$3:$A$502,Interactions!$B$3:$B$502,A104,Interactions!$F$3:$F$502,"Received from them"),_xlfn.MAXIFS(Interactions!$A$3:$A$502,Interactions!$B$3:$B$502,A104,Interactions!$F$3:$F$502,"Two-way"))&lt;_xlfn.MAXIFS(Interactions!$A$3:$A$502,Interactions!$B$3:$B$502,A104,Interactions!$F$3:$F$502,"Sent by us")),"No reply",IF(M104&lt;=S_Today+7,"Due this week","")))))))</f>
        <v/>
      </c>
      <c r="Z104" s="34" t="str">
        <f aca="false">IF(OR(A104="",Y104=""),"",IF(Y104="Renewal due",100000,IF(Y104="Overdue",200000,IF(Y104="No reply",300000,IF(Y104="Due this week",400000,500000))))+IF(Y104="Renewal due",P104-40000,IF(Y104="Missing next action",0,M104-40000))+ROW()/100000)</f>
        <v/>
      </c>
      <c r="AA104" s="32" t="str">
        <f aca="false">IF(A104="","",_xlfn.TEXTJOIN(", ",TRUE(),IF(AND(X104="Yes",D104=""),"No owner",IF(AND(D104&lt;&gt;"",COUNTIFS(R_TeamName,D104,R_TeamActive,"No")&gt;0),"Needs new owner","")),IF(AND(OR(C104="Proposal sent",C104="Negotiation"),H104="",I104="",K104=""),"Add package or proposed value",""),IF(AND(C104="Won",OR(P104="",V104="")),"Won needs renewal date and closed on",""),IF(AND(C104="Won",G104="Cash",J104=""),"Add agreed value",""),IF(AND(C104="Lost",OR(S104="",V104="")),"Lost needs reason and closed on",""),IF(AND(C104="Nurture",OR(T104="",U104="")),"Nurture needs reason and date","")))</f>
        <v/>
      </c>
      <c r="AB104" s="34" t="str">
        <f aca="false">IF(AND(C104="Won",V104&lt;&gt;"",V104&gt;=S_SemStart,V104&lt;=S_SemEnd),V104+ROW()/100000,"")</f>
        <v/>
      </c>
      <c r="AC104" s="34" t="str">
        <f aca="false">IF(AND(C104="Lost",V104&lt;&gt;"",V104&gt;=S_SemStart,V104&lt;=S_SemEnd),V104+ROW()/100000,"")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9"/>
      <c r="J105" s="29"/>
      <c r="K105" s="27"/>
      <c r="L105" s="27"/>
      <c r="M105" s="28"/>
      <c r="N105" s="28"/>
      <c r="O105" s="28"/>
      <c r="P105" s="28"/>
      <c r="Q105" s="27"/>
      <c r="R105" s="27"/>
      <c r="S105" s="27"/>
      <c r="T105" s="27"/>
      <c r="U105" s="28"/>
      <c r="V105" s="28"/>
      <c r="W105" s="27"/>
      <c r="X105" s="32" t="str">
        <f aca="false">IF(A105="","",IF(OR(C105="Planned",C105="Contacted",C105="Meeting",C105="Proposal sent",C105="Negotiation"),"Yes","No"))</f>
        <v/>
      </c>
      <c r="Y105" s="32" t="str">
        <f aca="false">IF(A105="","",IF(AND(C105="Won",P105&lt;&gt;"",P105&lt;=S_Today+S_RenewalDays,COUNTIFS($A$3:$A$502,A105,$F$3:$F$502,"Yes",$X$3:$X$502,"Yes")=0),"Renewal due",IF(X105&lt;&gt;"Yes","",IF(OR(L105="",M105=""),"Missing next action",IF(M105&lt;S_Today,"Overdue",IF(AND(C105="Contacted",_xlfn.MAXIFS(Interactions!$A$3:$A$502,Interactions!$B$3:$B$502,A105,Interactions!$F$3:$F$502,"Sent by us")&gt;0,_xlfn.MAXIFS(Interactions!$A$3:$A$502,Interactions!$B$3:$B$502,A105,Interactions!$F$3:$F$502,"Sent by us")&lt;=S_Today-S_NoReplyDays,MAX(_xlfn.MAXIFS(Interactions!$A$3:$A$502,Interactions!$B$3:$B$502,A105,Interactions!$F$3:$F$502,"Received from them"),_xlfn.MAXIFS(Interactions!$A$3:$A$502,Interactions!$B$3:$B$502,A105,Interactions!$F$3:$F$502,"Two-way"))&lt;_xlfn.MAXIFS(Interactions!$A$3:$A$502,Interactions!$B$3:$B$502,A105,Interactions!$F$3:$F$502,"Sent by us")),"No reply",IF(M105&lt;=S_Today+7,"Due this week","")))))))</f>
        <v/>
      </c>
      <c r="Z105" s="34" t="str">
        <f aca="false">IF(OR(A105="",Y105=""),"",IF(Y105="Renewal due",100000,IF(Y105="Overdue",200000,IF(Y105="No reply",300000,IF(Y105="Due this week",400000,500000))))+IF(Y105="Renewal due",P105-40000,IF(Y105="Missing next action",0,M105-40000))+ROW()/100000)</f>
        <v/>
      </c>
      <c r="AA105" s="32" t="str">
        <f aca="false">IF(A105="","",_xlfn.TEXTJOIN(", ",TRUE(),IF(AND(X105="Yes",D105=""),"No owner",IF(AND(D105&lt;&gt;"",COUNTIFS(R_TeamName,D105,R_TeamActive,"No")&gt;0),"Needs new owner","")),IF(AND(OR(C105="Proposal sent",C105="Negotiation"),H105="",I105="",K105=""),"Add package or proposed value",""),IF(AND(C105="Won",OR(P105="",V105="")),"Won needs renewal date and closed on",""),IF(AND(C105="Won",G105="Cash",J105=""),"Add agreed value",""),IF(AND(C105="Lost",OR(S105="",V105="")),"Lost needs reason and closed on",""),IF(AND(C105="Nurture",OR(T105="",U105="")),"Nurture needs reason and date","")))</f>
        <v/>
      </c>
      <c r="AB105" s="34" t="str">
        <f aca="false">IF(AND(C105="Won",V105&lt;&gt;"",V105&gt;=S_SemStart,V105&lt;=S_SemEnd),V105+ROW()/100000,"")</f>
        <v/>
      </c>
      <c r="AC105" s="34" t="str">
        <f aca="false">IF(AND(C105="Lost",V105&lt;&gt;"",V105&gt;=S_SemStart,V105&lt;=S_SemEnd),V105+ROW()/100000,"")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9"/>
      <c r="J106" s="29"/>
      <c r="K106" s="27"/>
      <c r="L106" s="27"/>
      <c r="M106" s="28"/>
      <c r="N106" s="28"/>
      <c r="O106" s="28"/>
      <c r="P106" s="28"/>
      <c r="Q106" s="27"/>
      <c r="R106" s="27"/>
      <c r="S106" s="27"/>
      <c r="T106" s="27"/>
      <c r="U106" s="28"/>
      <c r="V106" s="28"/>
      <c r="W106" s="27"/>
      <c r="X106" s="32" t="str">
        <f aca="false">IF(A106="","",IF(OR(C106="Planned",C106="Contacted",C106="Meeting",C106="Proposal sent",C106="Negotiation"),"Yes","No"))</f>
        <v/>
      </c>
      <c r="Y106" s="32" t="str">
        <f aca="false">IF(A106="","",IF(AND(C106="Won",P106&lt;&gt;"",P106&lt;=S_Today+S_RenewalDays,COUNTIFS($A$3:$A$502,A106,$F$3:$F$502,"Yes",$X$3:$X$502,"Yes")=0),"Renewal due",IF(X106&lt;&gt;"Yes","",IF(OR(L106="",M106=""),"Missing next action",IF(M106&lt;S_Today,"Overdue",IF(AND(C106="Contacted",_xlfn.MAXIFS(Interactions!$A$3:$A$502,Interactions!$B$3:$B$502,A106,Interactions!$F$3:$F$502,"Sent by us")&gt;0,_xlfn.MAXIFS(Interactions!$A$3:$A$502,Interactions!$B$3:$B$502,A106,Interactions!$F$3:$F$502,"Sent by us")&lt;=S_Today-S_NoReplyDays,MAX(_xlfn.MAXIFS(Interactions!$A$3:$A$502,Interactions!$B$3:$B$502,A106,Interactions!$F$3:$F$502,"Received from them"),_xlfn.MAXIFS(Interactions!$A$3:$A$502,Interactions!$B$3:$B$502,A106,Interactions!$F$3:$F$502,"Two-way"))&lt;_xlfn.MAXIFS(Interactions!$A$3:$A$502,Interactions!$B$3:$B$502,A106,Interactions!$F$3:$F$502,"Sent by us")),"No reply",IF(M106&lt;=S_Today+7,"Due this week","")))))))</f>
        <v/>
      </c>
      <c r="Z106" s="34" t="str">
        <f aca="false">IF(OR(A106="",Y106=""),"",IF(Y106="Renewal due",100000,IF(Y106="Overdue",200000,IF(Y106="No reply",300000,IF(Y106="Due this week",400000,500000))))+IF(Y106="Renewal due",P106-40000,IF(Y106="Missing next action",0,M106-40000))+ROW()/100000)</f>
        <v/>
      </c>
      <c r="AA106" s="32" t="str">
        <f aca="false">IF(A106="","",_xlfn.TEXTJOIN(", ",TRUE(),IF(AND(X106="Yes",D106=""),"No owner",IF(AND(D106&lt;&gt;"",COUNTIFS(R_TeamName,D106,R_TeamActive,"No")&gt;0),"Needs new owner","")),IF(AND(OR(C106="Proposal sent",C106="Negotiation"),H106="",I106="",K106=""),"Add package or proposed value",""),IF(AND(C106="Won",OR(P106="",V106="")),"Won needs renewal date and closed on",""),IF(AND(C106="Won",G106="Cash",J106=""),"Add agreed value",""),IF(AND(C106="Lost",OR(S106="",V106="")),"Lost needs reason and closed on",""),IF(AND(C106="Nurture",OR(T106="",U106="")),"Nurture needs reason and date","")))</f>
        <v/>
      </c>
      <c r="AB106" s="34" t="str">
        <f aca="false">IF(AND(C106="Won",V106&lt;&gt;"",V106&gt;=S_SemStart,V106&lt;=S_SemEnd),V106+ROW()/100000,"")</f>
        <v/>
      </c>
      <c r="AC106" s="34" t="str">
        <f aca="false">IF(AND(C106="Lost",V106&lt;&gt;"",V106&gt;=S_SemStart,V106&lt;=S_SemEnd),V106+ROW()/100000,"")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9"/>
      <c r="J107" s="29"/>
      <c r="K107" s="27"/>
      <c r="L107" s="27"/>
      <c r="M107" s="28"/>
      <c r="N107" s="28"/>
      <c r="O107" s="28"/>
      <c r="P107" s="28"/>
      <c r="Q107" s="27"/>
      <c r="R107" s="27"/>
      <c r="S107" s="27"/>
      <c r="T107" s="27"/>
      <c r="U107" s="28"/>
      <c r="V107" s="28"/>
      <c r="W107" s="27"/>
      <c r="X107" s="32" t="str">
        <f aca="false">IF(A107="","",IF(OR(C107="Planned",C107="Contacted",C107="Meeting",C107="Proposal sent",C107="Negotiation"),"Yes","No"))</f>
        <v/>
      </c>
      <c r="Y107" s="32" t="str">
        <f aca="false">IF(A107="","",IF(AND(C107="Won",P107&lt;&gt;"",P107&lt;=S_Today+S_RenewalDays,COUNTIFS($A$3:$A$502,A107,$F$3:$F$502,"Yes",$X$3:$X$502,"Yes")=0),"Renewal due",IF(X107&lt;&gt;"Yes","",IF(OR(L107="",M107=""),"Missing next action",IF(M107&lt;S_Today,"Overdue",IF(AND(C107="Contacted",_xlfn.MAXIFS(Interactions!$A$3:$A$502,Interactions!$B$3:$B$502,A107,Interactions!$F$3:$F$502,"Sent by us")&gt;0,_xlfn.MAXIFS(Interactions!$A$3:$A$502,Interactions!$B$3:$B$502,A107,Interactions!$F$3:$F$502,"Sent by us")&lt;=S_Today-S_NoReplyDays,MAX(_xlfn.MAXIFS(Interactions!$A$3:$A$502,Interactions!$B$3:$B$502,A107,Interactions!$F$3:$F$502,"Received from them"),_xlfn.MAXIFS(Interactions!$A$3:$A$502,Interactions!$B$3:$B$502,A107,Interactions!$F$3:$F$502,"Two-way"))&lt;_xlfn.MAXIFS(Interactions!$A$3:$A$502,Interactions!$B$3:$B$502,A107,Interactions!$F$3:$F$502,"Sent by us")),"No reply",IF(M107&lt;=S_Today+7,"Due this week","")))))))</f>
        <v/>
      </c>
      <c r="Z107" s="34" t="str">
        <f aca="false">IF(OR(A107="",Y107=""),"",IF(Y107="Renewal due",100000,IF(Y107="Overdue",200000,IF(Y107="No reply",300000,IF(Y107="Due this week",400000,500000))))+IF(Y107="Renewal due",P107-40000,IF(Y107="Missing next action",0,M107-40000))+ROW()/100000)</f>
        <v/>
      </c>
      <c r="AA107" s="32" t="str">
        <f aca="false">IF(A107="","",_xlfn.TEXTJOIN(", ",TRUE(),IF(AND(X107="Yes",D107=""),"No owner",IF(AND(D107&lt;&gt;"",COUNTIFS(R_TeamName,D107,R_TeamActive,"No")&gt;0),"Needs new owner","")),IF(AND(OR(C107="Proposal sent",C107="Negotiation"),H107="",I107="",K107=""),"Add package or proposed value",""),IF(AND(C107="Won",OR(P107="",V107="")),"Won needs renewal date and closed on",""),IF(AND(C107="Won",G107="Cash",J107=""),"Add agreed value",""),IF(AND(C107="Lost",OR(S107="",V107="")),"Lost needs reason and closed on",""),IF(AND(C107="Nurture",OR(T107="",U107="")),"Nurture needs reason and date","")))</f>
        <v/>
      </c>
      <c r="AB107" s="34" t="str">
        <f aca="false">IF(AND(C107="Won",V107&lt;&gt;"",V107&gt;=S_SemStart,V107&lt;=S_SemEnd),V107+ROW()/100000,"")</f>
        <v/>
      </c>
      <c r="AC107" s="34" t="str">
        <f aca="false">IF(AND(C107="Lost",V107&lt;&gt;"",V107&gt;=S_SemStart,V107&lt;=S_SemEnd),V107+ROW()/100000,"")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9"/>
      <c r="J108" s="29"/>
      <c r="K108" s="27"/>
      <c r="L108" s="27"/>
      <c r="M108" s="28"/>
      <c r="N108" s="28"/>
      <c r="O108" s="28"/>
      <c r="P108" s="28"/>
      <c r="Q108" s="27"/>
      <c r="R108" s="27"/>
      <c r="S108" s="27"/>
      <c r="T108" s="27"/>
      <c r="U108" s="28"/>
      <c r="V108" s="28"/>
      <c r="W108" s="27"/>
      <c r="X108" s="32" t="str">
        <f aca="false">IF(A108="","",IF(OR(C108="Planned",C108="Contacted",C108="Meeting",C108="Proposal sent",C108="Negotiation"),"Yes","No"))</f>
        <v/>
      </c>
      <c r="Y108" s="32" t="str">
        <f aca="false">IF(A108="","",IF(AND(C108="Won",P108&lt;&gt;"",P108&lt;=S_Today+S_RenewalDays,COUNTIFS($A$3:$A$502,A108,$F$3:$F$502,"Yes",$X$3:$X$502,"Yes")=0),"Renewal due",IF(X108&lt;&gt;"Yes","",IF(OR(L108="",M108=""),"Missing next action",IF(M108&lt;S_Today,"Overdue",IF(AND(C108="Contacted",_xlfn.MAXIFS(Interactions!$A$3:$A$502,Interactions!$B$3:$B$502,A108,Interactions!$F$3:$F$502,"Sent by us")&gt;0,_xlfn.MAXIFS(Interactions!$A$3:$A$502,Interactions!$B$3:$B$502,A108,Interactions!$F$3:$F$502,"Sent by us")&lt;=S_Today-S_NoReplyDays,MAX(_xlfn.MAXIFS(Interactions!$A$3:$A$502,Interactions!$B$3:$B$502,A108,Interactions!$F$3:$F$502,"Received from them"),_xlfn.MAXIFS(Interactions!$A$3:$A$502,Interactions!$B$3:$B$502,A108,Interactions!$F$3:$F$502,"Two-way"))&lt;_xlfn.MAXIFS(Interactions!$A$3:$A$502,Interactions!$B$3:$B$502,A108,Interactions!$F$3:$F$502,"Sent by us")),"No reply",IF(M108&lt;=S_Today+7,"Due this week","")))))))</f>
        <v/>
      </c>
      <c r="Z108" s="34" t="str">
        <f aca="false">IF(OR(A108="",Y108=""),"",IF(Y108="Renewal due",100000,IF(Y108="Overdue",200000,IF(Y108="No reply",300000,IF(Y108="Due this week",400000,500000))))+IF(Y108="Renewal due",P108-40000,IF(Y108="Missing next action",0,M108-40000))+ROW()/100000)</f>
        <v/>
      </c>
      <c r="AA108" s="32" t="str">
        <f aca="false">IF(A108="","",_xlfn.TEXTJOIN(", ",TRUE(),IF(AND(X108="Yes",D108=""),"No owner",IF(AND(D108&lt;&gt;"",COUNTIFS(R_TeamName,D108,R_TeamActive,"No")&gt;0),"Needs new owner","")),IF(AND(OR(C108="Proposal sent",C108="Negotiation"),H108="",I108="",K108=""),"Add package or proposed value",""),IF(AND(C108="Won",OR(P108="",V108="")),"Won needs renewal date and closed on",""),IF(AND(C108="Won",G108="Cash",J108=""),"Add agreed value",""),IF(AND(C108="Lost",OR(S108="",V108="")),"Lost needs reason and closed on",""),IF(AND(C108="Nurture",OR(T108="",U108="")),"Nurture needs reason and date","")))</f>
        <v/>
      </c>
      <c r="AB108" s="34" t="str">
        <f aca="false">IF(AND(C108="Won",V108&lt;&gt;"",V108&gt;=S_SemStart,V108&lt;=S_SemEnd),V108+ROW()/100000,"")</f>
        <v/>
      </c>
      <c r="AC108" s="34" t="str">
        <f aca="false">IF(AND(C108="Lost",V108&lt;&gt;"",V108&gt;=S_SemStart,V108&lt;=S_SemEnd),V108+ROW()/100000,"")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9"/>
      <c r="J109" s="29"/>
      <c r="K109" s="27"/>
      <c r="L109" s="27"/>
      <c r="M109" s="28"/>
      <c r="N109" s="28"/>
      <c r="O109" s="28"/>
      <c r="P109" s="28"/>
      <c r="Q109" s="27"/>
      <c r="R109" s="27"/>
      <c r="S109" s="27"/>
      <c r="T109" s="27"/>
      <c r="U109" s="28"/>
      <c r="V109" s="28"/>
      <c r="W109" s="27"/>
      <c r="X109" s="32" t="str">
        <f aca="false">IF(A109="","",IF(OR(C109="Planned",C109="Contacted",C109="Meeting",C109="Proposal sent",C109="Negotiation"),"Yes","No"))</f>
        <v/>
      </c>
      <c r="Y109" s="32" t="str">
        <f aca="false">IF(A109="","",IF(AND(C109="Won",P109&lt;&gt;"",P109&lt;=S_Today+S_RenewalDays,COUNTIFS($A$3:$A$502,A109,$F$3:$F$502,"Yes",$X$3:$X$502,"Yes")=0),"Renewal due",IF(X109&lt;&gt;"Yes","",IF(OR(L109="",M109=""),"Missing next action",IF(M109&lt;S_Today,"Overdue",IF(AND(C109="Contacted",_xlfn.MAXIFS(Interactions!$A$3:$A$502,Interactions!$B$3:$B$502,A109,Interactions!$F$3:$F$502,"Sent by us")&gt;0,_xlfn.MAXIFS(Interactions!$A$3:$A$502,Interactions!$B$3:$B$502,A109,Interactions!$F$3:$F$502,"Sent by us")&lt;=S_Today-S_NoReplyDays,MAX(_xlfn.MAXIFS(Interactions!$A$3:$A$502,Interactions!$B$3:$B$502,A109,Interactions!$F$3:$F$502,"Received from them"),_xlfn.MAXIFS(Interactions!$A$3:$A$502,Interactions!$B$3:$B$502,A109,Interactions!$F$3:$F$502,"Two-way"))&lt;_xlfn.MAXIFS(Interactions!$A$3:$A$502,Interactions!$B$3:$B$502,A109,Interactions!$F$3:$F$502,"Sent by us")),"No reply",IF(M109&lt;=S_Today+7,"Due this week","")))))))</f>
        <v/>
      </c>
      <c r="Z109" s="34" t="str">
        <f aca="false">IF(OR(A109="",Y109=""),"",IF(Y109="Renewal due",100000,IF(Y109="Overdue",200000,IF(Y109="No reply",300000,IF(Y109="Due this week",400000,500000))))+IF(Y109="Renewal due",P109-40000,IF(Y109="Missing next action",0,M109-40000))+ROW()/100000)</f>
        <v/>
      </c>
      <c r="AA109" s="32" t="str">
        <f aca="false">IF(A109="","",_xlfn.TEXTJOIN(", ",TRUE(),IF(AND(X109="Yes",D109=""),"No owner",IF(AND(D109&lt;&gt;"",COUNTIFS(R_TeamName,D109,R_TeamActive,"No")&gt;0),"Needs new owner","")),IF(AND(OR(C109="Proposal sent",C109="Negotiation"),H109="",I109="",K109=""),"Add package or proposed value",""),IF(AND(C109="Won",OR(P109="",V109="")),"Won needs renewal date and closed on",""),IF(AND(C109="Won",G109="Cash",J109=""),"Add agreed value",""),IF(AND(C109="Lost",OR(S109="",V109="")),"Lost needs reason and closed on",""),IF(AND(C109="Nurture",OR(T109="",U109="")),"Nurture needs reason and date","")))</f>
        <v/>
      </c>
      <c r="AB109" s="34" t="str">
        <f aca="false">IF(AND(C109="Won",V109&lt;&gt;"",V109&gt;=S_SemStart,V109&lt;=S_SemEnd),V109+ROW()/100000,"")</f>
        <v/>
      </c>
      <c r="AC109" s="34" t="str">
        <f aca="false">IF(AND(C109="Lost",V109&lt;&gt;"",V109&gt;=S_SemStart,V109&lt;=S_SemEnd),V109+ROW()/100000,"")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9"/>
      <c r="J110" s="29"/>
      <c r="K110" s="27"/>
      <c r="L110" s="27"/>
      <c r="M110" s="28"/>
      <c r="N110" s="28"/>
      <c r="O110" s="28"/>
      <c r="P110" s="28"/>
      <c r="Q110" s="27"/>
      <c r="R110" s="27"/>
      <c r="S110" s="27"/>
      <c r="T110" s="27"/>
      <c r="U110" s="28"/>
      <c r="V110" s="28"/>
      <c r="W110" s="27"/>
      <c r="X110" s="32" t="str">
        <f aca="false">IF(A110="","",IF(OR(C110="Planned",C110="Contacted",C110="Meeting",C110="Proposal sent",C110="Negotiation"),"Yes","No"))</f>
        <v/>
      </c>
      <c r="Y110" s="32" t="str">
        <f aca="false">IF(A110="","",IF(AND(C110="Won",P110&lt;&gt;"",P110&lt;=S_Today+S_RenewalDays,COUNTIFS($A$3:$A$502,A110,$F$3:$F$502,"Yes",$X$3:$X$502,"Yes")=0),"Renewal due",IF(X110&lt;&gt;"Yes","",IF(OR(L110="",M110=""),"Missing next action",IF(M110&lt;S_Today,"Overdue",IF(AND(C110="Contacted",_xlfn.MAXIFS(Interactions!$A$3:$A$502,Interactions!$B$3:$B$502,A110,Interactions!$F$3:$F$502,"Sent by us")&gt;0,_xlfn.MAXIFS(Interactions!$A$3:$A$502,Interactions!$B$3:$B$502,A110,Interactions!$F$3:$F$502,"Sent by us")&lt;=S_Today-S_NoReplyDays,MAX(_xlfn.MAXIFS(Interactions!$A$3:$A$502,Interactions!$B$3:$B$502,A110,Interactions!$F$3:$F$502,"Received from them"),_xlfn.MAXIFS(Interactions!$A$3:$A$502,Interactions!$B$3:$B$502,A110,Interactions!$F$3:$F$502,"Two-way"))&lt;_xlfn.MAXIFS(Interactions!$A$3:$A$502,Interactions!$B$3:$B$502,A110,Interactions!$F$3:$F$502,"Sent by us")),"No reply",IF(M110&lt;=S_Today+7,"Due this week","")))))))</f>
        <v/>
      </c>
      <c r="Z110" s="34" t="str">
        <f aca="false">IF(OR(A110="",Y110=""),"",IF(Y110="Renewal due",100000,IF(Y110="Overdue",200000,IF(Y110="No reply",300000,IF(Y110="Due this week",400000,500000))))+IF(Y110="Renewal due",P110-40000,IF(Y110="Missing next action",0,M110-40000))+ROW()/100000)</f>
        <v/>
      </c>
      <c r="AA110" s="32" t="str">
        <f aca="false">IF(A110="","",_xlfn.TEXTJOIN(", ",TRUE(),IF(AND(X110="Yes",D110=""),"No owner",IF(AND(D110&lt;&gt;"",COUNTIFS(R_TeamName,D110,R_TeamActive,"No")&gt;0),"Needs new owner","")),IF(AND(OR(C110="Proposal sent",C110="Negotiation"),H110="",I110="",K110=""),"Add package or proposed value",""),IF(AND(C110="Won",OR(P110="",V110="")),"Won needs renewal date and closed on",""),IF(AND(C110="Won",G110="Cash",J110=""),"Add agreed value",""),IF(AND(C110="Lost",OR(S110="",V110="")),"Lost needs reason and closed on",""),IF(AND(C110="Nurture",OR(T110="",U110="")),"Nurture needs reason and date","")))</f>
        <v/>
      </c>
      <c r="AB110" s="34" t="str">
        <f aca="false">IF(AND(C110="Won",V110&lt;&gt;"",V110&gt;=S_SemStart,V110&lt;=S_SemEnd),V110+ROW()/100000,"")</f>
        <v/>
      </c>
      <c r="AC110" s="34" t="str">
        <f aca="false">IF(AND(C110="Lost",V110&lt;&gt;"",V110&gt;=S_SemStart,V110&lt;=S_SemEnd),V110+ROW()/100000,"")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9"/>
      <c r="J111" s="29"/>
      <c r="K111" s="27"/>
      <c r="L111" s="27"/>
      <c r="M111" s="28"/>
      <c r="N111" s="28"/>
      <c r="O111" s="28"/>
      <c r="P111" s="28"/>
      <c r="Q111" s="27"/>
      <c r="R111" s="27"/>
      <c r="S111" s="27"/>
      <c r="T111" s="27"/>
      <c r="U111" s="28"/>
      <c r="V111" s="28"/>
      <c r="W111" s="27"/>
      <c r="X111" s="32" t="str">
        <f aca="false">IF(A111="","",IF(OR(C111="Planned",C111="Contacted",C111="Meeting",C111="Proposal sent",C111="Negotiation"),"Yes","No"))</f>
        <v/>
      </c>
      <c r="Y111" s="32" t="str">
        <f aca="false">IF(A111="","",IF(AND(C111="Won",P111&lt;&gt;"",P111&lt;=S_Today+S_RenewalDays,COUNTIFS($A$3:$A$502,A111,$F$3:$F$502,"Yes",$X$3:$X$502,"Yes")=0),"Renewal due",IF(X111&lt;&gt;"Yes","",IF(OR(L111="",M111=""),"Missing next action",IF(M111&lt;S_Today,"Overdue",IF(AND(C111="Contacted",_xlfn.MAXIFS(Interactions!$A$3:$A$502,Interactions!$B$3:$B$502,A111,Interactions!$F$3:$F$502,"Sent by us")&gt;0,_xlfn.MAXIFS(Interactions!$A$3:$A$502,Interactions!$B$3:$B$502,A111,Interactions!$F$3:$F$502,"Sent by us")&lt;=S_Today-S_NoReplyDays,MAX(_xlfn.MAXIFS(Interactions!$A$3:$A$502,Interactions!$B$3:$B$502,A111,Interactions!$F$3:$F$502,"Received from them"),_xlfn.MAXIFS(Interactions!$A$3:$A$502,Interactions!$B$3:$B$502,A111,Interactions!$F$3:$F$502,"Two-way"))&lt;_xlfn.MAXIFS(Interactions!$A$3:$A$502,Interactions!$B$3:$B$502,A111,Interactions!$F$3:$F$502,"Sent by us")),"No reply",IF(M111&lt;=S_Today+7,"Due this week","")))))))</f>
        <v/>
      </c>
      <c r="Z111" s="34" t="str">
        <f aca="false">IF(OR(A111="",Y111=""),"",IF(Y111="Renewal due",100000,IF(Y111="Overdue",200000,IF(Y111="No reply",300000,IF(Y111="Due this week",400000,500000))))+IF(Y111="Renewal due",P111-40000,IF(Y111="Missing next action",0,M111-40000))+ROW()/100000)</f>
        <v/>
      </c>
      <c r="AA111" s="32" t="str">
        <f aca="false">IF(A111="","",_xlfn.TEXTJOIN(", ",TRUE(),IF(AND(X111="Yes",D111=""),"No owner",IF(AND(D111&lt;&gt;"",COUNTIFS(R_TeamName,D111,R_TeamActive,"No")&gt;0),"Needs new owner","")),IF(AND(OR(C111="Proposal sent",C111="Negotiation"),H111="",I111="",K111=""),"Add package or proposed value",""),IF(AND(C111="Won",OR(P111="",V111="")),"Won needs renewal date and closed on",""),IF(AND(C111="Won",G111="Cash",J111=""),"Add agreed value",""),IF(AND(C111="Lost",OR(S111="",V111="")),"Lost needs reason and closed on",""),IF(AND(C111="Nurture",OR(T111="",U111="")),"Nurture needs reason and date","")))</f>
        <v/>
      </c>
      <c r="AB111" s="34" t="str">
        <f aca="false">IF(AND(C111="Won",V111&lt;&gt;"",V111&gt;=S_SemStart,V111&lt;=S_SemEnd),V111+ROW()/100000,"")</f>
        <v/>
      </c>
      <c r="AC111" s="34" t="str">
        <f aca="false">IF(AND(C111="Lost",V111&lt;&gt;"",V111&gt;=S_SemStart,V111&lt;=S_SemEnd),V111+ROW()/100000,"")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9"/>
      <c r="J112" s="29"/>
      <c r="K112" s="27"/>
      <c r="L112" s="27"/>
      <c r="M112" s="28"/>
      <c r="N112" s="28"/>
      <c r="O112" s="28"/>
      <c r="P112" s="28"/>
      <c r="Q112" s="27"/>
      <c r="R112" s="27"/>
      <c r="S112" s="27"/>
      <c r="T112" s="27"/>
      <c r="U112" s="28"/>
      <c r="V112" s="28"/>
      <c r="W112" s="27"/>
      <c r="X112" s="32" t="str">
        <f aca="false">IF(A112="","",IF(OR(C112="Planned",C112="Contacted",C112="Meeting",C112="Proposal sent",C112="Negotiation"),"Yes","No"))</f>
        <v/>
      </c>
      <c r="Y112" s="32" t="str">
        <f aca="false">IF(A112="","",IF(AND(C112="Won",P112&lt;&gt;"",P112&lt;=S_Today+S_RenewalDays,COUNTIFS($A$3:$A$502,A112,$F$3:$F$502,"Yes",$X$3:$X$502,"Yes")=0),"Renewal due",IF(X112&lt;&gt;"Yes","",IF(OR(L112="",M112=""),"Missing next action",IF(M112&lt;S_Today,"Overdue",IF(AND(C112="Contacted",_xlfn.MAXIFS(Interactions!$A$3:$A$502,Interactions!$B$3:$B$502,A112,Interactions!$F$3:$F$502,"Sent by us")&gt;0,_xlfn.MAXIFS(Interactions!$A$3:$A$502,Interactions!$B$3:$B$502,A112,Interactions!$F$3:$F$502,"Sent by us")&lt;=S_Today-S_NoReplyDays,MAX(_xlfn.MAXIFS(Interactions!$A$3:$A$502,Interactions!$B$3:$B$502,A112,Interactions!$F$3:$F$502,"Received from them"),_xlfn.MAXIFS(Interactions!$A$3:$A$502,Interactions!$B$3:$B$502,A112,Interactions!$F$3:$F$502,"Two-way"))&lt;_xlfn.MAXIFS(Interactions!$A$3:$A$502,Interactions!$B$3:$B$502,A112,Interactions!$F$3:$F$502,"Sent by us")),"No reply",IF(M112&lt;=S_Today+7,"Due this week","")))))))</f>
        <v/>
      </c>
      <c r="Z112" s="34" t="str">
        <f aca="false">IF(OR(A112="",Y112=""),"",IF(Y112="Renewal due",100000,IF(Y112="Overdue",200000,IF(Y112="No reply",300000,IF(Y112="Due this week",400000,500000))))+IF(Y112="Renewal due",P112-40000,IF(Y112="Missing next action",0,M112-40000))+ROW()/100000)</f>
        <v/>
      </c>
      <c r="AA112" s="32" t="str">
        <f aca="false">IF(A112="","",_xlfn.TEXTJOIN(", ",TRUE(),IF(AND(X112="Yes",D112=""),"No owner",IF(AND(D112&lt;&gt;"",COUNTIFS(R_TeamName,D112,R_TeamActive,"No")&gt;0),"Needs new owner","")),IF(AND(OR(C112="Proposal sent",C112="Negotiation"),H112="",I112="",K112=""),"Add package or proposed value",""),IF(AND(C112="Won",OR(P112="",V112="")),"Won needs renewal date and closed on",""),IF(AND(C112="Won",G112="Cash",J112=""),"Add agreed value",""),IF(AND(C112="Lost",OR(S112="",V112="")),"Lost needs reason and closed on",""),IF(AND(C112="Nurture",OR(T112="",U112="")),"Nurture needs reason and date","")))</f>
        <v/>
      </c>
      <c r="AB112" s="34" t="str">
        <f aca="false">IF(AND(C112="Won",V112&lt;&gt;"",V112&gt;=S_SemStart,V112&lt;=S_SemEnd),V112+ROW()/100000,"")</f>
        <v/>
      </c>
      <c r="AC112" s="34" t="str">
        <f aca="false">IF(AND(C112="Lost",V112&lt;&gt;"",V112&gt;=S_SemStart,V112&lt;=S_SemEnd),V112+ROW()/100000,"")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9"/>
      <c r="J113" s="29"/>
      <c r="K113" s="27"/>
      <c r="L113" s="27"/>
      <c r="M113" s="28"/>
      <c r="N113" s="28"/>
      <c r="O113" s="28"/>
      <c r="P113" s="28"/>
      <c r="Q113" s="27"/>
      <c r="R113" s="27"/>
      <c r="S113" s="27"/>
      <c r="T113" s="27"/>
      <c r="U113" s="28"/>
      <c r="V113" s="28"/>
      <c r="W113" s="27"/>
      <c r="X113" s="32" t="str">
        <f aca="false">IF(A113="","",IF(OR(C113="Planned",C113="Contacted",C113="Meeting",C113="Proposal sent",C113="Negotiation"),"Yes","No"))</f>
        <v/>
      </c>
      <c r="Y113" s="32" t="str">
        <f aca="false">IF(A113="","",IF(AND(C113="Won",P113&lt;&gt;"",P113&lt;=S_Today+S_RenewalDays,COUNTIFS($A$3:$A$502,A113,$F$3:$F$502,"Yes",$X$3:$X$502,"Yes")=0),"Renewal due",IF(X113&lt;&gt;"Yes","",IF(OR(L113="",M113=""),"Missing next action",IF(M113&lt;S_Today,"Overdue",IF(AND(C113="Contacted",_xlfn.MAXIFS(Interactions!$A$3:$A$502,Interactions!$B$3:$B$502,A113,Interactions!$F$3:$F$502,"Sent by us")&gt;0,_xlfn.MAXIFS(Interactions!$A$3:$A$502,Interactions!$B$3:$B$502,A113,Interactions!$F$3:$F$502,"Sent by us")&lt;=S_Today-S_NoReplyDays,MAX(_xlfn.MAXIFS(Interactions!$A$3:$A$502,Interactions!$B$3:$B$502,A113,Interactions!$F$3:$F$502,"Received from them"),_xlfn.MAXIFS(Interactions!$A$3:$A$502,Interactions!$B$3:$B$502,A113,Interactions!$F$3:$F$502,"Two-way"))&lt;_xlfn.MAXIFS(Interactions!$A$3:$A$502,Interactions!$B$3:$B$502,A113,Interactions!$F$3:$F$502,"Sent by us")),"No reply",IF(M113&lt;=S_Today+7,"Due this week","")))))))</f>
        <v/>
      </c>
      <c r="Z113" s="34" t="str">
        <f aca="false">IF(OR(A113="",Y113=""),"",IF(Y113="Renewal due",100000,IF(Y113="Overdue",200000,IF(Y113="No reply",300000,IF(Y113="Due this week",400000,500000))))+IF(Y113="Renewal due",P113-40000,IF(Y113="Missing next action",0,M113-40000))+ROW()/100000)</f>
        <v/>
      </c>
      <c r="AA113" s="32" t="str">
        <f aca="false">IF(A113="","",_xlfn.TEXTJOIN(", ",TRUE(),IF(AND(X113="Yes",D113=""),"No owner",IF(AND(D113&lt;&gt;"",COUNTIFS(R_TeamName,D113,R_TeamActive,"No")&gt;0),"Needs new owner","")),IF(AND(OR(C113="Proposal sent",C113="Negotiation"),H113="",I113="",K113=""),"Add package or proposed value",""),IF(AND(C113="Won",OR(P113="",V113="")),"Won needs renewal date and closed on",""),IF(AND(C113="Won",G113="Cash",J113=""),"Add agreed value",""),IF(AND(C113="Lost",OR(S113="",V113="")),"Lost needs reason and closed on",""),IF(AND(C113="Nurture",OR(T113="",U113="")),"Nurture needs reason and date","")))</f>
        <v/>
      </c>
      <c r="AB113" s="34" t="str">
        <f aca="false">IF(AND(C113="Won",V113&lt;&gt;"",V113&gt;=S_SemStart,V113&lt;=S_SemEnd),V113+ROW()/100000,"")</f>
        <v/>
      </c>
      <c r="AC113" s="34" t="str">
        <f aca="false">IF(AND(C113="Lost",V113&lt;&gt;"",V113&gt;=S_SemStart,V113&lt;=S_SemEnd),V113+ROW()/100000,"")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9"/>
      <c r="J114" s="29"/>
      <c r="K114" s="27"/>
      <c r="L114" s="27"/>
      <c r="M114" s="28"/>
      <c r="N114" s="28"/>
      <c r="O114" s="28"/>
      <c r="P114" s="28"/>
      <c r="Q114" s="27"/>
      <c r="R114" s="27"/>
      <c r="S114" s="27"/>
      <c r="T114" s="27"/>
      <c r="U114" s="28"/>
      <c r="V114" s="28"/>
      <c r="W114" s="27"/>
      <c r="X114" s="32" t="str">
        <f aca="false">IF(A114="","",IF(OR(C114="Planned",C114="Contacted",C114="Meeting",C114="Proposal sent",C114="Negotiation"),"Yes","No"))</f>
        <v/>
      </c>
      <c r="Y114" s="32" t="str">
        <f aca="false">IF(A114="","",IF(AND(C114="Won",P114&lt;&gt;"",P114&lt;=S_Today+S_RenewalDays,COUNTIFS($A$3:$A$502,A114,$F$3:$F$502,"Yes",$X$3:$X$502,"Yes")=0),"Renewal due",IF(X114&lt;&gt;"Yes","",IF(OR(L114="",M114=""),"Missing next action",IF(M114&lt;S_Today,"Overdue",IF(AND(C114="Contacted",_xlfn.MAXIFS(Interactions!$A$3:$A$502,Interactions!$B$3:$B$502,A114,Interactions!$F$3:$F$502,"Sent by us")&gt;0,_xlfn.MAXIFS(Interactions!$A$3:$A$502,Interactions!$B$3:$B$502,A114,Interactions!$F$3:$F$502,"Sent by us")&lt;=S_Today-S_NoReplyDays,MAX(_xlfn.MAXIFS(Interactions!$A$3:$A$502,Interactions!$B$3:$B$502,A114,Interactions!$F$3:$F$502,"Received from them"),_xlfn.MAXIFS(Interactions!$A$3:$A$502,Interactions!$B$3:$B$502,A114,Interactions!$F$3:$F$502,"Two-way"))&lt;_xlfn.MAXIFS(Interactions!$A$3:$A$502,Interactions!$B$3:$B$502,A114,Interactions!$F$3:$F$502,"Sent by us")),"No reply",IF(M114&lt;=S_Today+7,"Due this week","")))))))</f>
        <v/>
      </c>
      <c r="Z114" s="34" t="str">
        <f aca="false">IF(OR(A114="",Y114=""),"",IF(Y114="Renewal due",100000,IF(Y114="Overdue",200000,IF(Y114="No reply",300000,IF(Y114="Due this week",400000,500000))))+IF(Y114="Renewal due",P114-40000,IF(Y114="Missing next action",0,M114-40000))+ROW()/100000)</f>
        <v/>
      </c>
      <c r="AA114" s="32" t="str">
        <f aca="false">IF(A114="","",_xlfn.TEXTJOIN(", ",TRUE(),IF(AND(X114="Yes",D114=""),"No owner",IF(AND(D114&lt;&gt;"",COUNTIFS(R_TeamName,D114,R_TeamActive,"No")&gt;0),"Needs new owner","")),IF(AND(OR(C114="Proposal sent",C114="Negotiation"),H114="",I114="",K114=""),"Add package or proposed value",""),IF(AND(C114="Won",OR(P114="",V114="")),"Won needs renewal date and closed on",""),IF(AND(C114="Won",G114="Cash",J114=""),"Add agreed value",""),IF(AND(C114="Lost",OR(S114="",V114="")),"Lost needs reason and closed on",""),IF(AND(C114="Nurture",OR(T114="",U114="")),"Nurture needs reason and date","")))</f>
        <v/>
      </c>
      <c r="AB114" s="34" t="str">
        <f aca="false">IF(AND(C114="Won",V114&lt;&gt;"",V114&gt;=S_SemStart,V114&lt;=S_SemEnd),V114+ROW()/100000,"")</f>
        <v/>
      </c>
      <c r="AC114" s="34" t="str">
        <f aca="false">IF(AND(C114="Lost",V114&lt;&gt;"",V114&gt;=S_SemStart,V114&lt;=S_SemEnd),V114+ROW()/100000,"")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9"/>
      <c r="J115" s="29"/>
      <c r="K115" s="27"/>
      <c r="L115" s="27"/>
      <c r="M115" s="28"/>
      <c r="N115" s="28"/>
      <c r="O115" s="28"/>
      <c r="P115" s="28"/>
      <c r="Q115" s="27"/>
      <c r="R115" s="27"/>
      <c r="S115" s="27"/>
      <c r="T115" s="27"/>
      <c r="U115" s="28"/>
      <c r="V115" s="28"/>
      <c r="W115" s="27"/>
      <c r="X115" s="32" t="str">
        <f aca="false">IF(A115="","",IF(OR(C115="Planned",C115="Contacted",C115="Meeting",C115="Proposal sent",C115="Negotiation"),"Yes","No"))</f>
        <v/>
      </c>
      <c r="Y115" s="32" t="str">
        <f aca="false">IF(A115="","",IF(AND(C115="Won",P115&lt;&gt;"",P115&lt;=S_Today+S_RenewalDays,COUNTIFS($A$3:$A$502,A115,$F$3:$F$502,"Yes",$X$3:$X$502,"Yes")=0),"Renewal due",IF(X115&lt;&gt;"Yes","",IF(OR(L115="",M115=""),"Missing next action",IF(M115&lt;S_Today,"Overdue",IF(AND(C115="Contacted",_xlfn.MAXIFS(Interactions!$A$3:$A$502,Interactions!$B$3:$B$502,A115,Interactions!$F$3:$F$502,"Sent by us")&gt;0,_xlfn.MAXIFS(Interactions!$A$3:$A$502,Interactions!$B$3:$B$502,A115,Interactions!$F$3:$F$502,"Sent by us")&lt;=S_Today-S_NoReplyDays,MAX(_xlfn.MAXIFS(Interactions!$A$3:$A$502,Interactions!$B$3:$B$502,A115,Interactions!$F$3:$F$502,"Received from them"),_xlfn.MAXIFS(Interactions!$A$3:$A$502,Interactions!$B$3:$B$502,A115,Interactions!$F$3:$F$502,"Two-way"))&lt;_xlfn.MAXIFS(Interactions!$A$3:$A$502,Interactions!$B$3:$B$502,A115,Interactions!$F$3:$F$502,"Sent by us")),"No reply",IF(M115&lt;=S_Today+7,"Due this week","")))))))</f>
        <v/>
      </c>
      <c r="Z115" s="34" t="str">
        <f aca="false">IF(OR(A115="",Y115=""),"",IF(Y115="Renewal due",100000,IF(Y115="Overdue",200000,IF(Y115="No reply",300000,IF(Y115="Due this week",400000,500000))))+IF(Y115="Renewal due",P115-40000,IF(Y115="Missing next action",0,M115-40000))+ROW()/100000)</f>
        <v/>
      </c>
      <c r="AA115" s="32" t="str">
        <f aca="false">IF(A115="","",_xlfn.TEXTJOIN(", ",TRUE(),IF(AND(X115="Yes",D115=""),"No owner",IF(AND(D115&lt;&gt;"",COUNTIFS(R_TeamName,D115,R_TeamActive,"No")&gt;0),"Needs new owner","")),IF(AND(OR(C115="Proposal sent",C115="Negotiation"),H115="",I115="",K115=""),"Add package or proposed value",""),IF(AND(C115="Won",OR(P115="",V115="")),"Won needs renewal date and closed on",""),IF(AND(C115="Won",G115="Cash",J115=""),"Add agreed value",""),IF(AND(C115="Lost",OR(S115="",V115="")),"Lost needs reason and closed on",""),IF(AND(C115="Nurture",OR(T115="",U115="")),"Nurture needs reason and date","")))</f>
        <v/>
      </c>
      <c r="AB115" s="34" t="str">
        <f aca="false">IF(AND(C115="Won",V115&lt;&gt;"",V115&gt;=S_SemStart,V115&lt;=S_SemEnd),V115+ROW()/100000,"")</f>
        <v/>
      </c>
      <c r="AC115" s="34" t="str">
        <f aca="false">IF(AND(C115="Lost",V115&lt;&gt;"",V115&gt;=S_SemStart,V115&lt;=S_SemEnd),V115+ROW()/100000,"")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9"/>
      <c r="J116" s="29"/>
      <c r="K116" s="27"/>
      <c r="L116" s="27"/>
      <c r="M116" s="28"/>
      <c r="N116" s="28"/>
      <c r="O116" s="28"/>
      <c r="P116" s="28"/>
      <c r="Q116" s="27"/>
      <c r="R116" s="27"/>
      <c r="S116" s="27"/>
      <c r="T116" s="27"/>
      <c r="U116" s="28"/>
      <c r="V116" s="28"/>
      <c r="W116" s="27"/>
      <c r="X116" s="32" t="str">
        <f aca="false">IF(A116="","",IF(OR(C116="Planned",C116="Contacted",C116="Meeting",C116="Proposal sent",C116="Negotiation"),"Yes","No"))</f>
        <v/>
      </c>
      <c r="Y116" s="32" t="str">
        <f aca="false">IF(A116="","",IF(AND(C116="Won",P116&lt;&gt;"",P116&lt;=S_Today+S_RenewalDays,COUNTIFS($A$3:$A$502,A116,$F$3:$F$502,"Yes",$X$3:$X$502,"Yes")=0),"Renewal due",IF(X116&lt;&gt;"Yes","",IF(OR(L116="",M116=""),"Missing next action",IF(M116&lt;S_Today,"Overdue",IF(AND(C116="Contacted",_xlfn.MAXIFS(Interactions!$A$3:$A$502,Interactions!$B$3:$B$502,A116,Interactions!$F$3:$F$502,"Sent by us")&gt;0,_xlfn.MAXIFS(Interactions!$A$3:$A$502,Interactions!$B$3:$B$502,A116,Interactions!$F$3:$F$502,"Sent by us")&lt;=S_Today-S_NoReplyDays,MAX(_xlfn.MAXIFS(Interactions!$A$3:$A$502,Interactions!$B$3:$B$502,A116,Interactions!$F$3:$F$502,"Received from them"),_xlfn.MAXIFS(Interactions!$A$3:$A$502,Interactions!$B$3:$B$502,A116,Interactions!$F$3:$F$502,"Two-way"))&lt;_xlfn.MAXIFS(Interactions!$A$3:$A$502,Interactions!$B$3:$B$502,A116,Interactions!$F$3:$F$502,"Sent by us")),"No reply",IF(M116&lt;=S_Today+7,"Due this week","")))))))</f>
        <v/>
      </c>
      <c r="Z116" s="34" t="str">
        <f aca="false">IF(OR(A116="",Y116=""),"",IF(Y116="Renewal due",100000,IF(Y116="Overdue",200000,IF(Y116="No reply",300000,IF(Y116="Due this week",400000,500000))))+IF(Y116="Renewal due",P116-40000,IF(Y116="Missing next action",0,M116-40000))+ROW()/100000)</f>
        <v/>
      </c>
      <c r="AA116" s="32" t="str">
        <f aca="false">IF(A116="","",_xlfn.TEXTJOIN(", ",TRUE(),IF(AND(X116="Yes",D116=""),"No owner",IF(AND(D116&lt;&gt;"",COUNTIFS(R_TeamName,D116,R_TeamActive,"No")&gt;0),"Needs new owner","")),IF(AND(OR(C116="Proposal sent",C116="Negotiation"),H116="",I116="",K116=""),"Add package or proposed value",""),IF(AND(C116="Won",OR(P116="",V116="")),"Won needs renewal date and closed on",""),IF(AND(C116="Won",G116="Cash",J116=""),"Add agreed value",""),IF(AND(C116="Lost",OR(S116="",V116="")),"Lost needs reason and closed on",""),IF(AND(C116="Nurture",OR(T116="",U116="")),"Nurture needs reason and date","")))</f>
        <v/>
      </c>
      <c r="AB116" s="34" t="str">
        <f aca="false">IF(AND(C116="Won",V116&lt;&gt;"",V116&gt;=S_SemStart,V116&lt;=S_SemEnd),V116+ROW()/100000,"")</f>
        <v/>
      </c>
      <c r="AC116" s="34" t="str">
        <f aca="false">IF(AND(C116="Lost",V116&lt;&gt;"",V116&gt;=S_SemStart,V116&lt;=S_SemEnd),V116+ROW()/100000,"")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9"/>
      <c r="J117" s="29"/>
      <c r="K117" s="27"/>
      <c r="L117" s="27"/>
      <c r="M117" s="28"/>
      <c r="N117" s="28"/>
      <c r="O117" s="28"/>
      <c r="P117" s="28"/>
      <c r="Q117" s="27"/>
      <c r="R117" s="27"/>
      <c r="S117" s="27"/>
      <c r="T117" s="27"/>
      <c r="U117" s="28"/>
      <c r="V117" s="28"/>
      <c r="W117" s="27"/>
      <c r="X117" s="32" t="str">
        <f aca="false">IF(A117="","",IF(OR(C117="Planned",C117="Contacted",C117="Meeting",C117="Proposal sent",C117="Negotiation"),"Yes","No"))</f>
        <v/>
      </c>
      <c r="Y117" s="32" t="str">
        <f aca="false">IF(A117="","",IF(AND(C117="Won",P117&lt;&gt;"",P117&lt;=S_Today+S_RenewalDays,COUNTIFS($A$3:$A$502,A117,$F$3:$F$502,"Yes",$X$3:$X$502,"Yes")=0),"Renewal due",IF(X117&lt;&gt;"Yes","",IF(OR(L117="",M117=""),"Missing next action",IF(M117&lt;S_Today,"Overdue",IF(AND(C117="Contacted",_xlfn.MAXIFS(Interactions!$A$3:$A$502,Interactions!$B$3:$B$502,A117,Interactions!$F$3:$F$502,"Sent by us")&gt;0,_xlfn.MAXIFS(Interactions!$A$3:$A$502,Interactions!$B$3:$B$502,A117,Interactions!$F$3:$F$502,"Sent by us")&lt;=S_Today-S_NoReplyDays,MAX(_xlfn.MAXIFS(Interactions!$A$3:$A$502,Interactions!$B$3:$B$502,A117,Interactions!$F$3:$F$502,"Received from them"),_xlfn.MAXIFS(Interactions!$A$3:$A$502,Interactions!$B$3:$B$502,A117,Interactions!$F$3:$F$502,"Two-way"))&lt;_xlfn.MAXIFS(Interactions!$A$3:$A$502,Interactions!$B$3:$B$502,A117,Interactions!$F$3:$F$502,"Sent by us")),"No reply",IF(M117&lt;=S_Today+7,"Due this week","")))))))</f>
        <v/>
      </c>
      <c r="Z117" s="34" t="str">
        <f aca="false">IF(OR(A117="",Y117=""),"",IF(Y117="Renewal due",100000,IF(Y117="Overdue",200000,IF(Y117="No reply",300000,IF(Y117="Due this week",400000,500000))))+IF(Y117="Renewal due",P117-40000,IF(Y117="Missing next action",0,M117-40000))+ROW()/100000)</f>
        <v/>
      </c>
      <c r="AA117" s="32" t="str">
        <f aca="false">IF(A117="","",_xlfn.TEXTJOIN(", ",TRUE(),IF(AND(X117="Yes",D117=""),"No owner",IF(AND(D117&lt;&gt;"",COUNTIFS(R_TeamName,D117,R_TeamActive,"No")&gt;0),"Needs new owner","")),IF(AND(OR(C117="Proposal sent",C117="Negotiation"),H117="",I117="",K117=""),"Add package or proposed value",""),IF(AND(C117="Won",OR(P117="",V117="")),"Won needs renewal date and closed on",""),IF(AND(C117="Won",G117="Cash",J117=""),"Add agreed value",""),IF(AND(C117="Lost",OR(S117="",V117="")),"Lost needs reason and closed on",""),IF(AND(C117="Nurture",OR(T117="",U117="")),"Nurture needs reason and date","")))</f>
        <v/>
      </c>
      <c r="AB117" s="34" t="str">
        <f aca="false">IF(AND(C117="Won",V117&lt;&gt;"",V117&gt;=S_SemStart,V117&lt;=S_SemEnd),V117+ROW()/100000,"")</f>
        <v/>
      </c>
      <c r="AC117" s="34" t="str">
        <f aca="false">IF(AND(C117="Lost",V117&lt;&gt;"",V117&gt;=S_SemStart,V117&lt;=S_SemEnd),V117+ROW()/100000,"")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9"/>
      <c r="J118" s="29"/>
      <c r="K118" s="27"/>
      <c r="L118" s="27"/>
      <c r="M118" s="28"/>
      <c r="N118" s="28"/>
      <c r="O118" s="28"/>
      <c r="P118" s="28"/>
      <c r="Q118" s="27"/>
      <c r="R118" s="27"/>
      <c r="S118" s="27"/>
      <c r="T118" s="27"/>
      <c r="U118" s="28"/>
      <c r="V118" s="28"/>
      <c r="W118" s="27"/>
      <c r="X118" s="32" t="str">
        <f aca="false">IF(A118="","",IF(OR(C118="Planned",C118="Contacted",C118="Meeting",C118="Proposal sent",C118="Negotiation"),"Yes","No"))</f>
        <v/>
      </c>
      <c r="Y118" s="32" t="str">
        <f aca="false">IF(A118="","",IF(AND(C118="Won",P118&lt;&gt;"",P118&lt;=S_Today+S_RenewalDays,COUNTIFS($A$3:$A$502,A118,$F$3:$F$502,"Yes",$X$3:$X$502,"Yes")=0),"Renewal due",IF(X118&lt;&gt;"Yes","",IF(OR(L118="",M118=""),"Missing next action",IF(M118&lt;S_Today,"Overdue",IF(AND(C118="Contacted",_xlfn.MAXIFS(Interactions!$A$3:$A$502,Interactions!$B$3:$B$502,A118,Interactions!$F$3:$F$502,"Sent by us")&gt;0,_xlfn.MAXIFS(Interactions!$A$3:$A$502,Interactions!$B$3:$B$502,A118,Interactions!$F$3:$F$502,"Sent by us")&lt;=S_Today-S_NoReplyDays,MAX(_xlfn.MAXIFS(Interactions!$A$3:$A$502,Interactions!$B$3:$B$502,A118,Interactions!$F$3:$F$502,"Received from them"),_xlfn.MAXIFS(Interactions!$A$3:$A$502,Interactions!$B$3:$B$502,A118,Interactions!$F$3:$F$502,"Two-way"))&lt;_xlfn.MAXIFS(Interactions!$A$3:$A$502,Interactions!$B$3:$B$502,A118,Interactions!$F$3:$F$502,"Sent by us")),"No reply",IF(M118&lt;=S_Today+7,"Due this week","")))))))</f>
        <v/>
      </c>
      <c r="Z118" s="34" t="str">
        <f aca="false">IF(OR(A118="",Y118=""),"",IF(Y118="Renewal due",100000,IF(Y118="Overdue",200000,IF(Y118="No reply",300000,IF(Y118="Due this week",400000,500000))))+IF(Y118="Renewal due",P118-40000,IF(Y118="Missing next action",0,M118-40000))+ROW()/100000)</f>
        <v/>
      </c>
      <c r="AA118" s="32" t="str">
        <f aca="false">IF(A118="","",_xlfn.TEXTJOIN(", ",TRUE(),IF(AND(X118="Yes",D118=""),"No owner",IF(AND(D118&lt;&gt;"",COUNTIFS(R_TeamName,D118,R_TeamActive,"No")&gt;0),"Needs new owner","")),IF(AND(OR(C118="Proposal sent",C118="Negotiation"),H118="",I118="",K118=""),"Add package or proposed value",""),IF(AND(C118="Won",OR(P118="",V118="")),"Won needs renewal date and closed on",""),IF(AND(C118="Won",G118="Cash",J118=""),"Add agreed value",""),IF(AND(C118="Lost",OR(S118="",V118="")),"Lost needs reason and closed on",""),IF(AND(C118="Nurture",OR(T118="",U118="")),"Nurture needs reason and date","")))</f>
        <v/>
      </c>
      <c r="AB118" s="34" t="str">
        <f aca="false">IF(AND(C118="Won",V118&lt;&gt;"",V118&gt;=S_SemStart,V118&lt;=S_SemEnd),V118+ROW()/100000,"")</f>
        <v/>
      </c>
      <c r="AC118" s="34" t="str">
        <f aca="false">IF(AND(C118="Lost",V118&lt;&gt;"",V118&gt;=S_SemStart,V118&lt;=S_SemEnd),V118+ROW()/100000,"")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9"/>
      <c r="J119" s="29"/>
      <c r="K119" s="27"/>
      <c r="L119" s="27"/>
      <c r="M119" s="28"/>
      <c r="N119" s="28"/>
      <c r="O119" s="28"/>
      <c r="P119" s="28"/>
      <c r="Q119" s="27"/>
      <c r="R119" s="27"/>
      <c r="S119" s="27"/>
      <c r="T119" s="27"/>
      <c r="U119" s="28"/>
      <c r="V119" s="28"/>
      <c r="W119" s="27"/>
      <c r="X119" s="32" t="str">
        <f aca="false">IF(A119="","",IF(OR(C119="Planned",C119="Contacted",C119="Meeting",C119="Proposal sent",C119="Negotiation"),"Yes","No"))</f>
        <v/>
      </c>
      <c r="Y119" s="32" t="str">
        <f aca="false">IF(A119="","",IF(AND(C119="Won",P119&lt;&gt;"",P119&lt;=S_Today+S_RenewalDays,COUNTIFS($A$3:$A$502,A119,$F$3:$F$502,"Yes",$X$3:$X$502,"Yes")=0),"Renewal due",IF(X119&lt;&gt;"Yes","",IF(OR(L119="",M119=""),"Missing next action",IF(M119&lt;S_Today,"Overdue",IF(AND(C119="Contacted",_xlfn.MAXIFS(Interactions!$A$3:$A$502,Interactions!$B$3:$B$502,A119,Interactions!$F$3:$F$502,"Sent by us")&gt;0,_xlfn.MAXIFS(Interactions!$A$3:$A$502,Interactions!$B$3:$B$502,A119,Interactions!$F$3:$F$502,"Sent by us")&lt;=S_Today-S_NoReplyDays,MAX(_xlfn.MAXIFS(Interactions!$A$3:$A$502,Interactions!$B$3:$B$502,A119,Interactions!$F$3:$F$502,"Received from them"),_xlfn.MAXIFS(Interactions!$A$3:$A$502,Interactions!$B$3:$B$502,A119,Interactions!$F$3:$F$502,"Two-way"))&lt;_xlfn.MAXIFS(Interactions!$A$3:$A$502,Interactions!$B$3:$B$502,A119,Interactions!$F$3:$F$502,"Sent by us")),"No reply",IF(M119&lt;=S_Today+7,"Due this week","")))))))</f>
        <v/>
      </c>
      <c r="Z119" s="34" t="str">
        <f aca="false">IF(OR(A119="",Y119=""),"",IF(Y119="Renewal due",100000,IF(Y119="Overdue",200000,IF(Y119="No reply",300000,IF(Y119="Due this week",400000,500000))))+IF(Y119="Renewal due",P119-40000,IF(Y119="Missing next action",0,M119-40000))+ROW()/100000)</f>
        <v/>
      </c>
      <c r="AA119" s="32" t="str">
        <f aca="false">IF(A119="","",_xlfn.TEXTJOIN(", ",TRUE(),IF(AND(X119="Yes",D119=""),"No owner",IF(AND(D119&lt;&gt;"",COUNTIFS(R_TeamName,D119,R_TeamActive,"No")&gt;0),"Needs new owner","")),IF(AND(OR(C119="Proposal sent",C119="Negotiation"),H119="",I119="",K119=""),"Add package or proposed value",""),IF(AND(C119="Won",OR(P119="",V119="")),"Won needs renewal date and closed on",""),IF(AND(C119="Won",G119="Cash",J119=""),"Add agreed value",""),IF(AND(C119="Lost",OR(S119="",V119="")),"Lost needs reason and closed on",""),IF(AND(C119="Nurture",OR(T119="",U119="")),"Nurture needs reason and date","")))</f>
        <v/>
      </c>
      <c r="AB119" s="34" t="str">
        <f aca="false">IF(AND(C119="Won",V119&lt;&gt;"",V119&gt;=S_SemStart,V119&lt;=S_SemEnd),V119+ROW()/100000,"")</f>
        <v/>
      </c>
      <c r="AC119" s="34" t="str">
        <f aca="false">IF(AND(C119="Lost",V119&lt;&gt;"",V119&gt;=S_SemStart,V119&lt;=S_SemEnd),V119+ROW()/100000,"")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9"/>
      <c r="J120" s="29"/>
      <c r="K120" s="27"/>
      <c r="L120" s="27"/>
      <c r="M120" s="28"/>
      <c r="N120" s="28"/>
      <c r="O120" s="28"/>
      <c r="P120" s="28"/>
      <c r="Q120" s="27"/>
      <c r="R120" s="27"/>
      <c r="S120" s="27"/>
      <c r="T120" s="27"/>
      <c r="U120" s="28"/>
      <c r="V120" s="28"/>
      <c r="W120" s="27"/>
      <c r="X120" s="32" t="str">
        <f aca="false">IF(A120="","",IF(OR(C120="Planned",C120="Contacted",C120="Meeting",C120="Proposal sent",C120="Negotiation"),"Yes","No"))</f>
        <v/>
      </c>
      <c r="Y120" s="32" t="str">
        <f aca="false">IF(A120="","",IF(AND(C120="Won",P120&lt;&gt;"",P120&lt;=S_Today+S_RenewalDays,COUNTIFS($A$3:$A$502,A120,$F$3:$F$502,"Yes",$X$3:$X$502,"Yes")=0),"Renewal due",IF(X120&lt;&gt;"Yes","",IF(OR(L120="",M120=""),"Missing next action",IF(M120&lt;S_Today,"Overdue",IF(AND(C120="Contacted",_xlfn.MAXIFS(Interactions!$A$3:$A$502,Interactions!$B$3:$B$502,A120,Interactions!$F$3:$F$502,"Sent by us")&gt;0,_xlfn.MAXIFS(Interactions!$A$3:$A$502,Interactions!$B$3:$B$502,A120,Interactions!$F$3:$F$502,"Sent by us")&lt;=S_Today-S_NoReplyDays,MAX(_xlfn.MAXIFS(Interactions!$A$3:$A$502,Interactions!$B$3:$B$502,A120,Interactions!$F$3:$F$502,"Received from them"),_xlfn.MAXIFS(Interactions!$A$3:$A$502,Interactions!$B$3:$B$502,A120,Interactions!$F$3:$F$502,"Two-way"))&lt;_xlfn.MAXIFS(Interactions!$A$3:$A$502,Interactions!$B$3:$B$502,A120,Interactions!$F$3:$F$502,"Sent by us")),"No reply",IF(M120&lt;=S_Today+7,"Due this week","")))))))</f>
        <v/>
      </c>
      <c r="Z120" s="34" t="str">
        <f aca="false">IF(OR(A120="",Y120=""),"",IF(Y120="Renewal due",100000,IF(Y120="Overdue",200000,IF(Y120="No reply",300000,IF(Y120="Due this week",400000,500000))))+IF(Y120="Renewal due",P120-40000,IF(Y120="Missing next action",0,M120-40000))+ROW()/100000)</f>
        <v/>
      </c>
      <c r="AA120" s="32" t="str">
        <f aca="false">IF(A120="","",_xlfn.TEXTJOIN(", ",TRUE(),IF(AND(X120="Yes",D120=""),"No owner",IF(AND(D120&lt;&gt;"",COUNTIFS(R_TeamName,D120,R_TeamActive,"No")&gt;0),"Needs new owner","")),IF(AND(OR(C120="Proposal sent",C120="Negotiation"),H120="",I120="",K120=""),"Add package or proposed value",""),IF(AND(C120="Won",OR(P120="",V120="")),"Won needs renewal date and closed on",""),IF(AND(C120="Won",G120="Cash",J120=""),"Add agreed value",""),IF(AND(C120="Lost",OR(S120="",V120="")),"Lost needs reason and closed on",""),IF(AND(C120="Nurture",OR(T120="",U120="")),"Nurture needs reason and date","")))</f>
        <v/>
      </c>
      <c r="AB120" s="34" t="str">
        <f aca="false">IF(AND(C120="Won",V120&lt;&gt;"",V120&gt;=S_SemStart,V120&lt;=S_SemEnd),V120+ROW()/100000,"")</f>
        <v/>
      </c>
      <c r="AC120" s="34" t="str">
        <f aca="false">IF(AND(C120="Lost",V120&lt;&gt;"",V120&gt;=S_SemStart,V120&lt;=S_SemEnd),V120+ROW()/100000,"")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9"/>
      <c r="J121" s="29"/>
      <c r="K121" s="27"/>
      <c r="L121" s="27"/>
      <c r="M121" s="28"/>
      <c r="N121" s="28"/>
      <c r="O121" s="28"/>
      <c r="P121" s="28"/>
      <c r="Q121" s="27"/>
      <c r="R121" s="27"/>
      <c r="S121" s="27"/>
      <c r="T121" s="27"/>
      <c r="U121" s="28"/>
      <c r="V121" s="28"/>
      <c r="W121" s="27"/>
      <c r="X121" s="32" t="str">
        <f aca="false">IF(A121="","",IF(OR(C121="Planned",C121="Contacted",C121="Meeting",C121="Proposal sent",C121="Negotiation"),"Yes","No"))</f>
        <v/>
      </c>
      <c r="Y121" s="32" t="str">
        <f aca="false">IF(A121="","",IF(AND(C121="Won",P121&lt;&gt;"",P121&lt;=S_Today+S_RenewalDays,COUNTIFS($A$3:$A$502,A121,$F$3:$F$502,"Yes",$X$3:$X$502,"Yes")=0),"Renewal due",IF(X121&lt;&gt;"Yes","",IF(OR(L121="",M121=""),"Missing next action",IF(M121&lt;S_Today,"Overdue",IF(AND(C121="Contacted",_xlfn.MAXIFS(Interactions!$A$3:$A$502,Interactions!$B$3:$B$502,A121,Interactions!$F$3:$F$502,"Sent by us")&gt;0,_xlfn.MAXIFS(Interactions!$A$3:$A$502,Interactions!$B$3:$B$502,A121,Interactions!$F$3:$F$502,"Sent by us")&lt;=S_Today-S_NoReplyDays,MAX(_xlfn.MAXIFS(Interactions!$A$3:$A$502,Interactions!$B$3:$B$502,A121,Interactions!$F$3:$F$502,"Received from them"),_xlfn.MAXIFS(Interactions!$A$3:$A$502,Interactions!$B$3:$B$502,A121,Interactions!$F$3:$F$502,"Two-way"))&lt;_xlfn.MAXIFS(Interactions!$A$3:$A$502,Interactions!$B$3:$B$502,A121,Interactions!$F$3:$F$502,"Sent by us")),"No reply",IF(M121&lt;=S_Today+7,"Due this week","")))))))</f>
        <v/>
      </c>
      <c r="Z121" s="34" t="str">
        <f aca="false">IF(OR(A121="",Y121=""),"",IF(Y121="Renewal due",100000,IF(Y121="Overdue",200000,IF(Y121="No reply",300000,IF(Y121="Due this week",400000,500000))))+IF(Y121="Renewal due",P121-40000,IF(Y121="Missing next action",0,M121-40000))+ROW()/100000)</f>
        <v/>
      </c>
      <c r="AA121" s="32" t="str">
        <f aca="false">IF(A121="","",_xlfn.TEXTJOIN(", ",TRUE(),IF(AND(X121="Yes",D121=""),"No owner",IF(AND(D121&lt;&gt;"",COUNTIFS(R_TeamName,D121,R_TeamActive,"No")&gt;0),"Needs new owner","")),IF(AND(OR(C121="Proposal sent",C121="Negotiation"),H121="",I121="",K121=""),"Add package or proposed value",""),IF(AND(C121="Won",OR(P121="",V121="")),"Won needs renewal date and closed on",""),IF(AND(C121="Won",G121="Cash",J121=""),"Add agreed value",""),IF(AND(C121="Lost",OR(S121="",V121="")),"Lost needs reason and closed on",""),IF(AND(C121="Nurture",OR(T121="",U121="")),"Nurture needs reason and date","")))</f>
        <v/>
      </c>
      <c r="AB121" s="34" t="str">
        <f aca="false">IF(AND(C121="Won",V121&lt;&gt;"",V121&gt;=S_SemStart,V121&lt;=S_SemEnd),V121+ROW()/100000,"")</f>
        <v/>
      </c>
      <c r="AC121" s="34" t="str">
        <f aca="false">IF(AND(C121="Lost",V121&lt;&gt;"",V121&gt;=S_SemStart,V121&lt;=S_SemEnd),V121+ROW()/100000,"")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9"/>
      <c r="J122" s="29"/>
      <c r="K122" s="27"/>
      <c r="L122" s="27"/>
      <c r="M122" s="28"/>
      <c r="N122" s="28"/>
      <c r="O122" s="28"/>
      <c r="P122" s="28"/>
      <c r="Q122" s="27"/>
      <c r="R122" s="27"/>
      <c r="S122" s="27"/>
      <c r="T122" s="27"/>
      <c r="U122" s="28"/>
      <c r="V122" s="28"/>
      <c r="W122" s="27"/>
      <c r="X122" s="32" t="str">
        <f aca="false">IF(A122="","",IF(OR(C122="Planned",C122="Contacted",C122="Meeting",C122="Proposal sent",C122="Negotiation"),"Yes","No"))</f>
        <v/>
      </c>
      <c r="Y122" s="32" t="str">
        <f aca="false">IF(A122="","",IF(AND(C122="Won",P122&lt;&gt;"",P122&lt;=S_Today+S_RenewalDays,COUNTIFS($A$3:$A$502,A122,$F$3:$F$502,"Yes",$X$3:$X$502,"Yes")=0),"Renewal due",IF(X122&lt;&gt;"Yes","",IF(OR(L122="",M122=""),"Missing next action",IF(M122&lt;S_Today,"Overdue",IF(AND(C122="Contacted",_xlfn.MAXIFS(Interactions!$A$3:$A$502,Interactions!$B$3:$B$502,A122,Interactions!$F$3:$F$502,"Sent by us")&gt;0,_xlfn.MAXIFS(Interactions!$A$3:$A$502,Interactions!$B$3:$B$502,A122,Interactions!$F$3:$F$502,"Sent by us")&lt;=S_Today-S_NoReplyDays,MAX(_xlfn.MAXIFS(Interactions!$A$3:$A$502,Interactions!$B$3:$B$502,A122,Interactions!$F$3:$F$502,"Received from them"),_xlfn.MAXIFS(Interactions!$A$3:$A$502,Interactions!$B$3:$B$502,A122,Interactions!$F$3:$F$502,"Two-way"))&lt;_xlfn.MAXIFS(Interactions!$A$3:$A$502,Interactions!$B$3:$B$502,A122,Interactions!$F$3:$F$502,"Sent by us")),"No reply",IF(M122&lt;=S_Today+7,"Due this week","")))))))</f>
        <v/>
      </c>
      <c r="Z122" s="34" t="str">
        <f aca="false">IF(OR(A122="",Y122=""),"",IF(Y122="Renewal due",100000,IF(Y122="Overdue",200000,IF(Y122="No reply",300000,IF(Y122="Due this week",400000,500000))))+IF(Y122="Renewal due",P122-40000,IF(Y122="Missing next action",0,M122-40000))+ROW()/100000)</f>
        <v/>
      </c>
      <c r="AA122" s="32" t="str">
        <f aca="false">IF(A122="","",_xlfn.TEXTJOIN(", ",TRUE(),IF(AND(X122="Yes",D122=""),"No owner",IF(AND(D122&lt;&gt;"",COUNTIFS(R_TeamName,D122,R_TeamActive,"No")&gt;0),"Needs new owner","")),IF(AND(OR(C122="Proposal sent",C122="Negotiation"),H122="",I122="",K122=""),"Add package or proposed value",""),IF(AND(C122="Won",OR(P122="",V122="")),"Won needs renewal date and closed on",""),IF(AND(C122="Won",G122="Cash",J122=""),"Add agreed value",""),IF(AND(C122="Lost",OR(S122="",V122="")),"Lost needs reason and closed on",""),IF(AND(C122="Nurture",OR(T122="",U122="")),"Nurture needs reason and date","")))</f>
        <v/>
      </c>
      <c r="AB122" s="34" t="str">
        <f aca="false">IF(AND(C122="Won",V122&lt;&gt;"",V122&gt;=S_SemStart,V122&lt;=S_SemEnd),V122+ROW()/100000,"")</f>
        <v/>
      </c>
      <c r="AC122" s="34" t="str">
        <f aca="false">IF(AND(C122="Lost",V122&lt;&gt;"",V122&gt;=S_SemStart,V122&lt;=S_SemEnd),V122+ROW()/100000,"")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9"/>
      <c r="J123" s="29"/>
      <c r="K123" s="27"/>
      <c r="L123" s="27"/>
      <c r="M123" s="28"/>
      <c r="N123" s="28"/>
      <c r="O123" s="28"/>
      <c r="P123" s="28"/>
      <c r="Q123" s="27"/>
      <c r="R123" s="27"/>
      <c r="S123" s="27"/>
      <c r="T123" s="27"/>
      <c r="U123" s="28"/>
      <c r="V123" s="28"/>
      <c r="W123" s="27"/>
      <c r="X123" s="32" t="str">
        <f aca="false">IF(A123="","",IF(OR(C123="Planned",C123="Contacted",C123="Meeting",C123="Proposal sent",C123="Negotiation"),"Yes","No"))</f>
        <v/>
      </c>
      <c r="Y123" s="32" t="str">
        <f aca="false">IF(A123="","",IF(AND(C123="Won",P123&lt;&gt;"",P123&lt;=S_Today+S_RenewalDays,COUNTIFS($A$3:$A$502,A123,$F$3:$F$502,"Yes",$X$3:$X$502,"Yes")=0),"Renewal due",IF(X123&lt;&gt;"Yes","",IF(OR(L123="",M123=""),"Missing next action",IF(M123&lt;S_Today,"Overdue",IF(AND(C123="Contacted",_xlfn.MAXIFS(Interactions!$A$3:$A$502,Interactions!$B$3:$B$502,A123,Interactions!$F$3:$F$502,"Sent by us")&gt;0,_xlfn.MAXIFS(Interactions!$A$3:$A$502,Interactions!$B$3:$B$502,A123,Interactions!$F$3:$F$502,"Sent by us")&lt;=S_Today-S_NoReplyDays,MAX(_xlfn.MAXIFS(Interactions!$A$3:$A$502,Interactions!$B$3:$B$502,A123,Interactions!$F$3:$F$502,"Received from them"),_xlfn.MAXIFS(Interactions!$A$3:$A$502,Interactions!$B$3:$B$502,A123,Interactions!$F$3:$F$502,"Two-way"))&lt;_xlfn.MAXIFS(Interactions!$A$3:$A$502,Interactions!$B$3:$B$502,A123,Interactions!$F$3:$F$502,"Sent by us")),"No reply",IF(M123&lt;=S_Today+7,"Due this week","")))))))</f>
        <v/>
      </c>
      <c r="Z123" s="34" t="str">
        <f aca="false">IF(OR(A123="",Y123=""),"",IF(Y123="Renewal due",100000,IF(Y123="Overdue",200000,IF(Y123="No reply",300000,IF(Y123="Due this week",400000,500000))))+IF(Y123="Renewal due",P123-40000,IF(Y123="Missing next action",0,M123-40000))+ROW()/100000)</f>
        <v/>
      </c>
      <c r="AA123" s="32" t="str">
        <f aca="false">IF(A123="","",_xlfn.TEXTJOIN(", ",TRUE(),IF(AND(X123="Yes",D123=""),"No owner",IF(AND(D123&lt;&gt;"",COUNTIFS(R_TeamName,D123,R_TeamActive,"No")&gt;0),"Needs new owner","")),IF(AND(OR(C123="Proposal sent",C123="Negotiation"),H123="",I123="",K123=""),"Add package or proposed value",""),IF(AND(C123="Won",OR(P123="",V123="")),"Won needs renewal date and closed on",""),IF(AND(C123="Won",G123="Cash",J123=""),"Add agreed value",""),IF(AND(C123="Lost",OR(S123="",V123="")),"Lost needs reason and closed on",""),IF(AND(C123="Nurture",OR(T123="",U123="")),"Nurture needs reason and date","")))</f>
        <v/>
      </c>
      <c r="AB123" s="34" t="str">
        <f aca="false">IF(AND(C123="Won",V123&lt;&gt;"",V123&gt;=S_SemStart,V123&lt;=S_SemEnd),V123+ROW()/100000,"")</f>
        <v/>
      </c>
      <c r="AC123" s="34" t="str">
        <f aca="false">IF(AND(C123="Lost",V123&lt;&gt;"",V123&gt;=S_SemStart,V123&lt;=S_SemEnd),V123+ROW()/100000,"")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9"/>
      <c r="J124" s="29"/>
      <c r="K124" s="27"/>
      <c r="L124" s="27"/>
      <c r="M124" s="28"/>
      <c r="N124" s="28"/>
      <c r="O124" s="28"/>
      <c r="P124" s="28"/>
      <c r="Q124" s="27"/>
      <c r="R124" s="27"/>
      <c r="S124" s="27"/>
      <c r="T124" s="27"/>
      <c r="U124" s="28"/>
      <c r="V124" s="28"/>
      <c r="W124" s="27"/>
      <c r="X124" s="32" t="str">
        <f aca="false">IF(A124="","",IF(OR(C124="Planned",C124="Contacted",C124="Meeting",C124="Proposal sent",C124="Negotiation"),"Yes","No"))</f>
        <v/>
      </c>
      <c r="Y124" s="32" t="str">
        <f aca="false">IF(A124="","",IF(AND(C124="Won",P124&lt;&gt;"",P124&lt;=S_Today+S_RenewalDays,COUNTIFS($A$3:$A$502,A124,$F$3:$F$502,"Yes",$X$3:$X$502,"Yes")=0),"Renewal due",IF(X124&lt;&gt;"Yes","",IF(OR(L124="",M124=""),"Missing next action",IF(M124&lt;S_Today,"Overdue",IF(AND(C124="Contacted",_xlfn.MAXIFS(Interactions!$A$3:$A$502,Interactions!$B$3:$B$502,A124,Interactions!$F$3:$F$502,"Sent by us")&gt;0,_xlfn.MAXIFS(Interactions!$A$3:$A$502,Interactions!$B$3:$B$502,A124,Interactions!$F$3:$F$502,"Sent by us")&lt;=S_Today-S_NoReplyDays,MAX(_xlfn.MAXIFS(Interactions!$A$3:$A$502,Interactions!$B$3:$B$502,A124,Interactions!$F$3:$F$502,"Received from them"),_xlfn.MAXIFS(Interactions!$A$3:$A$502,Interactions!$B$3:$B$502,A124,Interactions!$F$3:$F$502,"Two-way"))&lt;_xlfn.MAXIFS(Interactions!$A$3:$A$502,Interactions!$B$3:$B$502,A124,Interactions!$F$3:$F$502,"Sent by us")),"No reply",IF(M124&lt;=S_Today+7,"Due this week","")))))))</f>
        <v/>
      </c>
      <c r="Z124" s="34" t="str">
        <f aca="false">IF(OR(A124="",Y124=""),"",IF(Y124="Renewal due",100000,IF(Y124="Overdue",200000,IF(Y124="No reply",300000,IF(Y124="Due this week",400000,500000))))+IF(Y124="Renewal due",P124-40000,IF(Y124="Missing next action",0,M124-40000))+ROW()/100000)</f>
        <v/>
      </c>
      <c r="AA124" s="32" t="str">
        <f aca="false">IF(A124="","",_xlfn.TEXTJOIN(", ",TRUE(),IF(AND(X124="Yes",D124=""),"No owner",IF(AND(D124&lt;&gt;"",COUNTIFS(R_TeamName,D124,R_TeamActive,"No")&gt;0),"Needs new owner","")),IF(AND(OR(C124="Proposal sent",C124="Negotiation"),H124="",I124="",K124=""),"Add package or proposed value",""),IF(AND(C124="Won",OR(P124="",V124="")),"Won needs renewal date and closed on",""),IF(AND(C124="Won",G124="Cash",J124=""),"Add agreed value",""),IF(AND(C124="Lost",OR(S124="",V124="")),"Lost needs reason and closed on",""),IF(AND(C124="Nurture",OR(T124="",U124="")),"Nurture needs reason and date","")))</f>
        <v/>
      </c>
      <c r="AB124" s="34" t="str">
        <f aca="false">IF(AND(C124="Won",V124&lt;&gt;"",V124&gt;=S_SemStart,V124&lt;=S_SemEnd),V124+ROW()/100000,"")</f>
        <v/>
      </c>
      <c r="AC124" s="34" t="str">
        <f aca="false">IF(AND(C124="Lost",V124&lt;&gt;"",V124&gt;=S_SemStart,V124&lt;=S_SemEnd),V124+ROW()/100000,"")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9"/>
      <c r="J125" s="29"/>
      <c r="K125" s="27"/>
      <c r="L125" s="27"/>
      <c r="M125" s="28"/>
      <c r="N125" s="28"/>
      <c r="O125" s="28"/>
      <c r="P125" s="28"/>
      <c r="Q125" s="27"/>
      <c r="R125" s="27"/>
      <c r="S125" s="27"/>
      <c r="T125" s="27"/>
      <c r="U125" s="28"/>
      <c r="V125" s="28"/>
      <c r="W125" s="27"/>
      <c r="X125" s="32" t="str">
        <f aca="false">IF(A125="","",IF(OR(C125="Planned",C125="Contacted",C125="Meeting",C125="Proposal sent",C125="Negotiation"),"Yes","No"))</f>
        <v/>
      </c>
      <c r="Y125" s="32" t="str">
        <f aca="false">IF(A125="","",IF(AND(C125="Won",P125&lt;&gt;"",P125&lt;=S_Today+S_RenewalDays,COUNTIFS($A$3:$A$502,A125,$F$3:$F$502,"Yes",$X$3:$X$502,"Yes")=0),"Renewal due",IF(X125&lt;&gt;"Yes","",IF(OR(L125="",M125=""),"Missing next action",IF(M125&lt;S_Today,"Overdue",IF(AND(C125="Contacted",_xlfn.MAXIFS(Interactions!$A$3:$A$502,Interactions!$B$3:$B$502,A125,Interactions!$F$3:$F$502,"Sent by us")&gt;0,_xlfn.MAXIFS(Interactions!$A$3:$A$502,Interactions!$B$3:$B$502,A125,Interactions!$F$3:$F$502,"Sent by us")&lt;=S_Today-S_NoReplyDays,MAX(_xlfn.MAXIFS(Interactions!$A$3:$A$502,Interactions!$B$3:$B$502,A125,Interactions!$F$3:$F$502,"Received from them"),_xlfn.MAXIFS(Interactions!$A$3:$A$502,Interactions!$B$3:$B$502,A125,Interactions!$F$3:$F$502,"Two-way"))&lt;_xlfn.MAXIFS(Interactions!$A$3:$A$502,Interactions!$B$3:$B$502,A125,Interactions!$F$3:$F$502,"Sent by us")),"No reply",IF(M125&lt;=S_Today+7,"Due this week","")))))))</f>
        <v/>
      </c>
      <c r="Z125" s="34" t="str">
        <f aca="false">IF(OR(A125="",Y125=""),"",IF(Y125="Renewal due",100000,IF(Y125="Overdue",200000,IF(Y125="No reply",300000,IF(Y125="Due this week",400000,500000))))+IF(Y125="Renewal due",P125-40000,IF(Y125="Missing next action",0,M125-40000))+ROW()/100000)</f>
        <v/>
      </c>
      <c r="AA125" s="32" t="str">
        <f aca="false">IF(A125="","",_xlfn.TEXTJOIN(", ",TRUE(),IF(AND(X125="Yes",D125=""),"No owner",IF(AND(D125&lt;&gt;"",COUNTIFS(R_TeamName,D125,R_TeamActive,"No")&gt;0),"Needs new owner","")),IF(AND(OR(C125="Proposal sent",C125="Negotiation"),H125="",I125="",K125=""),"Add package or proposed value",""),IF(AND(C125="Won",OR(P125="",V125="")),"Won needs renewal date and closed on",""),IF(AND(C125="Won",G125="Cash",J125=""),"Add agreed value",""),IF(AND(C125="Lost",OR(S125="",V125="")),"Lost needs reason and closed on",""),IF(AND(C125="Nurture",OR(T125="",U125="")),"Nurture needs reason and date","")))</f>
        <v/>
      </c>
      <c r="AB125" s="34" t="str">
        <f aca="false">IF(AND(C125="Won",V125&lt;&gt;"",V125&gt;=S_SemStart,V125&lt;=S_SemEnd),V125+ROW()/100000,"")</f>
        <v/>
      </c>
      <c r="AC125" s="34" t="str">
        <f aca="false">IF(AND(C125="Lost",V125&lt;&gt;"",V125&gt;=S_SemStart,V125&lt;=S_SemEnd),V125+ROW()/100000,"")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9"/>
      <c r="J126" s="29"/>
      <c r="K126" s="27"/>
      <c r="L126" s="27"/>
      <c r="M126" s="28"/>
      <c r="N126" s="28"/>
      <c r="O126" s="28"/>
      <c r="P126" s="28"/>
      <c r="Q126" s="27"/>
      <c r="R126" s="27"/>
      <c r="S126" s="27"/>
      <c r="T126" s="27"/>
      <c r="U126" s="28"/>
      <c r="V126" s="28"/>
      <c r="W126" s="27"/>
      <c r="X126" s="32" t="str">
        <f aca="false">IF(A126="","",IF(OR(C126="Planned",C126="Contacted",C126="Meeting",C126="Proposal sent",C126="Negotiation"),"Yes","No"))</f>
        <v/>
      </c>
      <c r="Y126" s="32" t="str">
        <f aca="false">IF(A126="","",IF(AND(C126="Won",P126&lt;&gt;"",P126&lt;=S_Today+S_RenewalDays,COUNTIFS($A$3:$A$502,A126,$F$3:$F$502,"Yes",$X$3:$X$502,"Yes")=0),"Renewal due",IF(X126&lt;&gt;"Yes","",IF(OR(L126="",M126=""),"Missing next action",IF(M126&lt;S_Today,"Overdue",IF(AND(C126="Contacted",_xlfn.MAXIFS(Interactions!$A$3:$A$502,Interactions!$B$3:$B$502,A126,Interactions!$F$3:$F$502,"Sent by us")&gt;0,_xlfn.MAXIFS(Interactions!$A$3:$A$502,Interactions!$B$3:$B$502,A126,Interactions!$F$3:$F$502,"Sent by us")&lt;=S_Today-S_NoReplyDays,MAX(_xlfn.MAXIFS(Interactions!$A$3:$A$502,Interactions!$B$3:$B$502,A126,Interactions!$F$3:$F$502,"Received from them"),_xlfn.MAXIFS(Interactions!$A$3:$A$502,Interactions!$B$3:$B$502,A126,Interactions!$F$3:$F$502,"Two-way"))&lt;_xlfn.MAXIFS(Interactions!$A$3:$A$502,Interactions!$B$3:$B$502,A126,Interactions!$F$3:$F$502,"Sent by us")),"No reply",IF(M126&lt;=S_Today+7,"Due this week","")))))))</f>
        <v/>
      </c>
      <c r="Z126" s="34" t="str">
        <f aca="false">IF(OR(A126="",Y126=""),"",IF(Y126="Renewal due",100000,IF(Y126="Overdue",200000,IF(Y126="No reply",300000,IF(Y126="Due this week",400000,500000))))+IF(Y126="Renewal due",P126-40000,IF(Y126="Missing next action",0,M126-40000))+ROW()/100000)</f>
        <v/>
      </c>
      <c r="AA126" s="32" t="str">
        <f aca="false">IF(A126="","",_xlfn.TEXTJOIN(", ",TRUE(),IF(AND(X126="Yes",D126=""),"No owner",IF(AND(D126&lt;&gt;"",COUNTIFS(R_TeamName,D126,R_TeamActive,"No")&gt;0),"Needs new owner","")),IF(AND(OR(C126="Proposal sent",C126="Negotiation"),H126="",I126="",K126=""),"Add package or proposed value",""),IF(AND(C126="Won",OR(P126="",V126="")),"Won needs renewal date and closed on",""),IF(AND(C126="Won",G126="Cash",J126=""),"Add agreed value",""),IF(AND(C126="Lost",OR(S126="",V126="")),"Lost needs reason and closed on",""),IF(AND(C126="Nurture",OR(T126="",U126="")),"Nurture needs reason and date","")))</f>
        <v/>
      </c>
      <c r="AB126" s="34" t="str">
        <f aca="false">IF(AND(C126="Won",V126&lt;&gt;"",V126&gt;=S_SemStart,V126&lt;=S_SemEnd),V126+ROW()/100000,"")</f>
        <v/>
      </c>
      <c r="AC126" s="34" t="str">
        <f aca="false">IF(AND(C126="Lost",V126&lt;&gt;"",V126&gt;=S_SemStart,V126&lt;=S_SemEnd),V126+ROW()/100000,"")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9"/>
      <c r="J127" s="29"/>
      <c r="K127" s="27"/>
      <c r="L127" s="27"/>
      <c r="M127" s="28"/>
      <c r="N127" s="28"/>
      <c r="O127" s="28"/>
      <c r="P127" s="28"/>
      <c r="Q127" s="27"/>
      <c r="R127" s="27"/>
      <c r="S127" s="27"/>
      <c r="T127" s="27"/>
      <c r="U127" s="28"/>
      <c r="V127" s="28"/>
      <c r="W127" s="27"/>
      <c r="X127" s="32" t="str">
        <f aca="false">IF(A127="","",IF(OR(C127="Planned",C127="Contacted",C127="Meeting",C127="Proposal sent",C127="Negotiation"),"Yes","No"))</f>
        <v/>
      </c>
      <c r="Y127" s="32" t="str">
        <f aca="false">IF(A127="","",IF(AND(C127="Won",P127&lt;&gt;"",P127&lt;=S_Today+S_RenewalDays,COUNTIFS($A$3:$A$502,A127,$F$3:$F$502,"Yes",$X$3:$X$502,"Yes")=0),"Renewal due",IF(X127&lt;&gt;"Yes","",IF(OR(L127="",M127=""),"Missing next action",IF(M127&lt;S_Today,"Overdue",IF(AND(C127="Contacted",_xlfn.MAXIFS(Interactions!$A$3:$A$502,Interactions!$B$3:$B$502,A127,Interactions!$F$3:$F$502,"Sent by us")&gt;0,_xlfn.MAXIFS(Interactions!$A$3:$A$502,Interactions!$B$3:$B$502,A127,Interactions!$F$3:$F$502,"Sent by us")&lt;=S_Today-S_NoReplyDays,MAX(_xlfn.MAXIFS(Interactions!$A$3:$A$502,Interactions!$B$3:$B$502,A127,Interactions!$F$3:$F$502,"Received from them"),_xlfn.MAXIFS(Interactions!$A$3:$A$502,Interactions!$B$3:$B$502,A127,Interactions!$F$3:$F$502,"Two-way"))&lt;_xlfn.MAXIFS(Interactions!$A$3:$A$502,Interactions!$B$3:$B$502,A127,Interactions!$F$3:$F$502,"Sent by us")),"No reply",IF(M127&lt;=S_Today+7,"Due this week","")))))))</f>
        <v/>
      </c>
      <c r="Z127" s="34" t="str">
        <f aca="false">IF(OR(A127="",Y127=""),"",IF(Y127="Renewal due",100000,IF(Y127="Overdue",200000,IF(Y127="No reply",300000,IF(Y127="Due this week",400000,500000))))+IF(Y127="Renewal due",P127-40000,IF(Y127="Missing next action",0,M127-40000))+ROW()/100000)</f>
        <v/>
      </c>
      <c r="AA127" s="32" t="str">
        <f aca="false">IF(A127="","",_xlfn.TEXTJOIN(", ",TRUE(),IF(AND(X127="Yes",D127=""),"No owner",IF(AND(D127&lt;&gt;"",COUNTIFS(R_TeamName,D127,R_TeamActive,"No")&gt;0),"Needs new owner","")),IF(AND(OR(C127="Proposal sent",C127="Negotiation"),H127="",I127="",K127=""),"Add package or proposed value",""),IF(AND(C127="Won",OR(P127="",V127="")),"Won needs renewal date and closed on",""),IF(AND(C127="Won",G127="Cash",J127=""),"Add agreed value",""),IF(AND(C127="Lost",OR(S127="",V127="")),"Lost needs reason and closed on",""),IF(AND(C127="Nurture",OR(T127="",U127="")),"Nurture needs reason and date","")))</f>
        <v/>
      </c>
      <c r="AB127" s="34" t="str">
        <f aca="false">IF(AND(C127="Won",V127&lt;&gt;"",V127&gt;=S_SemStart,V127&lt;=S_SemEnd),V127+ROW()/100000,"")</f>
        <v/>
      </c>
      <c r="AC127" s="34" t="str">
        <f aca="false">IF(AND(C127="Lost",V127&lt;&gt;"",V127&gt;=S_SemStart,V127&lt;=S_SemEnd),V127+ROW()/100000,"")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9"/>
      <c r="J128" s="29"/>
      <c r="K128" s="27"/>
      <c r="L128" s="27"/>
      <c r="M128" s="28"/>
      <c r="N128" s="28"/>
      <c r="O128" s="28"/>
      <c r="P128" s="28"/>
      <c r="Q128" s="27"/>
      <c r="R128" s="27"/>
      <c r="S128" s="27"/>
      <c r="T128" s="27"/>
      <c r="U128" s="28"/>
      <c r="V128" s="28"/>
      <c r="W128" s="27"/>
      <c r="X128" s="32" t="str">
        <f aca="false">IF(A128="","",IF(OR(C128="Planned",C128="Contacted",C128="Meeting",C128="Proposal sent",C128="Negotiation"),"Yes","No"))</f>
        <v/>
      </c>
      <c r="Y128" s="32" t="str">
        <f aca="false">IF(A128="","",IF(AND(C128="Won",P128&lt;&gt;"",P128&lt;=S_Today+S_RenewalDays,COUNTIFS($A$3:$A$502,A128,$F$3:$F$502,"Yes",$X$3:$X$502,"Yes")=0),"Renewal due",IF(X128&lt;&gt;"Yes","",IF(OR(L128="",M128=""),"Missing next action",IF(M128&lt;S_Today,"Overdue",IF(AND(C128="Contacted",_xlfn.MAXIFS(Interactions!$A$3:$A$502,Interactions!$B$3:$B$502,A128,Interactions!$F$3:$F$502,"Sent by us")&gt;0,_xlfn.MAXIFS(Interactions!$A$3:$A$502,Interactions!$B$3:$B$502,A128,Interactions!$F$3:$F$502,"Sent by us")&lt;=S_Today-S_NoReplyDays,MAX(_xlfn.MAXIFS(Interactions!$A$3:$A$502,Interactions!$B$3:$B$502,A128,Interactions!$F$3:$F$502,"Received from them"),_xlfn.MAXIFS(Interactions!$A$3:$A$502,Interactions!$B$3:$B$502,A128,Interactions!$F$3:$F$502,"Two-way"))&lt;_xlfn.MAXIFS(Interactions!$A$3:$A$502,Interactions!$B$3:$B$502,A128,Interactions!$F$3:$F$502,"Sent by us")),"No reply",IF(M128&lt;=S_Today+7,"Due this week","")))))))</f>
        <v/>
      </c>
      <c r="Z128" s="34" t="str">
        <f aca="false">IF(OR(A128="",Y128=""),"",IF(Y128="Renewal due",100000,IF(Y128="Overdue",200000,IF(Y128="No reply",300000,IF(Y128="Due this week",400000,500000))))+IF(Y128="Renewal due",P128-40000,IF(Y128="Missing next action",0,M128-40000))+ROW()/100000)</f>
        <v/>
      </c>
      <c r="AA128" s="32" t="str">
        <f aca="false">IF(A128="","",_xlfn.TEXTJOIN(", ",TRUE(),IF(AND(X128="Yes",D128=""),"No owner",IF(AND(D128&lt;&gt;"",COUNTIFS(R_TeamName,D128,R_TeamActive,"No")&gt;0),"Needs new owner","")),IF(AND(OR(C128="Proposal sent",C128="Negotiation"),H128="",I128="",K128=""),"Add package or proposed value",""),IF(AND(C128="Won",OR(P128="",V128="")),"Won needs renewal date and closed on",""),IF(AND(C128="Won",G128="Cash",J128=""),"Add agreed value",""),IF(AND(C128="Lost",OR(S128="",V128="")),"Lost needs reason and closed on",""),IF(AND(C128="Nurture",OR(T128="",U128="")),"Nurture needs reason and date","")))</f>
        <v/>
      </c>
      <c r="AB128" s="34" t="str">
        <f aca="false">IF(AND(C128="Won",V128&lt;&gt;"",V128&gt;=S_SemStart,V128&lt;=S_SemEnd),V128+ROW()/100000,"")</f>
        <v/>
      </c>
      <c r="AC128" s="34" t="str">
        <f aca="false">IF(AND(C128="Lost",V128&lt;&gt;"",V128&gt;=S_SemStart,V128&lt;=S_SemEnd),V128+ROW()/100000,"")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9"/>
      <c r="J129" s="29"/>
      <c r="K129" s="27"/>
      <c r="L129" s="27"/>
      <c r="M129" s="28"/>
      <c r="N129" s="28"/>
      <c r="O129" s="28"/>
      <c r="P129" s="28"/>
      <c r="Q129" s="27"/>
      <c r="R129" s="27"/>
      <c r="S129" s="27"/>
      <c r="T129" s="27"/>
      <c r="U129" s="28"/>
      <c r="V129" s="28"/>
      <c r="W129" s="27"/>
      <c r="X129" s="32" t="str">
        <f aca="false">IF(A129="","",IF(OR(C129="Planned",C129="Contacted",C129="Meeting",C129="Proposal sent",C129="Negotiation"),"Yes","No"))</f>
        <v/>
      </c>
      <c r="Y129" s="32" t="str">
        <f aca="false">IF(A129="","",IF(AND(C129="Won",P129&lt;&gt;"",P129&lt;=S_Today+S_RenewalDays,COUNTIFS($A$3:$A$502,A129,$F$3:$F$502,"Yes",$X$3:$X$502,"Yes")=0),"Renewal due",IF(X129&lt;&gt;"Yes","",IF(OR(L129="",M129=""),"Missing next action",IF(M129&lt;S_Today,"Overdue",IF(AND(C129="Contacted",_xlfn.MAXIFS(Interactions!$A$3:$A$502,Interactions!$B$3:$B$502,A129,Interactions!$F$3:$F$502,"Sent by us")&gt;0,_xlfn.MAXIFS(Interactions!$A$3:$A$502,Interactions!$B$3:$B$502,A129,Interactions!$F$3:$F$502,"Sent by us")&lt;=S_Today-S_NoReplyDays,MAX(_xlfn.MAXIFS(Interactions!$A$3:$A$502,Interactions!$B$3:$B$502,A129,Interactions!$F$3:$F$502,"Received from them"),_xlfn.MAXIFS(Interactions!$A$3:$A$502,Interactions!$B$3:$B$502,A129,Interactions!$F$3:$F$502,"Two-way"))&lt;_xlfn.MAXIFS(Interactions!$A$3:$A$502,Interactions!$B$3:$B$502,A129,Interactions!$F$3:$F$502,"Sent by us")),"No reply",IF(M129&lt;=S_Today+7,"Due this week","")))))))</f>
        <v/>
      </c>
      <c r="Z129" s="34" t="str">
        <f aca="false">IF(OR(A129="",Y129=""),"",IF(Y129="Renewal due",100000,IF(Y129="Overdue",200000,IF(Y129="No reply",300000,IF(Y129="Due this week",400000,500000))))+IF(Y129="Renewal due",P129-40000,IF(Y129="Missing next action",0,M129-40000))+ROW()/100000)</f>
        <v/>
      </c>
      <c r="AA129" s="32" t="str">
        <f aca="false">IF(A129="","",_xlfn.TEXTJOIN(", ",TRUE(),IF(AND(X129="Yes",D129=""),"No owner",IF(AND(D129&lt;&gt;"",COUNTIFS(R_TeamName,D129,R_TeamActive,"No")&gt;0),"Needs new owner","")),IF(AND(OR(C129="Proposal sent",C129="Negotiation"),H129="",I129="",K129=""),"Add package or proposed value",""),IF(AND(C129="Won",OR(P129="",V129="")),"Won needs renewal date and closed on",""),IF(AND(C129="Won",G129="Cash",J129=""),"Add agreed value",""),IF(AND(C129="Lost",OR(S129="",V129="")),"Lost needs reason and closed on",""),IF(AND(C129="Nurture",OR(T129="",U129="")),"Nurture needs reason and date","")))</f>
        <v/>
      </c>
      <c r="AB129" s="34" t="str">
        <f aca="false">IF(AND(C129="Won",V129&lt;&gt;"",V129&gt;=S_SemStart,V129&lt;=S_SemEnd),V129+ROW()/100000,"")</f>
        <v/>
      </c>
      <c r="AC129" s="34" t="str">
        <f aca="false">IF(AND(C129="Lost",V129&lt;&gt;"",V129&gt;=S_SemStart,V129&lt;=S_SemEnd),V129+ROW()/100000,"")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9"/>
      <c r="J130" s="29"/>
      <c r="K130" s="27"/>
      <c r="L130" s="27"/>
      <c r="M130" s="28"/>
      <c r="N130" s="28"/>
      <c r="O130" s="28"/>
      <c r="P130" s="28"/>
      <c r="Q130" s="27"/>
      <c r="R130" s="27"/>
      <c r="S130" s="27"/>
      <c r="T130" s="27"/>
      <c r="U130" s="28"/>
      <c r="V130" s="28"/>
      <c r="W130" s="27"/>
      <c r="X130" s="32" t="str">
        <f aca="false">IF(A130="","",IF(OR(C130="Planned",C130="Contacted",C130="Meeting",C130="Proposal sent",C130="Negotiation"),"Yes","No"))</f>
        <v/>
      </c>
      <c r="Y130" s="32" t="str">
        <f aca="false">IF(A130="","",IF(AND(C130="Won",P130&lt;&gt;"",P130&lt;=S_Today+S_RenewalDays,COUNTIFS($A$3:$A$502,A130,$F$3:$F$502,"Yes",$X$3:$X$502,"Yes")=0),"Renewal due",IF(X130&lt;&gt;"Yes","",IF(OR(L130="",M130=""),"Missing next action",IF(M130&lt;S_Today,"Overdue",IF(AND(C130="Contacted",_xlfn.MAXIFS(Interactions!$A$3:$A$502,Interactions!$B$3:$B$502,A130,Interactions!$F$3:$F$502,"Sent by us")&gt;0,_xlfn.MAXIFS(Interactions!$A$3:$A$502,Interactions!$B$3:$B$502,A130,Interactions!$F$3:$F$502,"Sent by us")&lt;=S_Today-S_NoReplyDays,MAX(_xlfn.MAXIFS(Interactions!$A$3:$A$502,Interactions!$B$3:$B$502,A130,Interactions!$F$3:$F$502,"Received from them"),_xlfn.MAXIFS(Interactions!$A$3:$A$502,Interactions!$B$3:$B$502,A130,Interactions!$F$3:$F$502,"Two-way"))&lt;_xlfn.MAXIFS(Interactions!$A$3:$A$502,Interactions!$B$3:$B$502,A130,Interactions!$F$3:$F$502,"Sent by us")),"No reply",IF(M130&lt;=S_Today+7,"Due this week","")))))))</f>
        <v/>
      </c>
      <c r="Z130" s="34" t="str">
        <f aca="false">IF(OR(A130="",Y130=""),"",IF(Y130="Renewal due",100000,IF(Y130="Overdue",200000,IF(Y130="No reply",300000,IF(Y130="Due this week",400000,500000))))+IF(Y130="Renewal due",P130-40000,IF(Y130="Missing next action",0,M130-40000))+ROW()/100000)</f>
        <v/>
      </c>
      <c r="AA130" s="32" t="str">
        <f aca="false">IF(A130="","",_xlfn.TEXTJOIN(", ",TRUE(),IF(AND(X130="Yes",D130=""),"No owner",IF(AND(D130&lt;&gt;"",COUNTIFS(R_TeamName,D130,R_TeamActive,"No")&gt;0),"Needs new owner","")),IF(AND(OR(C130="Proposal sent",C130="Negotiation"),H130="",I130="",K130=""),"Add package or proposed value",""),IF(AND(C130="Won",OR(P130="",V130="")),"Won needs renewal date and closed on",""),IF(AND(C130="Won",G130="Cash",J130=""),"Add agreed value",""),IF(AND(C130="Lost",OR(S130="",V130="")),"Lost needs reason and closed on",""),IF(AND(C130="Nurture",OR(T130="",U130="")),"Nurture needs reason and date","")))</f>
        <v/>
      </c>
      <c r="AB130" s="34" t="str">
        <f aca="false">IF(AND(C130="Won",V130&lt;&gt;"",V130&gt;=S_SemStart,V130&lt;=S_SemEnd),V130+ROW()/100000,"")</f>
        <v/>
      </c>
      <c r="AC130" s="34" t="str">
        <f aca="false">IF(AND(C130="Lost",V130&lt;&gt;"",V130&gt;=S_SemStart,V130&lt;=S_SemEnd),V130+ROW()/100000,"")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9"/>
      <c r="J131" s="29"/>
      <c r="K131" s="27"/>
      <c r="L131" s="27"/>
      <c r="M131" s="28"/>
      <c r="N131" s="28"/>
      <c r="O131" s="28"/>
      <c r="P131" s="28"/>
      <c r="Q131" s="27"/>
      <c r="R131" s="27"/>
      <c r="S131" s="27"/>
      <c r="T131" s="27"/>
      <c r="U131" s="28"/>
      <c r="V131" s="28"/>
      <c r="W131" s="27"/>
      <c r="X131" s="32" t="str">
        <f aca="false">IF(A131="","",IF(OR(C131="Planned",C131="Contacted",C131="Meeting",C131="Proposal sent",C131="Negotiation"),"Yes","No"))</f>
        <v/>
      </c>
      <c r="Y131" s="32" t="str">
        <f aca="false">IF(A131="","",IF(AND(C131="Won",P131&lt;&gt;"",P131&lt;=S_Today+S_RenewalDays,COUNTIFS($A$3:$A$502,A131,$F$3:$F$502,"Yes",$X$3:$X$502,"Yes")=0),"Renewal due",IF(X131&lt;&gt;"Yes","",IF(OR(L131="",M131=""),"Missing next action",IF(M131&lt;S_Today,"Overdue",IF(AND(C131="Contacted",_xlfn.MAXIFS(Interactions!$A$3:$A$502,Interactions!$B$3:$B$502,A131,Interactions!$F$3:$F$502,"Sent by us")&gt;0,_xlfn.MAXIFS(Interactions!$A$3:$A$502,Interactions!$B$3:$B$502,A131,Interactions!$F$3:$F$502,"Sent by us")&lt;=S_Today-S_NoReplyDays,MAX(_xlfn.MAXIFS(Interactions!$A$3:$A$502,Interactions!$B$3:$B$502,A131,Interactions!$F$3:$F$502,"Received from them"),_xlfn.MAXIFS(Interactions!$A$3:$A$502,Interactions!$B$3:$B$502,A131,Interactions!$F$3:$F$502,"Two-way"))&lt;_xlfn.MAXIFS(Interactions!$A$3:$A$502,Interactions!$B$3:$B$502,A131,Interactions!$F$3:$F$502,"Sent by us")),"No reply",IF(M131&lt;=S_Today+7,"Due this week","")))))))</f>
        <v/>
      </c>
      <c r="Z131" s="34" t="str">
        <f aca="false">IF(OR(A131="",Y131=""),"",IF(Y131="Renewal due",100000,IF(Y131="Overdue",200000,IF(Y131="No reply",300000,IF(Y131="Due this week",400000,500000))))+IF(Y131="Renewal due",P131-40000,IF(Y131="Missing next action",0,M131-40000))+ROW()/100000)</f>
        <v/>
      </c>
      <c r="AA131" s="32" t="str">
        <f aca="false">IF(A131="","",_xlfn.TEXTJOIN(", ",TRUE(),IF(AND(X131="Yes",D131=""),"No owner",IF(AND(D131&lt;&gt;"",COUNTIFS(R_TeamName,D131,R_TeamActive,"No")&gt;0),"Needs new owner","")),IF(AND(OR(C131="Proposal sent",C131="Negotiation"),H131="",I131="",K131=""),"Add package or proposed value",""),IF(AND(C131="Won",OR(P131="",V131="")),"Won needs renewal date and closed on",""),IF(AND(C131="Won",G131="Cash",J131=""),"Add agreed value",""),IF(AND(C131="Lost",OR(S131="",V131="")),"Lost needs reason and closed on",""),IF(AND(C131="Nurture",OR(T131="",U131="")),"Nurture needs reason and date","")))</f>
        <v/>
      </c>
      <c r="AB131" s="34" t="str">
        <f aca="false">IF(AND(C131="Won",V131&lt;&gt;"",V131&gt;=S_SemStart,V131&lt;=S_SemEnd),V131+ROW()/100000,"")</f>
        <v/>
      </c>
      <c r="AC131" s="34" t="str">
        <f aca="false">IF(AND(C131="Lost",V131&lt;&gt;"",V131&gt;=S_SemStart,V131&lt;=S_SemEnd),V131+ROW()/100000,"")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9"/>
      <c r="J132" s="29"/>
      <c r="K132" s="27"/>
      <c r="L132" s="27"/>
      <c r="M132" s="28"/>
      <c r="N132" s="28"/>
      <c r="O132" s="28"/>
      <c r="P132" s="28"/>
      <c r="Q132" s="27"/>
      <c r="R132" s="27"/>
      <c r="S132" s="27"/>
      <c r="T132" s="27"/>
      <c r="U132" s="28"/>
      <c r="V132" s="28"/>
      <c r="W132" s="27"/>
      <c r="X132" s="32" t="str">
        <f aca="false">IF(A132="","",IF(OR(C132="Planned",C132="Contacted",C132="Meeting",C132="Proposal sent",C132="Negotiation"),"Yes","No"))</f>
        <v/>
      </c>
      <c r="Y132" s="32" t="str">
        <f aca="false">IF(A132="","",IF(AND(C132="Won",P132&lt;&gt;"",P132&lt;=S_Today+S_RenewalDays,COUNTIFS($A$3:$A$502,A132,$F$3:$F$502,"Yes",$X$3:$X$502,"Yes")=0),"Renewal due",IF(X132&lt;&gt;"Yes","",IF(OR(L132="",M132=""),"Missing next action",IF(M132&lt;S_Today,"Overdue",IF(AND(C132="Contacted",_xlfn.MAXIFS(Interactions!$A$3:$A$502,Interactions!$B$3:$B$502,A132,Interactions!$F$3:$F$502,"Sent by us")&gt;0,_xlfn.MAXIFS(Interactions!$A$3:$A$502,Interactions!$B$3:$B$502,A132,Interactions!$F$3:$F$502,"Sent by us")&lt;=S_Today-S_NoReplyDays,MAX(_xlfn.MAXIFS(Interactions!$A$3:$A$502,Interactions!$B$3:$B$502,A132,Interactions!$F$3:$F$502,"Received from them"),_xlfn.MAXIFS(Interactions!$A$3:$A$502,Interactions!$B$3:$B$502,A132,Interactions!$F$3:$F$502,"Two-way"))&lt;_xlfn.MAXIFS(Interactions!$A$3:$A$502,Interactions!$B$3:$B$502,A132,Interactions!$F$3:$F$502,"Sent by us")),"No reply",IF(M132&lt;=S_Today+7,"Due this week","")))))))</f>
        <v/>
      </c>
      <c r="Z132" s="34" t="str">
        <f aca="false">IF(OR(A132="",Y132=""),"",IF(Y132="Renewal due",100000,IF(Y132="Overdue",200000,IF(Y132="No reply",300000,IF(Y132="Due this week",400000,500000))))+IF(Y132="Renewal due",P132-40000,IF(Y132="Missing next action",0,M132-40000))+ROW()/100000)</f>
        <v/>
      </c>
      <c r="AA132" s="32" t="str">
        <f aca="false">IF(A132="","",_xlfn.TEXTJOIN(", ",TRUE(),IF(AND(X132="Yes",D132=""),"No owner",IF(AND(D132&lt;&gt;"",COUNTIFS(R_TeamName,D132,R_TeamActive,"No")&gt;0),"Needs new owner","")),IF(AND(OR(C132="Proposal sent",C132="Negotiation"),H132="",I132="",K132=""),"Add package or proposed value",""),IF(AND(C132="Won",OR(P132="",V132="")),"Won needs renewal date and closed on",""),IF(AND(C132="Won",G132="Cash",J132=""),"Add agreed value",""),IF(AND(C132="Lost",OR(S132="",V132="")),"Lost needs reason and closed on",""),IF(AND(C132="Nurture",OR(T132="",U132="")),"Nurture needs reason and date","")))</f>
        <v/>
      </c>
      <c r="AB132" s="34" t="str">
        <f aca="false">IF(AND(C132="Won",V132&lt;&gt;"",V132&gt;=S_SemStart,V132&lt;=S_SemEnd),V132+ROW()/100000,"")</f>
        <v/>
      </c>
      <c r="AC132" s="34" t="str">
        <f aca="false">IF(AND(C132="Lost",V132&lt;&gt;"",V132&gt;=S_SemStart,V132&lt;=S_SemEnd),V132+ROW()/100000,"")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9"/>
      <c r="J133" s="29"/>
      <c r="K133" s="27"/>
      <c r="L133" s="27"/>
      <c r="M133" s="28"/>
      <c r="N133" s="28"/>
      <c r="O133" s="28"/>
      <c r="P133" s="28"/>
      <c r="Q133" s="27"/>
      <c r="R133" s="27"/>
      <c r="S133" s="27"/>
      <c r="T133" s="27"/>
      <c r="U133" s="28"/>
      <c r="V133" s="28"/>
      <c r="W133" s="27"/>
      <c r="X133" s="32" t="str">
        <f aca="false">IF(A133="","",IF(OR(C133="Planned",C133="Contacted",C133="Meeting",C133="Proposal sent",C133="Negotiation"),"Yes","No"))</f>
        <v/>
      </c>
      <c r="Y133" s="32" t="str">
        <f aca="false">IF(A133="","",IF(AND(C133="Won",P133&lt;&gt;"",P133&lt;=S_Today+S_RenewalDays,COUNTIFS($A$3:$A$502,A133,$F$3:$F$502,"Yes",$X$3:$X$502,"Yes")=0),"Renewal due",IF(X133&lt;&gt;"Yes","",IF(OR(L133="",M133=""),"Missing next action",IF(M133&lt;S_Today,"Overdue",IF(AND(C133="Contacted",_xlfn.MAXIFS(Interactions!$A$3:$A$502,Interactions!$B$3:$B$502,A133,Interactions!$F$3:$F$502,"Sent by us")&gt;0,_xlfn.MAXIFS(Interactions!$A$3:$A$502,Interactions!$B$3:$B$502,A133,Interactions!$F$3:$F$502,"Sent by us")&lt;=S_Today-S_NoReplyDays,MAX(_xlfn.MAXIFS(Interactions!$A$3:$A$502,Interactions!$B$3:$B$502,A133,Interactions!$F$3:$F$502,"Received from them"),_xlfn.MAXIFS(Interactions!$A$3:$A$502,Interactions!$B$3:$B$502,A133,Interactions!$F$3:$F$502,"Two-way"))&lt;_xlfn.MAXIFS(Interactions!$A$3:$A$502,Interactions!$B$3:$B$502,A133,Interactions!$F$3:$F$502,"Sent by us")),"No reply",IF(M133&lt;=S_Today+7,"Due this week","")))))))</f>
        <v/>
      </c>
      <c r="Z133" s="34" t="str">
        <f aca="false">IF(OR(A133="",Y133=""),"",IF(Y133="Renewal due",100000,IF(Y133="Overdue",200000,IF(Y133="No reply",300000,IF(Y133="Due this week",400000,500000))))+IF(Y133="Renewal due",P133-40000,IF(Y133="Missing next action",0,M133-40000))+ROW()/100000)</f>
        <v/>
      </c>
      <c r="AA133" s="32" t="str">
        <f aca="false">IF(A133="","",_xlfn.TEXTJOIN(", ",TRUE(),IF(AND(X133="Yes",D133=""),"No owner",IF(AND(D133&lt;&gt;"",COUNTIFS(R_TeamName,D133,R_TeamActive,"No")&gt;0),"Needs new owner","")),IF(AND(OR(C133="Proposal sent",C133="Negotiation"),H133="",I133="",K133=""),"Add package or proposed value",""),IF(AND(C133="Won",OR(P133="",V133="")),"Won needs renewal date and closed on",""),IF(AND(C133="Won",G133="Cash",J133=""),"Add agreed value",""),IF(AND(C133="Lost",OR(S133="",V133="")),"Lost needs reason and closed on",""),IF(AND(C133="Nurture",OR(T133="",U133="")),"Nurture needs reason and date","")))</f>
        <v/>
      </c>
      <c r="AB133" s="34" t="str">
        <f aca="false">IF(AND(C133="Won",V133&lt;&gt;"",V133&gt;=S_SemStart,V133&lt;=S_SemEnd),V133+ROW()/100000,"")</f>
        <v/>
      </c>
      <c r="AC133" s="34" t="str">
        <f aca="false">IF(AND(C133="Lost",V133&lt;&gt;"",V133&gt;=S_SemStart,V133&lt;=S_SemEnd),V133+ROW()/100000,"")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9"/>
      <c r="J134" s="29"/>
      <c r="K134" s="27"/>
      <c r="L134" s="27"/>
      <c r="M134" s="28"/>
      <c r="N134" s="28"/>
      <c r="O134" s="28"/>
      <c r="P134" s="28"/>
      <c r="Q134" s="27"/>
      <c r="R134" s="27"/>
      <c r="S134" s="27"/>
      <c r="T134" s="27"/>
      <c r="U134" s="28"/>
      <c r="V134" s="28"/>
      <c r="W134" s="27"/>
      <c r="X134" s="32" t="str">
        <f aca="false">IF(A134="","",IF(OR(C134="Planned",C134="Contacted",C134="Meeting",C134="Proposal sent",C134="Negotiation"),"Yes","No"))</f>
        <v/>
      </c>
      <c r="Y134" s="32" t="str">
        <f aca="false">IF(A134="","",IF(AND(C134="Won",P134&lt;&gt;"",P134&lt;=S_Today+S_RenewalDays,COUNTIFS($A$3:$A$502,A134,$F$3:$F$502,"Yes",$X$3:$X$502,"Yes")=0),"Renewal due",IF(X134&lt;&gt;"Yes","",IF(OR(L134="",M134=""),"Missing next action",IF(M134&lt;S_Today,"Overdue",IF(AND(C134="Contacted",_xlfn.MAXIFS(Interactions!$A$3:$A$502,Interactions!$B$3:$B$502,A134,Interactions!$F$3:$F$502,"Sent by us")&gt;0,_xlfn.MAXIFS(Interactions!$A$3:$A$502,Interactions!$B$3:$B$502,A134,Interactions!$F$3:$F$502,"Sent by us")&lt;=S_Today-S_NoReplyDays,MAX(_xlfn.MAXIFS(Interactions!$A$3:$A$502,Interactions!$B$3:$B$502,A134,Interactions!$F$3:$F$502,"Received from them"),_xlfn.MAXIFS(Interactions!$A$3:$A$502,Interactions!$B$3:$B$502,A134,Interactions!$F$3:$F$502,"Two-way"))&lt;_xlfn.MAXIFS(Interactions!$A$3:$A$502,Interactions!$B$3:$B$502,A134,Interactions!$F$3:$F$502,"Sent by us")),"No reply",IF(M134&lt;=S_Today+7,"Due this week","")))))))</f>
        <v/>
      </c>
      <c r="Z134" s="34" t="str">
        <f aca="false">IF(OR(A134="",Y134=""),"",IF(Y134="Renewal due",100000,IF(Y134="Overdue",200000,IF(Y134="No reply",300000,IF(Y134="Due this week",400000,500000))))+IF(Y134="Renewal due",P134-40000,IF(Y134="Missing next action",0,M134-40000))+ROW()/100000)</f>
        <v/>
      </c>
      <c r="AA134" s="32" t="str">
        <f aca="false">IF(A134="","",_xlfn.TEXTJOIN(", ",TRUE(),IF(AND(X134="Yes",D134=""),"No owner",IF(AND(D134&lt;&gt;"",COUNTIFS(R_TeamName,D134,R_TeamActive,"No")&gt;0),"Needs new owner","")),IF(AND(OR(C134="Proposal sent",C134="Negotiation"),H134="",I134="",K134=""),"Add package or proposed value",""),IF(AND(C134="Won",OR(P134="",V134="")),"Won needs renewal date and closed on",""),IF(AND(C134="Won",G134="Cash",J134=""),"Add agreed value",""),IF(AND(C134="Lost",OR(S134="",V134="")),"Lost needs reason and closed on",""),IF(AND(C134="Nurture",OR(T134="",U134="")),"Nurture needs reason and date","")))</f>
        <v/>
      </c>
      <c r="AB134" s="34" t="str">
        <f aca="false">IF(AND(C134="Won",V134&lt;&gt;"",V134&gt;=S_SemStart,V134&lt;=S_SemEnd),V134+ROW()/100000,"")</f>
        <v/>
      </c>
      <c r="AC134" s="34" t="str">
        <f aca="false">IF(AND(C134="Lost",V134&lt;&gt;"",V134&gt;=S_SemStart,V134&lt;=S_SemEnd),V134+ROW()/100000,"")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9"/>
      <c r="J135" s="29"/>
      <c r="K135" s="27"/>
      <c r="L135" s="27"/>
      <c r="M135" s="28"/>
      <c r="N135" s="28"/>
      <c r="O135" s="28"/>
      <c r="P135" s="28"/>
      <c r="Q135" s="27"/>
      <c r="R135" s="27"/>
      <c r="S135" s="27"/>
      <c r="T135" s="27"/>
      <c r="U135" s="28"/>
      <c r="V135" s="28"/>
      <c r="W135" s="27"/>
      <c r="X135" s="32" t="str">
        <f aca="false">IF(A135="","",IF(OR(C135="Planned",C135="Contacted",C135="Meeting",C135="Proposal sent",C135="Negotiation"),"Yes","No"))</f>
        <v/>
      </c>
      <c r="Y135" s="32" t="str">
        <f aca="false">IF(A135="","",IF(AND(C135="Won",P135&lt;&gt;"",P135&lt;=S_Today+S_RenewalDays,COUNTIFS($A$3:$A$502,A135,$F$3:$F$502,"Yes",$X$3:$X$502,"Yes")=0),"Renewal due",IF(X135&lt;&gt;"Yes","",IF(OR(L135="",M135=""),"Missing next action",IF(M135&lt;S_Today,"Overdue",IF(AND(C135="Contacted",_xlfn.MAXIFS(Interactions!$A$3:$A$502,Interactions!$B$3:$B$502,A135,Interactions!$F$3:$F$502,"Sent by us")&gt;0,_xlfn.MAXIFS(Interactions!$A$3:$A$502,Interactions!$B$3:$B$502,A135,Interactions!$F$3:$F$502,"Sent by us")&lt;=S_Today-S_NoReplyDays,MAX(_xlfn.MAXIFS(Interactions!$A$3:$A$502,Interactions!$B$3:$B$502,A135,Interactions!$F$3:$F$502,"Received from them"),_xlfn.MAXIFS(Interactions!$A$3:$A$502,Interactions!$B$3:$B$502,A135,Interactions!$F$3:$F$502,"Two-way"))&lt;_xlfn.MAXIFS(Interactions!$A$3:$A$502,Interactions!$B$3:$B$502,A135,Interactions!$F$3:$F$502,"Sent by us")),"No reply",IF(M135&lt;=S_Today+7,"Due this week","")))))))</f>
        <v/>
      </c>
      <c r="Z135" s="34" t="str">
        <f aca="false">IF(OR(A135="",Y135=""),"",IF(Y135="Renewal due",100000,IF(Y135="Overdue",200000,IF(Y135="No reply",300000,IF(Y135="Due this week",400000,500000))))+IF(Y135="Renewal due",P135-40000,IF(Y135="Missing next action",0,M135-40000))+ROW()/100000)</f>
        <v/>
      </c>
      <c r="AA135" s="32" t="str">
        <f aca="false">IF(A135="","",_xlfn.TEXTJOIN(", ",TRUE(),IF(AND(X135="Yes",D135=""),"No owner",IF(AND(D135&lt;&gt;"",COUNTIFS(R_TeamName,D135,R_TeamActive,"No")&gt;0),"Needs new owner","")),IF(AND(OR(C135="Proposal sent",C135="Negotiation"),H135="",I135="",K135=""),"Add package or proposed value",""),IF(AND(C135="Won",OR(P135="",V135="")),"Won needs renewal date and closed on",""),IF(AND(C135="Won",G135="Cash",J135=""),"Add agreed value",""),IF(AND(C135="Lost",OR(S135="",V135="")),"Lost needs reason and closed on",""),IF(AND(C135="Nurture",OR(T135="",U135="")),"Nurture needs reason and date","")))</f>
        <v/>
      </c>
      <c r="AB135" s="34" t="str">
        <f aca="false">IF(AND(C135="Won",V135&lt;&gt;"",V135&gt;=S_SemStart,V135&lt;=S_SemEnd),V135+ROW()/100000,"")</f>
        <v/>
      </c>
      <c r="AC135" s="34" t="str">
        <f aca="false">IF(AND(C135="Lost",V135&lt;&gt;"",V135&gt;=S_SemStart,V135&lt;=S_SemEnd),V135+ROW()/100000,"")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9"/>
      <c r="J136" s="29"/>
      <c r="K136" s="27"/>
      <c r="L136" s="27"/>
      <c r="M136" s="28"/>
      <c r="N136" s="28"/>
      <c r="O136" s="28"/>
      <c r="P136" s="28"/>
      <c r="Q136" s="27"/>
      <c r="R136" s="27"/>
      <c r="S136" s="27"/>
      <c r="T136" s="27"/>
      <c r="U136" s="28"/>
      <c r="V136" s="28"/>
      <c r="W136" s="27"/>
      <c r="X136" s="32" t="str">
        <f aca="false">IF(A136="","",IF(OR(C136="Planned",C136="Contacted",C136="Meeting",C136="Proposal sent",C136="Negotiation"),"Yes","No"))</f>
        <v/>
      </c>
      <c r="Y136" s="32" t="str">
        <f aca="false">IF(A136="","",IF(AND(C136="Won",P136&lt;&gt;"",P136&lt;=S_Today+S_RenewalDays,COUNTIFS($A$3:$A$502,A136,$F$3:$F$502,"Yes",$X$3:$X$502,"Yes")=0),"Renewal due",IF(X136&lt;&gt;"Yes","",IF(OR(L136="",M136=""),"Missing next action",IF(M136&lt;S_Today,"Overdue",IF(AND(C136="Contacted",_xlfn.MAXIFS(Interactions!$A$3:$A$502,Interactions!$B$3:$B$502,A136,Interactions!$F$3:$F$502,"Sent by us")&gt;0,_xlfn.MAXIFS(Interactions!$A$3:$A$502,Interactions!$B$3:$B$502,A136,Interactions!$F$3:$F$502,"Sent by us")&lt;=S_Today-S_NoReplyDays,MAX(_xlfn.MAXIFS(Interactions!$A$3:$A$502,Interactions!$B$3:$B$502,A136,Interactions!$F$3:$F$502,"Received from them"),_xlfn.MAXIFS(Interactions!$A$3:$A$502,Interactions!$B$3:$B$502,A136,Interactions!$F$3:$F$502,"Two-way"))&lt;_xlfn.MAXIFS(Interactions!$A$3:$A$502,Interactions!$B$3:$B$502,A136,Interactions!$F$3:$F$502,"Sent by us")),"No reply",IF(M136&lt;=S_Today+7,"Due this week","")))))))</f>
        <v/>
      </c>
      <c r="Z136" s="34" t="str">
        <f aca="false">IF(OR(A136="",Y136=""),"",IF(Y136="Renewal due",100000,IF(Y136="Overdue",200000,IF(Y136="No reply",300000,IF(Y136="Due this week",400000,500000))))+IF(Y136="Renewal due",P136-40000,IF(Y136="Missing next action",0,M136-40000))+ROW()/100000)</f>
        <v/>
      </c>
      <c r="AA136" s="32" t="str">
        <f aca="false">IF(A136="","",_xlfn.TEXTJOIN(", ",TRUE(),IF(AND(X136="Yes",D136=""),"No owner",IF(AND(D136&lt;&gt;"",COUNTIFS(R_TeamName,D136,R_TeamActive,"No")&gt;0),"Needs new owner","")),IF(AND(OR(C136="Proposal sent",C136="Negotiation"),H136="",I136="",K136=""),"Add package or proposed value",""),IF(AND(C136="Won",OR(P136="",V136="")),"Won needs renewal date and closed on",""),IF(AND(C136="Won",G136="Cash",J136=""),"Add agreed value",""),IF(AND(C136="Lost",OR(S136="",V136="")),"Lost needs reason and closed on",""),IF(AND(C136="Nurture",OR(T136="",U136="")),"Nurture needs reason and date","")))</f>
        <v/>
      </c>
      <c r="AB136" s="34" t="str">
        <f aca="false">IF(AND(C136="Won",V136&lt;&gt;"",V136&gt;=S_SemStart,V136&lt;=S_SemEnd),V136+ROW()/100000,"")</f>
        <v/>
      </c>
      <c r="AC136" s="34" t="str">
        <f aca="false">IF(AND(C136="Lost",V136&lt;&gt;"",V136&gt;=S_SemStart,V136&lt;=S_SemEnd),V136+ROW()/100000,"")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9"/>
      <c r="J137" s="29"/>
      <c r="K137" s="27"/>
      <c r="L137" s="27"/>
      <c r="M137" s="28"/>
      <c r="N137" s="28"/>
      <c r="O137" s="28"/>
      <c r="P137" s="28"/>
      <c r="Q137" s="27"/>
      <c r="R137" s="27"/>
      <c r="S137" s="27"/>
      <c r="T137" s="27"/>
      <c r="U137" s="28"/>
      <c r="V137" s="28"/>
      <c r="W137" s="27"/>
      <c r="X137" s="32" t="str">
        <f aca="false">IF(A137="","",IF(OR(C137="Planned",C137="Contacted",C137="Meeting",C137="Proposal sent",C137="Negotiation"),"Yes","No"))</f>
        <v/>
      </c>
      <c r="Y137" s="32" t="str">
        <f aca="false">IF(A137="","",IF(AND(C137="Won",P137&lt;&gt;"",P137&lt;=S_Today+S_RenewalDays,COUNTIFS($A$3:$A$502,A137,$F$3:$F$502,"Yes",$X$3:$X$502,"Yes")=0),"Renewal due",IF(X137&lt;&gt;"Yes","",IF(OR(L137="",M137=""),"Missing next action",IF(M137&lt;S_Today,"Overdue",IF(AND(C137="Contacted",_xlfn.MAXIFS(Interactions!$A$3:$A$502,Interactions!$B$3:$B$502,A137,Interactions!$F$3:$F$502,"Sent by us")&gt;0,_xlfn.MAXIFS(Interactions!$A$3:$A$502,Interactions!$B$3:$B$502,A137,Interactions!$F$3:$F$502,"Sent by us")&lt;=S_Today-S_NoReplyDays,MAX(_xlfn.MAXIFS(Interactions!$A$3:$A$502,Interactions!$B$3:$B$502,A137,Interactions!$F$3:$F$502,"Received from them"),_xlfn.MAXIFS(Interactions!$A$3:$A$502,Interactions!$B$3:$B$502,A137,Interactions!$F$3:$F$502,"Two-way"))&lt;_xlfn.MAXIFS(Interactions!$A$3:$A$502,Interactions!$B$3:$B$502,A137,Interactions!$F$3:$F$502,"Sent by us")),"No reply",IF(M137&lt;=S_Today+7,"Due this week","")))))))</f>
        <v/>
      </c>
      <c r="Z137" s="34" t="str">
        <f aca="false">IF(OR(A137="",Y137=""),"",IF(Y137="Renewal due",100000,IF(Y137="Overdue",200000,IF(Y137="No reply",300000,IF(Y137="Due this week",400000,500000))))+IF(Y137="Renewal due",P137-40000,IF(Y137="Missing next action",0,M137-40000))+ROW()/100000)</f>
        <v/>
      </c>
      <c r="AA137" s="32" t="str">
        <f aca="false">IF(A137="","",_xlfn.TEXTJOIN(", ",TRUE(),IF(AND(X137="Yes",D137=""),"No owner",IF(AND(D137&lt;&gt;"",COUNTIFS(R_TeamName,D137,R_TeamActive,"No")&gt;0),"Needs new owner","")),IF(AND(OR(C137="Proposal sent",C137="Negotiation"),H137="",I137="",K137=""),"Add package or proposed value",""),IF(AND(C137="Won",OR(P137="",V137="")),"Won needs renewal date and closed on",""),IF(AND(C137="Won",G137="Cash",J137=""),"Add agreed value",""),IF(AND(C137="Lost",OR(S137="",V137="")),"Lost needs reason and closed on",""),IF(AND(C137="Nurture",OR(T137="",U137="")),"Nurture needs reason and date","")))</f>
        <v/>
      </c>
      <c r="AB137" s="34" t="str">
        <f aca="false">IF(AND(C137="Won",V137&lt;&gt;"",V137&gt;=S_SemStart,V137&lt;=S_SemEnd),V137+ROW()/100000,"")</f>
        <v/>
      </c>
      <c r="AC137" s="34" t="str">
        <f aca="false">IF(AND(C137="Lost",V137&lt;&gt;"",V137&gt;=S_SemStart,V137&lt;=S_SemEnd),V137+ROW()/100000,"")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9"/>
      <c r="J138" s="29"/>
      <c r="K138" s="27"/>
      <c r="L138" s="27"/>
      <c r="M138" s="28"/>
      <c r="N138" s="28"/>
      <c r="O138" s="28"/>
      <c r="P138" s="28"/>
      <c r="Q138" s="27"/>
      <c r="R138" s="27"/>
      <c r="S138" s="27"/>
      <c r="T138" s="27"/>
      <c r="U138" s="28"/>
      <c r="V138" s="28"/>
      <c r="W138" s="27"/>
      <c r="X138" s="32" t="str">
        <f aca="false">IF(A138="","",IF(OR(C138="Planned",C138="Contacted",C138="Meeting",C138="Proposal sent",C138="Negotiation"),"Yes","No"))</f>
        <v/>
      </c>
      <c r="Y138" s="32" t="str">
        <f aca="false">IF(A138="","",IF(AND(C138="Won",P138&lt;&gt;"",P138&lt;=S_Today+S_RenewalDays,COUNTIFS($A$3:$A$502,A138,$F$3:$F$502,"Yes",$X$3:$X$502,"Yes")=0),"Renewal due",IF(X138&lt;&gt;"Yes","",IF(OR(L138="",M138=""),"Missing next action",IF(M138&lt;S_Today,"Overdue",IF(AND(C138="Contacted",_xlfn.MAXIFS(Interactions!$A$3:$A$502,Interactions!$B$3:$B$502,A138,Interactions!$F$3:$F$502,"Sent by us")&gt;0,_xlfn.MAXIFS(Interactions!$A$3:$A$502,Interactions!$B$3:$B$502,A138,Interactions!$F$3:$F$502,"Sent by us")&lt;=S_Today-S_NoReplyDays,MAX(_xlfn.MAXIFS(Interactions!$A$3:$A$502,Interactions!$B$3:$B$502,A138,Interactions!$F$3:$F$502,"Received from them"),_xlfn.MAXIFS(Interactions!$A$3:$A$502,Interactions!$B$3:$B$502,A138,Interactions!$F$3:$F$502,"Two-way"))&lt;_xlfn.MAXIFS(Interactions!$A$3:$A$502,Interactions!$B$3:$B$502,A138,Interactions!$F$3:$F$502,"Sent by us")),"No reply",IF(M138&lt;=S_Today+7,"Due this week","")))))))</f>
        <v/>
      </c>
      <c r="Z138" s="34" t="str">
        <f aca="false">IF(OR(A138="",Y138=""),"",IF(Y138="Renewal due",100000,IF(Y138="Overdue",200000,IF(Y138="No reply",300000,IF(Y138="Due this week",400000,500000))))+IF(Y138="Renewal due",P138-40000,IF(Y138="Missing next action",0,M138-40000))+ROW()/100000)</f>
        <v/>
      </c>
      <c r="AA138" s="32" t="str">
        <f aca="false">IF(A138="","",_xlfn.TEXTJOIN(", ",TRUE(),IF(AND(X138="Yes",D138=""),"No owner",IF(AND(D138&lt;&gt;"",COUNTIFS(R_TeamName,D138,R_TeamActive,"No")&gt;0),"Needs new owner","")),IF(AND(OR(C138="Proposal sent",C138="Negotiation"),H138="",I138="",K138=""),"Add package or proposed value",""),IF(AND(C138="Won",OR(P138="",V138="")),"Won needs renewal date and closed on",""),IF(AND(C138="Won",G138="Cash",J138=""),"Add agreed value",""),IF(AND(C138="Lost",OR(S138="",V138="")),"Lost needs reason and closed on",""),IF(AND(C138="Nurture",OR(T138="",U138="")),"Nurture needs reason and date","")))</f>
        <v/>
      </c>
      <c r="AB138" s="34" t="str">
        <f aca="false">IF(AND(C138="Won",V138&lt;&gt;"",V138&gt;=S_SemStart,V138&lt;=S_SemEnd),V138+ROW()/100000,"")</f>
        <v/>
      </c>
      <c r="AC138" s="34" t="str">
        <f aca="false">IF(AND(C138="Lost",V138&lt;&gt;"",V138&gt;=S_SemStart,V138&lt;=S_SemEnd),V138+ROW()/100000,"")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9"/>
      <c r="J139" s="29"/>
      <c r="K139" s="27"/>
      <c r="L139" s="27"/>
      <c r="M139" s="28"/>
      <c r="N139" s="28"/>
      <c r="O139" s="28"/>
      <c r="P139" s="28"/>
      <c r="Q139" s="27"/>
      <c r="R139" s="27"/>
      <c r="S139" s="27"/>
      <c r="T139" s="27"/>
      <c r="U139" s="28"/>
      <c r="V139" s="28"/>
      <c r="W139" s="27"/>
      <c r="X139" s="32" t="str">
        <f aca="false">IF(A139="","",IF(OR(C139="Planned",C139="Contacted",C139="Meeting",C139="Proposal sent",C139="Negotiation"),"Yes","No"))</f>
        <v/>
      </c>
      <c r="Y139" s="32" t="str">
        <f aca="false">IF(A139="","",IF(AND(C139="Won",P139&lt;&gt;"",P139&lt;=S_Today+S_RenewalDays,COUNTIFS($A$3:$A$502,A139,$F$3:$F$502,"Yes",$X$3:$X$502,"Yes")=0),"Renewal due",IF(X139&lt;&gt;"Yes","",IF(OR(L139="",M139=""),"Missing next action",IF(M139&lt;S_Today,"Overdue",IF(AND(C139="Contacted",_xlfn.MAXIFS(Interactions!$A$3:$A$502,Interactions!$B$3:$B$502,A139,Interactions!$F$3:$F$502,"Sent by us")&gt;0,_xlfn.MAXIFS(Interactions!$A$3:$A$502,Interactions!$B$3:$B$502,A139,Interactions!$F$3:$F$502,"Sent by us")&lt;=S_Today-S_NoReplyDays,MAX(_xlfn.MAXIFS(Interactions!$A$3:$A$502,Interactions!$B$3:$B$502,A139,Interactions!$F$3:$F$502,"Received from them"),_xlfn.MAXIFS(Interactions!$A$3:$A$502,Interactions!$B$3:$B$502,A139,Interactions!$F$3:$F$502,"Two-way"))&lt;_xlfn.MAXIFS(Interactions!$A$3:$A$502,Interactions!$B$3:$B$502,A139,Interactions!$F$3:$F$502,"Sent by us")),"No reply",IF(M139&lt;=S_Today+7,"Due this week","")))))))</f>
        <v/>
      </c>
      <c r="Z139" s="34" t="str">
        <f aca="false">IF(OR(A139="",Y139=""),"",IF(Y139="Renewal due",100000,IF(Y139="Overdue",200000,IF(Y139="No reply",300000,IF(Y139="Due this week",400000,500000))))+IF(Y139="Renewal due",P139-40000,IF(Y139="Missing next action",0,M139-40000))+ROW()/100000)</f>
        <v/>
      </c>
      <c r="AA139" s="32" t="str">
        <f aca="false">IF(A139="","",_xlfn.TEXTJOIN(", ",TRUE(),IF(AND(X139="Yes",D139=""),"No owner",IF(AND(D139&lt;&gt;"",COUNTIFS(R_TeamName,D139,R_TeamActive,"No")&gt;0),"Needs new owner","")),IF(AND(OR(C139="Proposal sent",C139="Negotiation"),H139="",I139="",K139=""),"Add package or proposed value",""),IF(AND(C139="Won",OR(P139="",V139="")),"Won needs renewal date and closed on",""),IF(AND(C139="Won",G139="Cash",J139=""),"Add agreed value",""),IF(AND(C139="Lost",OR(S139="",V139="")),"Lost needs reason and closed on",""),IF(AND(C139="Nurture",OR(T139="",U139="")),"Nurture needs reason and date","")))</f>
        <v/>
      </c>
      <c r="AB139" s="34" t="str">
        <f aca="false">IF(AND(C139="Won",V139&lt;&gt;"",V139&gt;=S_SemStart,V139&lt;=S_SemEnd),V139+ROW()/100000,"")</f>
        <v/>
      </c>
      <c r="AC139" s="34" t="str">
        <f aca="false">IF(AND(C139="Lost",V139&lt;&gt;"",V139&gt;=S_SemStart,V139&lt;=S_SemEnd),V139+ROW()/100000,"")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9"/>
      <c r="J140" s="29"/>
      <c r="K140" s="27"/>
      <c r="L140" s="27"/>
      <c r="M140" s="28"/>
      <c r="N140" s="28"/>
      <c r="O140" s="28"/>
      <c r="P140" s="28"/>
      <c r="Q140" s="27"/>
      <c r="R140" s="27"/>
      <c r="S140" s="27"/>
      <c r="T140" s="27"/>
      <c r="U140" s="28"/>
      <c r="V140" s="28"/>
      <c r="W140" s="27"/>
      <c r="X140" s="32" t="str">
        <f aca="false">IF(A140="","",IF(OR(C140="Planned",C140="Contacted",C140="Meeting",C140="Proposal sent",C140="Negotiation"),"Yes","No"))</f>
        <v/>
      </c>
      <c r="Y140" s="32" t="str">
        <f aca="false">IF(A140="","",IF(AND(C140="Won",P140&lt;&gt;"",P140&lt;=S_Today+S_RenewalDays,COUNTIFS($A$3:$A$502,A140,$F$3:$F$502,"Yes",$X$3:$X$502,"Yes")=0),"Renewal due",IF(X140&lt;&gt;"Yes","",IF(OR(L140="",M140=""),"Missing next action",IF(M140&lt;S_Today,"Overdue",IF(AND(C140="Contacted",_xlfn.MAXIFS(Interactions!$A$3:$A$502,Interactions!$B$3:$B$502,A140,Interactions!$F$3:$F$502,"Sent by us")&gt;0,_xlfn.MAXIFS(Interactions!$A$3:$A$502,Interactions!$B$3:$B$502,A140,Interactions!$F$3:$F$502,"Sent by us")&lt;=S_Today-S_NoReplyDays,MAX(_xlfn.MAXIFS(Interactions!$A$3:$A$502,Interactions!$B$3:$B$502,A140,Interactions!$F$3:$F$502,"Received from them"),_xlfn.MAXIFS(Interactions!$A$3:$A$502,Interactions!$B$3:$B$502,A140,Interactions!$F$3:$F$502,"Two-way"))&lt;_xlfn.MAXIFS(Interactions!$A$3:$A$502,Interactions!$B$3:$B$502,A140,Interactions!$F$3:$F$502,"Sent by us")),"No reply",IF(M140&lt;=S_Today+7,"Due this week","")))))))</f>
        <v/>
      </c>
      <c r="Z140" s="34" t="str">
        <f aca="false">IF(OR(A140="",Y140=""),"",IF(Y140="Renewal due",100000,IF(Y140="Overdue",200000,IF(Y140="No reply",300000,IF(Y140="Due this week",400000,500000))))+IF(Y140="Renewal due",P140-40000,IF(Y140="Missing next action",0,M140-40000))+ROW()/100000)</f>
        <v/>
      </c>
      <c r="AA140" s="32" t="str">
        <f aca="false">IF(A140="","",_xlfn.TEXTJOIN(", ",TRUE(),IF(AND(X140="Yes",D140=""),"No owner",IF(AND(D140&lt;&gt;"",COUNTIFS(R_TeamName,D140,R_TeamActive,"No")&gt;0),"Needs new owner","")),IF(AND(OR(C140="Proposal sent",C140="Negotiation"),H140="",I140="",K140=""),"Add package or proposed value",""),IF(AND(C140="Won",OR(P140="",V140="")),"Won needs renewal date and closed on",""),IF(AND(C140="Won",G140="Cash",J140=""),"Add agreed value",""),IF(AND(C140="Lost",OR(S140="",V140="")),"Lost needs reason and closed on",""),IF(AND(C140="Nurture",OR(T140="",U140="")),"Nurture needs reason and date","")))</f>
        <v/>
      </c>
      <c r="AB140" s="34" t="str">
        <f aca="false">IF(AND(C140="Won",V140&lt;&gt;"",V140&gt;=S_SemStart,V140&lt;=S_SemEnd),V140+ROW()/100000,"")</f>
        <v/>
      </c>
      <c r="AC140" s="34" t="str">
        <f aca="false">IF(AND(C140="Lost",V140&lt;&gt;"",V140&gt;=S_SemStart,V140&lt;=S_SemEnd),V140+ROW()/100000,"")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9"/>
      <c r="J141" s="29"/>
      <c r="K141" s="27"/>
      <c r="L141" s="27"/>
      <c r="M141" s="28"/>
      <c r="N141" s="28"/>
      <c r="O141" s="28"/>
      <c r="P141" s="28"/>
      <c r="Q141" s="27"/>
      <c r="R141" s="27"/>
      <c r="S141" s="27"/>
      <c r="T141" s="27"/>
      <c r="U141" s="28"/>
      <c r="V141" s="28"/>
      <c r="W141" s="27"/>
      <c r="X141" s="32" t="str">
        <f aca="false">IF(A141="","",IF(OR(C141="Planned",C141="Contacted",C141="Meeting",C141="Proposal sent",C141="Negotiation"),"Yes","No"))</f>
        <v/>
      </c>
      <c r="Y141" s="32" t="str">
        <f aca="false">IF(A141="","",IF(AND(C141="Won",P141&lt;&gt;"",P141&lt;=S_Today+S_RenewalDays,COUNTIFS($A$3:$A$502,A141,$F$3:$F$502,"Yes",$X$3:$X$502,"Yes")=0),"Renewal due",IF(X141&lt;&gt;"Yes","",IF(OR(L141="",M141=""),"Missing next action",IF(M141&lt;S_Today,"Overdue",IF(AND(C141="Contacted",_xlfn.MAXIFS(Interactions!$A$3:$A$502,Interactions!$B$3:$B$502,A141,Interactions!$F$3:$F$502,"Sent by us")&gt;0,_xlfn.MAXIFS(Interactions!$A$3:$A$502,Interactions!$B$3:$B$502,A141,Interactions!$F$3:$F$502,"Sent by us")&lt;=S_Today-S_NoReplyDays,MAX(_xlfn.MAXIFS(Interactions!$A$3:$A$502,Interactions!$B$3:$B$502,A141,Interactions!$F$3:$F$502,"Received from them"),_xlfn.MAXIFS(Interactions!$A$3:$A$502,Interactions!$B$3:$B$502,A141,Interactions!$F$3:$F$502,"Two-way"))&lt;_xlfn.MAXIFS(Interactions!$A$3:$A$502,Interactions!$B$3:$B$502,A141,Interactions!$F$3:$F$502,"Sent by us")),"No reply",IF(M141&lt;=S_Today+7,"Due this week","")))))))</f>
        <v/>
      </c>
      <c r="Z141" s="34" t="str">
        <f aca="false">IF(OR(A141="",Y141=""),"",IF(Y141="Renewal due",100000,IF(Y141="Overdue",200000,IF(Y141="No reply",300000,IF(Y141="Due this week",400000,500000))))+IF(Y141="Renewal due",P141-40000,IF(Y141="Missing next action",0,M141-40000))+ROW()/100000)</f>
        <v/>
      </c>
      <c r="AA141" s="32" t="str">
        <f aca="false">IF(A141="","",_xlfn.TEXTJOIN(", ",TRUE(),IF(AND(X141="Yes",D141=""),"No owner",IF(AND(D141&lt;&gt;"",COUNTIFS(R_TeamName,D141,R_TeamActive,"No")&gt;0),"Needs new owner","")),IF(AND(OR(C141="Proposal sent",C141="Negotiation"),H141="",I141="",K141=""),"Add package or proposed value",""),IF(AND(C141="Won",OR(P141="",V141="")),"Won needs renewal date and closed on",""),IF(AND(C141="Won",G141="Cash",J141=""),"Add agreed value",""),IF(AND(C141="Lost",OR(S141="",V141="")),"Lost needs reason and closed on",""),IF(AND(C141="Nurture",OR(T141="",U141="")),"Nurture needs reason and date","")))</f>
        <v/>
      </c>
      <c r="AB141" s="34" t="str">
        <f aca="false">IF(AND(C141="Won",V141&lt;&gt;"",V141&gt;=S_SemStart,V141&lt;=S_SemEnd),V141+ROW()/100000,"")</f>
        <v/>
      </c>
      <c r="AC141" s="34" t="str">
        <f aca="false">IF(AND(C141="Lost",V141&lt;&gt;"",V141&gt;=S_SemStart,V141&lt;=S_SemEnd),V141+ROW()/100000,"")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9"/>
      <c r="J142" s="29"/>
      <c r="K142" s="27"/>
      <c r="L142" s="27"/>
      <c r="M142" s="28"/>
      <c r="N142" s="28"/>
      <c r="O142" s="28"/>
      <c r="P142" s="28"/>
      <c r="Q142" s="27"/>
      <c r="R142" s="27"/>
      <c r="S142" s="27"/>
      <c r="T142" s="27"/>
      <c r="U142" s="28"/>
      <c r="V142" s="28"/>
      <c r="W142" s="27"/>
      <c r="X142" s="32" t="str">
        <f aca="false">IF(A142="","",IF(OR(C142="Planned",C142="Contacted",C142="Meeting",C142="Proposal sent",C142="Negotiation"),"Yes","No"))</f>
        <v/>
      </c>
      <c r="Y142" s="32" t="str">
        <f aca="false">IF(A142="","",IF(AND(C142="Won",P142&lt;&gt;"",P142&lt;=S_Today+S_RenewalDays,COUNTIFS($A$3:$A$502,A142,$F$3:$F$502,"Yes",$X$3:$X$502,"Yes")=0),"Renewal due",IF(X142&lt;&gt;"Yes","",IF(OR(L142="",M142=""),"Missing next action",IF(M142&lt;S_Today,"Overdue",IF(AND(C142="Contacted",_xlfn.MAXIFS(Interactions!$A$3:$A$502,Interactions!$B$3:$B$502,A142,Interactions!$F$3:$F$502,"Sent by us")&gt;0,_xlfn.MAXIFS(Interactions!$A$3:$A$502,Interactions!$B$3:$B$502,A142,Interactions!$F$3:$F$502,"Sent by us")&lt;=S_Today-S_NoReplyDays,MAX(_xlfn.MAXIFS(Interactions!$A$3:$A$502,Interactions!$B$3:$B$502,A142,Interactions!$F$3:$F$502,"Received from them"),_xlfn.MAXIFS(Interactions!$A$3:$A$502,Interactions!$B$3:$B$502,A142,Interactions!$F$3:$F$502,"Two-way"))&lt;_xlfn.MAXIFS(Interactions!$A$3:$A$502,Interactions!$B$3:$B$502,A142,Interactions!$F$3:$F$502,"Sent by us")),"No reply",IF(M142&lt;=S_Today+7,"Due this week","")))))))</f>
        <v/>
      </c>
      <c r="Z142" s="34" t="str">
        <f aca="false">IF(OR(A142="",Y142=""),"",IF(Y142="Renewal due",100000,IF(Y142="Overdue",200000,IF(Y142="No reply",300000,IF(Y142="Due this week",400000,500000))))+IF(Y142="Renewal due",P142-40000,IF(Y142="Missing next action",0,M142-40000))+ROW()/100000)</f>
        <v/>
      </c>
      <c r="AA142" s="32" t="str">
        <f aca="false">IF(A142="","",_xlfn.TEXTJOIN(", ",TRUE(),IF(AND(X142="Yes",D142=""),"No owner",IF(AND(D142&lt;&gt;"",COUNTIFS(R_TeamName,D142,R_TeamActive,"No")&gt;0),"Needs new owner","")),IF(AND(OR(C142="Proposal sent",C142="Negotiation"),H142="",I142="",K142=""),"Add package or proposed value",""),IF(AND(C142="Won",OR(P142="",V142="")),"Won needs renewal date and closed on",""),IF(AND(C142="Won",G142="Cash",J142=""),"Add agreed value",""),IF(AND(C142="Lost",OR(S142="",V142="")),"Lost needs reason and closed on",""),IF(AND(C142="Nurture",OR(T142="",U142="")),"Nurture needs reason and date","")))</f>
        <v/>
      </c>
      <c r="AB142" s="34" t="str">
        <f aca="false">IF(AND(C142="Won",V142&lt;&gt;"",V142&gt;=S_SemStart,V142&lt;=S_SemEnd),V142+ROW()/100000,"")</f>
        <v/>
      </c>
      <c r="AC142" s="34" t="str">
        <f aca="false">IF(AND(C142="Lost",V142&lt;&gt;"",V142&gt;=S_SemStart,V142&lt;=S_SemEnd),V142+ROW()/100000,"")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9"/>
      <c r="J143" s="29"/>
      <c r="K143" s="27"/>
      <c r="L143" s="27"/>
      <c r="M143" s="28"/>
      <c r="N143" s="28"/>
      <c r="O143" s="28"/>
      <c r="P143" s="28"/>
      <c r="Q143" s="27"/>
      <c r="R143" s="27"/>
      <c r="S143" s="27"/>
      <c r="T143" s="27"/>
      <c r="U143" s="28"/>
      <c r="V143" s="28"/>
      <c r="W143" s="27"/>
      <c r="X143" s="32" t="str">
        <f aca="false">IF(A143="","",IF(OR(C143="Planned",C143="Contacted",C143="Meeting",C143="Proposal sent",C143="Negotiation"),"Yes","No"))</f>
        <v/>
      </c>
      <c r="Y143" s="32" t="str">
        <f aca="false">IF(A143="","",IF(AND(C143="Won",P143&lt;&gt;"",P143&lt;=S_Today+S_RenewalDays,COUNTIFS($A$3:$A$502,A143,$F$3:$F$502,"Yes",$X$3:$X$502,"Yes")=0),"Renewal due",IF(X143&lt;&gt;"Yes","",IF(OR(L143="",M143=""),"Missing next action",IF(M143&lt;S_Today,"Overdue",IF(AND(C143="Contacted",_xlfn.MAXIFS(Interactions!$A$3:$A$502,Interactions!$B$3:$B$502,A143,Interactions!$F$3:$F$502,"Sent by us")&gt;0,_xlfn.MAXIFS(Interactions!$A$3:$A$502,Interactions!$B$3:$B$502,A143,Interactions!$F$3:$F$502,"Sent by us")&lt;=S_Today-S_NoReplyDays,MAX(_xlfn.MAXIFS(Interactions!$A$3:$A$502,Interactions!$B$3:$B$502,A143,Interactions!$F$3:$F$502,"Received from them"),_xlfn.MAXIFS(Interactions!$A$3:$A$502,Interactions!$B$3:$B$502,A143,Interactions!$F$3:$F$502,"Two-way"))&lt;_xlfn.MAXIFS(Interactions!$A$3:$A$502,Interactions!$B$3:$B$502,A143,Interactions!$F$3:$F$502,"Sent by us")),"No reply",IF(M143&lt;=S_Today+7,"Due this week","")))))))</f>
        <v/>
      </c>
      <c r="Z143" s="34" t="str">
        <f aca="false">IF(OR(A143="",Y143=""),"",IF(Y143="Renewal due",100000,IF(Y143="Overdue",200000,IF(Y143="No reply",300000,IF(Y143="Due this week",400000,500000))))+IF(Y143="Renewal due",P143-40000,IF(Y143="Missing next action",0,M143-40000))+ROW()/100000)</f>
        <v/>
      </c>
      <c r="AA143" s="32" t="str">
        <f aca="false">IF(A143="","",_xlfn.TEXTJOIN(", ",TRUE(),IF(AND(X143="Yes",D143=""),"No owner",IF(AND(D143&lt;&gt;"",COUNTIFS(R_TeamName,D143,R_TeamActive,"No")&gt;0),"Needs new owner","")),IF(AND(OR(C143="Proposal sent",C143="Negotiation"),H143="",I143="",K143=""),"Add package or proposed value",""),IF(AND(C143="Won",OR(P143="",V143="")),"Won needs renewal date and closed on",""),IF(AND(C143="Won",G143="Cash",J143=""),"Add agreed value",""),IF(AND(C143="Lost",OR(S143="",V143="")),"Lost needs reason and closed on",""),IF(AND(C143="Nurture",OR(T143="",U143="")),"Nurture needs reason and date","")))</f>
        <v/>
      </c>
      <c r="AB143" s="34" t="str">
        <f aca="false">IF(AND(C143="Won",V143&lt;&gt;"",V143&gt;=S_SemStart,V143&lt;=S_SemEnd),V143+ROW()/100000,"")</f>
        <v/>
      </c>
      <c r="AC143" s="34" t="str">
        <f aca="false">IF(AND(C143="Lost",V143&lt;&gt;"",V143&gt;=S_SemStart,V143&lt;=S_SemEnd),V143+ROW()/100000,"")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9"/>
      <c r="J144" s="29"/>
      <c r="K144" s="27"/>
      <c r="L144" s="27"/>
      <c r="M144" s="28"/>
      <c r="N144" s="28"/>
      <c r="O144" s="28"/>
      <c r="P144" s="28"/>
      <c r="Q144" s="27"/>
      <c r="R144" s="27"/>
      <c r="S144" s="27"/>
      <c r="T144" s="27"/>
      <c r="U144" s="28"/>
      <c r="V144" s="28"/>
      <c r="W144" s="27"/>
      <c r="X144" s="32" t="str">
        <f aca="false">IF(A144="","",IF(OR(C144="Planned",C144="Contacted",C144="Meeting",C144="Proposal sent",C144="Negotiation"),"Yes","No"))</f>
        <v/>
      </c>
      <c r="Y144" s="32" t="str">
        <f aca="false">IF(A144="","",IF(AND(C144="Won",P144&lt;&gt;"",P144&lt;=S_Today+S_RenewalDays,COUNTIFS($A$3:$A$502,A144,$F$3:$F$502,"Yes",$X$3:$X$502,"Yes")=0),"Renewal due",IF(X144&lt;&gt;"Yes","",IF(OR(L144="",M144=""),"Missing next action",IF(M144&lt;S_Today,"Overdue",IF(AND(C144="Contacted",_xlfn.MAXIFS(Interactions!$A$3:$A$502,Interactions!$B$3:$B$502,A144,Interactions!$F$3:$F$502,"Sent by us")&gt;0,_xlfn.MAXIFS(Interactions!$A$3:$A$502,Interactions!$B$3:$B$502,A144,Interactions!$F$3:$F$502,"Sent by us")&lt;=S_Today-S_NoReplyDays,MAX(_xlfn.MAXIFS(Interactions!$A$3:$A$502,Interactions!$B$3:$B$502,A144,Interactions!$F$3:$F$502,"Received from them"),_xlfn.MAXIFS(Interactions!$A$3:$A$502,Interactions!$B$3:$B$502,A144,Interactions!$F$3:$F$502,"Two-way"))&lt;_xlfn.MAXIFS(Interactions!$A$3:$A$502,Interactions!$B$3:$B$502,A144,Interactions!$F$3:$F$502,"Sent by us")),"No reply",IF(M144&lt;=S_Today+7,"Due this week","")))))))</f>
        <v/>
      </c>
      <c r="Z144" s="34" t="str">
        <f aca="false">IF(OR(A144="",Y144=""),"",IF(Y144="Renewal due",100000,IF(Y144="Overdue",200000,IF(Y144="No reply",300000,IF(Y144="Due this week",400000,500000))))+IF(Y144="Renewal due",P144-40000,IF(Y144="Missing next action",0,M144-40000))+ROW()/100000)</f>
        <v/>
      </c>
      <c r="AA144" s="32" t="str">
        <f aca="false">IF(A144="","",_xlfn.TEXTJOIN(", ",TRUE(),IF(AND(X144="Yes",D144=""),"No owner",IF(AND(D144&lt;&gt;"",COUNTIFS(R_TeamName,D144,R_TeamActive,"No")&gt;0),"Needs new owner","")),IF(AND(OR(C144="Proposal sent",C144="Negotiation"),H144="",I144="",K144=""),"Add package or proposed value",""),IF(AND(C144="Won",OR(P144="",V144="")),"Won needs renewal date and closed on",""),IF(AND(C144="Won",G144="Cash",J144=""),"Add agreed value",""),IF(AND(C144="Lost",OR(S144="",V144="")),"Lost needs reason and closed on",""),IF(AND(C144="Nurture",OR(T144="",U144="")),"Nurture needs reason and date","")))</f>
        <v/>
      </c>
      <c r="AB144" s="34" t="str">
        <f aca="false">IF(AND(C144="Won",V144&lt;&gt;"",V144&gt;=S_SemStart,V144&lt;=S_SemEnd),V144+ROW()/100000,"")</f>
        <v/>
      </c>
      <c r="AC144" s="34" t="str">
        <f aca="false">IF(AND(C144="Lost",V144&lt;&gt;"",V144&gt;=S_SemStart,V144&lt;=S_SemEnd),V144+ROW()/100000,"")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9"/>
      <c r="J145" s="29"/>
      <c r="K145" s="27"/>
      <c r="L145" s="27"/>
      <c r="M145" s="28"/>
      <c r="N145" s="28"/>
      <c r="O145" s="28"/>
      <c r="P145" s="28"/>
      <c r="Q145" s="27"/>
      <c r="R145" s="27"/>
      <c r="S145" s="27"/>
      <c r="T145" s="27"/>
      <c r="U145" s="28"/>
      <c r="V145" s="28"/>
      <c r="W145" s="27"/>
      <c r="X145" s="32" t="str">
        <f aca="false">IF(A145="","",IF(OR(C145="Planned",C145="Contacted",C145="Meeting",C145="Proposal sent",C145="Negotiation"),"Yes","No"))</f>
        <v/>
      </c>
      <c r="Y145" s="32" t="str">
        <f aca="false">IF(A145="","",IF(AND(C145="Won",P145&lt;&gt;"",P145&lt;=S_Today+S_RenewalDays,COUNTIFS($A$3:$A$502,A145,$F$3:$F$502,"Yes",$X$3:$X$502,"Yes")=0),"Renewal due",IF(X145&lt;&gt;"Yes","",IF(OR(L145="",M145=""),"Missing next action",IF(M145&lt;S_Today,"Overdue",IF(AND(C145="Contacted",_xlfn.MAXIFS(Interactions!$A$3:$A$502,Interactions!$B$3:$B$502,A145,Interactions!$F$3:$F$502,"Sent by us")&gt;0,_xlfn.MAXIFS(Interactions!$A$3:$A$502,Interactions!$B$3:$B$502,A145,Interactions!$F$3:$F$502,"Sent by us")&lt;=S_Today-S_NoReplyDays,MAX(_xlfn.MAXIFS(Interactions!$A$3:$A$502,Interactions!$B$3:$B$502,A145,Interactions!$F$3:$F$502,"Received from them"),_xlfn.MAXIFS(Interactions!$A$3:$A$502,Interactions!$B$3:$B$502,A145,Interactions!$F$3:$F$502,"Two-way"))&lt;_xlfn.MAXIFS(Interactions!$A$3:$A$502,Interactions!$B$3:$B$502,A145,Interactions!$F$3:$F$502,"Sent by us")),"No reply",IF(M145&lt;=S_Today+7,"Due this week","")))))))</f>
        <v/>
      </c>
      <c r="Z145" s="34" t="str">
        <f aca="false">IF(OR(A145="",Y145=""),"",IF(Y145="Renewal due",100000,IF(Y145="Overdue",200000,IF(Y145="No reply",300000,IF(Y145="Due this week",400000,500000))))+IF(Y145="Renewal due",P145-40000,IF(Y145="Missing next action",0,M145-40000))+ROW()/100000)</f>
        <v/>
      </c>
      <c r="AA145" s="32" t="str">
        <f aca="false">IF(A145="","",_xlfn.TEXTJOIN(", ",TRUE(),IF(AND(X145="Yes",D145=""),"No owner",IF(AND(D145&lt;&gt;"",COUNTIFS(R_TeamName,D145,R_TeamActive,"No")&gt;0),"Needs new owner","")),IF(AND(OR(C145="Proposal sent",C145="Negotiation"),H145="",I145="",K145=""),"Add package or proposed value",""),IF(AND(C145="Won",OR(P145="",V145="")),"Won needs renewal date and closed on",""),IF(AND(C145="Won",G145="Cash",J145=""),"Add agreed value",""),IF(AND(C145="Lost",OR(S145="",V145="")),"Lost needs reason and closed on",""),IF(AND(C145="Nurture",OR(T145="",U145="")),"Nurture needs reason and date","")))</f>
        <v/>
      </c>
      <c r="AB145" s="34" t="str">
        <f aca="false">IF(AND(C145="Won",V145&lt;&gt;"",V145&gt;=S_SemStart,V145&lt;=S_SemEnd),V145+ROW()/100000,"")</f>
        <v/>
      </c>
      <c r="AC145" s="34" t="str">
        <f aca="false">IF(AND(C145="Lost",V145&lt;&gt;"",V145&gt;=S_SemStart,V145&lt;=S_SemEnd),V145+ROW()/100000,"")</f>
        <v/>
      </c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9"/>
      <c r="J146" s="29"/>
      <c r="K146" s="27"/>
      <c r="L146" s="27"/>
      <c r="M146" s="28"/>
      <c r="N146" s="28"/>
      <c r="O146" s="28"/>
      <c r="P146" s="28"/>
      <c r="Q146" s="27"/>
      <c r="R146" s="27"/>
      <c r="S146" s="27"/>
      <c r="T146" s="27"/>
      <c r="U146" s="28"/>
      <c r="V146" s="28"/>
      <c r="W146" s="27"/>
      <c r="X146" s="32" t="str">
        <f aca="false">IF(A146="","",IF(OR(C146="Planned",C146="Contacted",C146="Meeting",C146="Proposal sent",C146="Negotiation"),"Yes","No"))</f>
        <v/>
      </c>
      <c r="Y146" s="32" t="str">
        <f aca="false">IF(A146="","",IF(AND(C146="Won",P146&lt;&gt;"",P146&lt;=S_Today+S_RenewalDays,COUNTIFS($A$3:$A$502,A146,$F$3:$F$502,"Yes",$X$3:$X$502,"Yes")=0),"Renewal due",IF(X146&lt;&gt;"Yes","",IF(OR(L146="",M146=""),"Missing next action",IF(M146&lt;S_Today,"Overdue",IF(AND(C146="Contacted",_xlfn.MAXIFS(Interactions!$A$3:$A$502,Interactions!$B$3:$B$502,A146,Interactions!$F$3:$F$502,"Sent by us")&gt;0,_xlfn.MAXIFS(Interactions!$A$3:$A$502,Interactions!$B$3:$B$502,A146,Interactions!$F$3:$F$502,"Sent by us")&lt;=S_Today-S_NoReplyDays,MAX(_xlfn.MAXIFS(Interactions!$A$3:$A$502,Interactions!$B$3:$B$502,A146,Interactions!$F$3:$F$502,"Received from them"),_xlfn.MAXIFS(Interactions!$A$3:$A$502,Interactions!$B$3:$B$502,A146,Interactions!$F$3:$F$502,"Two-way"))&lt;_xlfn.MAXIFS(Interactions!$A$3:$A$502,Interactions!$B$3:$B$502,A146,Interactions!$F$3:$F$502,"Sent by us")),"No reply",IF(M146&lt;=S_Today+7,"Due this week","")))))))</f>
        <v/>
      </c>
      <c r="Z146" s="34" t="str">
        <f aca="false">IF(OR(A146="",Y146=""),"",IF(Y146="Renewal due",100000,IF(Y146="Overdue",200000,IF(Y146="No reply",300000,IF(Y146="Due this week",400000,500000))))+IF(Y146="Renewal due",P146-40000,IF(Y146="Missing next action",0,M146-40000))+ROW()/100000)</f>
        <v/>
      </c>
      <c r="AA146" s="32" t="str">
        <f aca="false">IF(A146="","",_xlfn.TEXTJOIN(", ",TRUE(),IF(AND(X146="Yes",D146=""),"No owner",IF(AND(D146&lt;&gt;"",COUNTIFS(R_TeamName,D146,R_TeamActive,"No")&gt;0),"Needs new owner","")),IF(AND(OR(C146="Proposal sent",C146="Negotiation"),H146="",I146="",K146=""),"Add package or proposed value",""),IF(AND(C146="Won",OR(P146="",V146="")),"Won needs renewal date and closed on",""),IF(AND(C146="Won",G146="Cash",J146=""),"Add agreed value",""),IF(AND(C146="Lost",OR(S146="",V146="")),"Lost needs reason and closed on",""),IF(AND(C146="Nurture",OR(T146="",U146="")),"Nurture needs reason and date","")))</f>
        <v/>
      </c>
      <c r="AB146" s="34" t="str">
        <f aca="false">IF(AND(C146="Won",V146&lt;&gt;"",V146&gt;=S_SemStart,V146&lt;=S_SemEnd),V146+ROW()/100000,"")</f>
        <v/>
      </c>
      <c r="AC146" s="34" t="str">
        <f aca="false">IF(AND(C146="Lost",V146&lt;&gt;"",V146&gt;=S_SemStart,V146&lt;=S_SemEnd),V146+ROW()/100000,"")</f>
        <v/>
      </c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9"/>
      <c r="J147" s="29"/>
      <c r="K147" s="27"/>
      <c r="L147" s="27"/>
      <c r="M147" s="28"/>
      <c r="N147" s="28"/>
      <c r="O147" s="28"/>
      <c r="P147" s="28"/>
      <c r="Q147" s="27"/>
      <c r="R147" s="27"/>
      <c r="S147" s="27"/>
      <c r="T147" s="27"/>
      <c r="U147" s="28"/>
      <c r="V147" s="28"/>
      <c r="W147" s="27"/>
      <c r="X147" s="32" t="str">
        <f aca="false">IF(A147="","",IF(OR(C147="Planned",C147="Contacted",C147="Meeting",C147="Proposal sent",C147="Negotiation"),"Yes","No"))</f>
        <v/>
      </c>
      <c r="Y147" s="32" t="str">
        <f aca="false">IF(A147="","",IF(AND(C147="Won",P147&lt;&gt;"",P147&lt;=S_Today+S_RenewalDays,COUNTIFS($A$3:$A$502,A147,$F$3:$F$502,"Yes",$X$3:$X$502,"Yes")=0),"Renewal due",IF(X147&lt;&gt;"Yes","",IF(OR(L147="",M147=""),"Missing next action",IF(M147&lt;S_Today,"Overdue",IF(AND(C147="Contacted",_xlfn.MAXIFS(Interactions!$A$3:$A$502,Interactions!$B$3:$B$502,A147,Interactions!$F$3:$F$502,"Sent by us")&gt;0,_xlfn.MAXIFS(Interactions!$A$3:$A$502,Interactions!$B$3:$B$502,A147,Interactions!$F$3:$F$502,"Sent by us")&lt;=S_Today-S_NoReplyDays,MAX(_xlfn.MAXIFS(Interactions!$A$3:$A$502,Interactions!$B$3:$B$502,A147,Interactions!$F$3:$F$502,"Received from them"),_xlfn.MAXIFS(Interactions!$A$3:$A$502,Interactions!$B$3:$B$502,A147,Interactions!$F$3:$F$502,"Two-way"))&lt;_xlfn.MAXIFS(Interactions!$A$3:$A$502,Interactions!$B$3:$B$502,A147,Interactions!$F$3:$F$502,"Sent by us")),"No reply",IF(M147&lt;=S_Today+7,"Due this week","")))))))</f>
        <v/>
      </c>
      <c r="Z147" s="34" t="str">
        <f aca="false">IF(OR(A147="",Y147=""),"",IF(Y147="Renewal due",100000,IF(Y147="Overdue",200000,IF(Y147="No reply",300000,IF(Y147="Due this week",400000,500000))))+IF(Y147="Renewal due",P147-40000,IF(Y147="Missing next action",0,M147-40000))+ROW()/100000)</f>
        <v/>
      </c>
      <c r="AA147" s="32" t="str">
        <f aca="false">IF(A147="","",_xlfn.TEXTJOIN(", ",TRUE(),IF(AND(X147="Yes",D147=""),"No owner",IF(AND(D147&lt;&gt;"",COUNTIFS(R_TeamName,D147,R_TeamActive,"No")&gt;0),"Needs new owner","")),IF(AND(OR(C147="Proposal sent",C147="Negotiation"),H147="",I147="",K147=""),"Add package or proposed value",""),IF(AND(C147="Won",OR(P147="",V147="")),"Won needs renewal date and closed on",""),IF(AND(C147="Won",G147="Cash",J147=""),"Add agreed value",""),IF(AND(C147="Lost",OR(S147="",V147="")),"Lost needs reason and closed on",""),IF(AND(C147="Nurture",OR(T147="",U147="")),"Nurture needs reason and date","")))</f>
        <v/>
      </c>
      <c r="AB147" s="34" t="str">
        <f aca="false">IF(AND(C147="Won",V147&lt;&gt;"",V147&gt;=S_SemStart,V147&lt;=S_SemEnd),V147+ROW()/100000,"")</f>
        <v/>
      </c>
      <c r="AC147" s="34" t="str">
        <f aca="false">IF(AND(C147="Lost",V147&lt;&gt;"",V147&gt;=S_SemStart,V147&lt;=S_SemEnd),V147+ROW()/100000,"")</f>
        <v/>
      </c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9"/>
      <c r="J148" s="29"/>
      <c r="K148" s="27"/>
      <c r="L148" s="27"/>
      <c r="M148" s="28"/>
      <c r="N148" s="28"/>
      <c r="O148" s="28"/>
      <c r="P148" s="28"/>
      <c r="Q148" s="27"/>
      <c r="R148" s="27"/>
      <c r="S148" s="27"/>
      <c r="T148" s="27"/>
      <c r="U148" s="28"/>
      <c r="V148" s="28"/>
      <c r="W148" s="27"/>
      <c r="X148" s="32" t="str">
        <f aca="false">IF(A148="","",IF(OR(C148="Planned",C148="Contacted",C148="Meeting",C148="Proposal sent",C148="Negotiation"),"Yes","No"))</f>
        <v/>
      </c>
      <c r="Y148" s="32" t="str">
        <f aca="false">IF(A148="","",IF(AND(C148="Won",P148&lt;&gt;"",P148&lt;=S_Today+S_RenewalDays,COUNTIFS($A$3:$A$502,A148,$F$3:$F$502,"Yes",$X$3:$X$502,"Yes")=0),"Renewal due",IF(X148&lt;&gt;"Yes","",IF(OR(L148="",M148=""),"Missing next action",IF(M148&lt;S_Today,"Overdue",IF(AND(C148="Contacted",_xlfn.MAXIFS(Interactions!$A$3:$A$502,Interactions!$B$3:$B$502,A148,Interactions!$F$3:$F$502,"Sent by us")&gt;0,_xlfn.MAXIFS(Interactions!$A$3:$A$502,Interactions!$B$3:$B$502,A148,Interactions!$F$3:$F$502,"Sent by us")&lt;=S_Today-S_NoReplyDays,MAX(_xlfn.MAXIFS(Interactions!$A$3:$A$502,Interactions!$B$3:$B$502,A148,Interactions!$F$3:$F$502,"Received from them"),_xlfn.MAXIFS(Interactions!$A$3:$A$502,Interactions!$B$3:$B$502,A148,Interactions!$F$3:$F$502,"Two-way"))&lt;_xlfn.MAXIFS(Interactions!$A$3:$A$502,Interactions!$B$3:$B$502,A148,Interactions!$F$3:$F$502,"Sent by us")),"No reply",IF(M148&lt;=S_Today+7,"Due this week","")))))))</f>
        <v/>
      </c>
      <c r="Z148" s="34" t="str">
        <f aca="false">IF(OR(A148="",Y148=""),"",IF(Y148="Renewal due",100000,IF(Y148="Overdue",200000,IF(Y148="No reply",300000,IF(Y148="Due this week",400000,500000))))+IF(Y148="Renewal due",P148-40000,IF(Y148="Missing next action",0,M148-40000))+ROW()/100000)</f>
        <v/>
      </c>
      <c r="AA148" s="32" t="str">
        <f aca="false">IF(A148="","",_xlfn.TEXTJOIN(", ",TRUE(),IF(AND(X148="Yes",D148=""),"No owner",IF(AND(D148&lt;&gt;"",COUNTIFS(R_TeamName,D148,R_TeamActive,"No")&gt;0),"Needs new owner","")),IF(AND(OR(C148="Proposal sent",C148="Negotiation"),H148="",I148="",K148=""),"Add package or proposed value",""),IF(AND(C148="Won",OR(P148="",V148="")),"Won needs renewal date and closed on",""),IF(AND(C148="Won",G148="Cash",J148=""),"Add agreed value",""),IF(AND(C148="Lost",OR(S148="",V148="")),"Lost needs reason and closed on",""),IF(AND(C148="Nurture",OR(T148="",U148="")),"Nurture needs reason and date","")))</f>
        <v/>
      </c>
      <c r="AB148" s="34" t="str">
        <f aca="false">IF(AND(C148="Won",V148&lt;&gt;"",V148&gt;=S_SemStart,V148&lt;=S_SemEnd),V148+ROW()/100000,"")</f>
        <v/>
      </c>
      <c r="AC148" s="34" t="str">
        <f aca="false">IF(AND(C148="Lost",V148&lt;&gt;"",V148&gt;=S_SemStart,V148&lt;=S_SemEnd),V148+ROW()/100000,"")</f>
        <v/>
      </c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9"/>
      <c r="J149" s="29"/>
      <c r="K149" s="27"/>
      <c r="L149" s="27"/>
      <c r="M149" s="28"/>
      <c r="N149" s="28"/>
      <c r="O149" s="28"/>
      <c r="P149" s="28"/>
      <c r="Q149" s="27"/>
      <c r="R149" s="27"/>
      <c r="S149" s="27"/>
      <c r="T149" s="27"/>
      <c r="U149" s="28"/>
      <c r="V149" s="28"/>
      <c r="W149" s="27"/>
      <c r="X149" s="32" t="str">
        <f aca="false">IF(A149="","",IF(OR(C149="Planned",C149="Contacted",C149="Meeting",C149="Proposal sent",C149="Negotiation"),"Yes","No"))</f>
        <v/>
      </c>
      <c r="Y149" s="32" t="str">
        <f aca="false">IF(A149="","",IF(AND(C149="Won",P149&lt;&gt;"",P149&lt;=S_Today+S_RenewalDays,COUNTIFS($A$3:$A$502,A149,$F$3:$F$502,"Yes",$X$3:$X$502,"Yes")=0),"Renewal due",IF(X149&lt;&gt;"Yes","",IF(OR(L149="",M149=""),"Missing next action",IF(M149&lt;S_Today,"Overdue",IF(AND(C149="Contacted",_xlfn.MAXIFS(Interactions!$A$3:$A$502,Interactions!$B$3:$B$502,A149,Interactions!$F$3:$F$502,"Sent by us")&gt;0,_xlfn.MAXIFS(Interactions!$A$3:$A$502,Interactions!$B$3:$B$502,A149,Interactions!$F$3:$F$502,"Sent by us")&lt;=S_Today-S_NoReplyDays,MAX(_xlfn.MAXIFS(Interactions!$A$3:$A$502,Interactions!$B$3:$B$502,A149,Interactions!$F$3:$F$502,"Received from them"),_xlfn.MAXIFS(Interactions!$A$3:$A$502,Interactions!$B$3:$B$502,A149,Interactions!$F$3:$F$502,"Two-way"))&lt;_xlfn.MAXIFS(Interactions!$A$3:$A$502,Interactions!$B$3:$B$502,A149,Interactions!$F$3:$F$502,"Sent by us")),"No reply",IF(M149&lt;=S_Today+7,"Due this week","")))))))</f>
        <v/>
      </c>
      <c r="Z149" s="34" t="str">
        <f aca="false">IF(OR(A149="",Y149=""),"",IF(Y149="Renewal due",100000,IF(Y149="Overdue",200000,IF(Y149="No reply",300000,IF(Y149="Due this week",400000,500000))))+IF(Y149="Renewal due",P149-40000,IF(Y149="Missing next action",0,M149-40000))+ROW()/100000)</f>
        <v/>
      </c>
      <c r="AA149" s="32" t="str">
        <f aca="false">IF(A149="","",_xlfn.TEXTJOIN(", ",TRUE(),IF(AND(X149="Yes",D149=""),"No owner",IF(AND(D149&lt;&gt;"",COUNTIFS(R_TeamName,D149,R_TeamActive,"No")&gt;0),"Needs new owner","")),IF(AND(OR(C149="Proposal sent",C149="Negotiation"),H149="",I149="",K149=""),"Add package or proposed value",""),IF(AND(C149="Won",OR(P149="",V149="")),"Won needs renewal date and closed on",""),IF(AND(C149="Won",G149="Cash",J149=""),"Add agreed value",""),IF(AND(C149="Lost",OR(S149="",V149="")),"Lost needs reason and closed on",""),IF(AND(C149="Nurture",OR(T149="",U149="")),"Nurture needs reason and date","")))</f>
        <v/>
      </c>
      <c r="AB149" s="34" t="str">
        <f aca="false">IF(AND(C149="Won",V149&lt;&gt;"",V149&gt;=S_SemStart,V149&lt;=S_SemEnd),V149+ROW()/100000,"")</f>
        <v/>
      </c>
      <c r="AC149" s="34" t="str">
        <f aca="false">IF(AND(C149="Lost",V149&lt;&gt;"",V149&gt;=S_SemStart,V149&lt;=S_SemEnd),V149+ROW()/100000,"")</f>
        <v/>
      </c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9"/>
      <c r="J150" s="29"/>
      <c r="K150" s="27"/>
      <c r="L150" s="27"/>
      <c r="M150" s="28"/>
      <c r="N150" s="28"/>
      <c r="O150" s="28"/>
      <c r="P150" s="28"/>
      <c r="Q150" s="27"/>
      <c r="R150" s="27"/>
      <c r="S150" s="27"/>
      <c r="T150" s="27"/>
      <c r="U150" s="28"/>
      <c r="V150" s="28"/>
      <c r="W150" s="27"/>
      <c r="X150" s="32" t="str">
        <f aca="false">IF(A150="","",IF(OR(C150="Planned",C150="Contacted",C150="Meeting",C150="Proposal sent",C150="Negotiation"),"Yes","No"))</f>
        <v/>
      </c>
      <c r="Y150" s="32" t="str">
        <f aca="false">IF(A150="","",IF(AND(C150="Won",P150&lt;&gt;"",P150&lt;=S_Today+S_RenewalDays,COUNTIFS($A$3:$A$502,A150,$F$3:$F$502,"Yes",$X$3:$X$502,"Yes")=0),"Renewal due",IF(X150&lt;&gt;"Yes","",IF(OR(L150="",M150=""),"Missing next action",IF(M150&lt;S_Today,"Overdue",IF(AND(C150="Contacted",_xlfn.MAXIFS(Interactions!$A$3:$A$502,Interactions!$B$3:$B$502,A150,Interactions!$F$3:$F$502,"Sent by us")&gt;0,_xlfn.MAXIFS(Interactions!$A$3:$A$502,Interactions!$B$3:$B$502,A150,Interactions!$F$3:$F$502,"Sent by us")&lt;=S_Today-S_NoReplyDays,MAX(_xlfn.MAXIFS(Interactions!$A$3:$A$502,Interactions!$B$3:$B$502,A150,Interactions!$F$3:$F$502,"Received from them"),_xlfn.MAXIFS(Interactions!$A$3:$A$502,Interactions!$B$3:$B$502,A150,Interactions!$F$3:$F$502,"Two-way"))&lt;_xlfn.MAXIFS(Interactions!$A$3:$A$502,Interactions!$B$3:$B$502,A150,Interactions!$F$3:$F$502,"Sent by us")),"No reply",IF(M150&lt;=S_Today+7,"Due this week","")))))))</f>
        <v/>
      </c>
      <c r="Z150" s="34" t="str">
        <f aca="false">IF(OR(A150="",Y150=""),"",IF(Y150="Renewal due",100000,IF(Y150="Overdue",200000,IF(Y150="No reply",300000,IF(Y150="Due this week",400000,500000))))+IF(Y150="Renewal due",P150-40000,IF(Y150="Missing next action",0,M150-40000))+ROW()/100000)</f>
        <v/>
      </c>
      <c r="AA150" s="32" t="str">
        <f aca="false">IF(A150="","",_xlfn.TEXTJOIN(", ",TRUE(),IF(AND(X150="Yes",D150=""),"No owner",IF(AND(D150&lt;&gt;"",COUNTIFS(R_TeamName,D150,R_TeamActive,"No")&gt;0),"Needs new owner","")),IF(AND(OR(C150="Proposal sent",C150="Negotiation"),H150="",I150="",K150=""),"Add package or proposed value",""),IF(AND(C150="Won",OR(P150="",V150="")),"Won needs renewal date and closed on",""),IF(AND(C150="Won",G150="Cash",J150=""),"Add agreed value",""),IF(AND(C150="Lost",OR(S150="",V150="")),"Lost needs reason and closed on",""),IF(AND(C150="Nurture",OR(T150="",U150="")),"Nurture needs reason and date","")))</f>
        <v/>
      </c>
      <c r="AB150" s="34" t="str">
        <f aca="false">IF(AND(C150="Won",V150&lt;&gt;"",V150&gt;=S_SemStart,V150&lt;=S_SemEnd),V150+ROW()/100000,"")</f>
        <v/>
      </c>
      <c r="AC150" s="34" t="str">
        <f aca="false">IF(AND(C150="Lost",V150&lt;&gt;"",V150&gt;=S_SemStart,V150&lt;=S_SemEnd),V150+ROW()/100000,"")</f>
        <v/>
      </c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9"/>
      <c r="J151" s="29"/>
      <c r="K151" s="27"/>
      <c r="L151" s="27"/>
      <c r="M151" s="28"/>
      <c r="N151" s="28"/>
      <c r="O151" s="28"/>
      <c r="P151" s="28"/>
      <c r="Q151" s="27"/>
      <c r="R151" s="27"/>
      <c r="S151" s="27"/>
      <c r="T151" s="27"/>
      <c r="U151" s="28"/>
      <c r="V151" s="28"/>
      <c r="W151" s="27"/>
      <c r="X151" s="32" t="str">
        <f aca="false">IF(A151="","",IF(OR(C151="Planned",C151="Contacted",C151="Meeting",C151="Proposal sent",C151="Negotiation"),"Yes","No"))</f>
        <v/>
      </c>
      <c r="Y151" s="32" t="str">
        <f aca="false">IF(A151="","",IF(AND(C151="Won",P151&lt;&gt;"",P151&lt;=S_Today+S_RenewalDays,COUNTIFS($A$3:$A$502,A151,$F$3:$F$502,"Yes",$X$3:$X$502,"Yes")=0),"Renewal due",IF(X151&lt;&gt;"Yes","",IF(OR(L151="",M151=""),"Missing next action",IF(M151&lt;S_Today,"Overdue",IF(AND(C151="Contacted",_xlfn.MAXIFS(Interactions!$A$3:$A$502,Interactions!$B$3:$B$502,A151,Interactions!$F$3:$F$502,"Sent by us")&gt;0,_xlfn.MAXIFS(Interactions!$A$3:$A$502,Interactions!$B$3:$B$502,A151,Interactions!$F$3:$F$502,"Sent by us")&lt;=S_Today-S_NoReplyDays,MAX(_xlfn.MAXIFS(Interactions!$A$3:$A$502,Interactions!$B$3:$B$502,A151,Interactions!$F$3:$F$502,"Received from them"),_xlfn.MAXIFS(Interactions!$A$3:$A$502,Interactions!$B$3:$B$502,A151,Interactions!$F$3:$F$502,"Two-way"))&lt;_xlfn.MAXIFS(Interactions!$A$3:$A$502,Interactions!$B$3:$B$502,A151,Interactions!$F$3:$F$502,"Sent by us")),"No reply",IF(M151&lt;=S_Today+7,"Due this week","")))))))</f>
        <v/>
      </c>
      <c r="Z151" s="34" t="str">
        <f aca="false">IF(OR(A151="",Y151=""),"",IF(Y151="Renewal due",100000,IF(Y151="Overdue",200000,IF(Y151="No reply",300000,IF(Y151="Due this week",400000,500000))))+IF(Y151="Renewal due",P151-40000,IF(Y151="Missing next action",0,M151-40000))+ROW()/100000)</f>
        <v/>
      </c>
      <c r="AA151" s="32" t="str">
        <f aca="false">IF(A151="","",_xlfn.TEXTJOIN(", ",TRUE(),IF(AND(X151="Yes",D151=""),"No owner",IF(AND(D151&lt;&gt;"",COUNTIFS(R_TeamName,D151,R_TeamActive,"No")&gt;0),"Needs new owner","")),IF(AND(OR(C151="Proposal sent",C151="Negotiation"),H151="",I151="",K151=""),"Add package or proposed value",""),IF(AND(C151="Won",OR(P151="",V151="")),"Won needs renewal date and closed on",""),IF(AND(C151="Won",G151="Cash",J151=""),"Add agreed value",""),IF(AND(C151="Lost",OR(S151="",V151="")),"Lost needs reason and closed on",""),IF(AND(C151="Nurture",OR(T151="",U151="")),"Nurture needs reason and date","")))</f>
        <v/>
      </c>
      <c r="AB151" s="34" t="str">
        <f aca="false">IF(AND(C151="Won",V151&lt;&gt;"",V151&gt;=S_SemStart,V151&lt;=S_SemEnd),V151+ROW()/100000,"")</f>
        <v/>
      </c>
      <c r="AC151" s="34" t="str">
        <f aca="false">IF(AND(C151="Lost",V151&lt;&gt;"",V151&gt;=S_SemStart,V151&lt;=S_SemEnd),V151+ROW()/100000,"")</f>
        <v/>
      </c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9"/>
      <c r="J152" s="29"/>
      <c r="K152" s="27"/>
      <c r="L152" s="27"/>
      <c r="M152" s="28"/>
      <c r="N152" s="28"/>
      <c r="O152" s="28"/>
      <c r="P152" s="28"/>
      <c r="Q152" s="27"/>
      <c r="R152" s="27"/>
      <c r="S152" s="27"/>
      <c r="T152" s="27"/>
      <c r="U152" s="28"/>
      <c r="V152" s="28"/>
      <c r="W152" s="27"/>
      <c r="X152" s="32" t="str">
        <f aca="false">IF(A152="","",IF(OR(C152="Planned",C152="Contacted",C152="Meeting",C152="Proposal sent",C152="Negotiation"),"Yes","No"))</f>
        <v/>
      </c>
      <c r="Y152" s="32" t="str">
        <f aca="false">IF(A152="","",IF(AND(C152="Won",P152&lt;&gt;"",P152&lt;=S_Today+S_RenewalDays,COUNTIFS($A$3:$A$502,A152,$F$3:$F$502,"Yes",$X$3:$X$502,"Yes")=0),"Renewal due",IF(X152&lt;&gt;"Yes","",IF(OR(L152="",M152=""),"Missing next action",IF(M152&lt;S_Today,"Overdue",IF(AND(C152="Contacted",_xlfn.MAXIFS(Interactions!$A$3:$A$502,Interactions!$B$3:$B$502,A152,Interactions!$F$3:$F$502,"Sent by us")&gt;0,_xlfn.MAXIFS(Interactions!$A$3:$A$502,Interactions!$B$3:$B$502,A152,Interactions!$F$3:$F$502,"Sent by us")&lt;=S_Today-S_NoReplyDays,MAX(_xlfn.MAXIFS(Interactions!$A$3:$A$502,Interactions!$B$3:$B$502,A152,Interactions!$F$3:$F$502,"Received from them"),_xlfn.MAXIFS(Interactions!$A$3:$A$502,Interactions!$B$3:$B$502,A152,Interactions!$F$3:$F$502,"Two-way"))&lt;_xlfn.MAXIFS(Interactions!$A$3:$A$502,Interactions!$B$3:$B$502,A152,Interactions!$F$3:$F$502,"Sent by us")),"No reply",IF(M152&lt;=S_Today+7,"Due this week","")))))))</f>
        <v/>
      </c>
      <c r="Z152" s="34" t="str">
        <f aca="false">IF(OR(A152="",Y152=""),"",IF(Y152="Renewal due",100000,IF(Y152="Overdue",200000,IF(Y152="No reply",300000,IF(Y152="Due this week",400000,500000))))+IF(Y152="Renewal due",P152-40000,IF(Y152="Missing next action",0,M152-40000))+ROW()/100000)</f>
        <v/>
      </c>
      <c r="AA152" s="32" t="str">
        <f aca="false">IF(A152="","",_xlfn.TEXTJOIN(", ",TRUE(),IF(AND(X152="Yes",D152=""),"No owner",IF(AND(D152&lt;&gt;"",COUNTIFS(R_TeamName,D152,R_TeamActive,"No")&gt;0),"Needs new owner","")),IF(AND(OR(C152="Proposal sent",C152="Negotiation"),H152="",I152="",K152=""),"Add package or proposed value",""),IF(AND(C152="Won",OR(P152="",V152="")),"Won needs renewal date and closed on",""),IF(AND(C152="Won",G152="Cash",J152=""),"Add agreed value",""),IF(AND(C152="Lost",OR(S152="",V152="")),"Lost needs reason and closed on",""),IF(AND(C152="Nurture",OR(T152="",U152="")),"Nurture needs reason and date","")))</f>
        <v/>
      </c>
      <c r="AB152" s="34" t="str">
        <f aca="false">IF(AND(C152="Won",V152&lt;&gt;"",V152&gt;=S_SemStart,V152&lt;=S_SemEnd),V152+ROW()/100000,"")</f>
        <v/>
      </c>
      <c r="AC152" s="34" t="str">
        <f aca="false">IF(AND(C152="Lost",V152&lt;&gt;"",V152&gt;=S_SemStart,V152&lt;=S_SemEnd),V152+ROW()/100000,"")</f>
        <v/>
      </c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9"/>
      <c r="J153" s="29"/>
      <c r="K153" s="27"/>
      <c r="L153" s="27"/>
      <c r="M153" s="28"/>
      <c r="N153" s="28"/>
      <c r="O153" s="28"/>
      <c r="P153" s="28"/>
      <c r="Q153" s="27"/>
      <c r="R153" s="27"/>
      <c r="S153" s="27"/>
      <c r="T153" s="27"/>
      <c r="U153" s="28"/>
      <c r="V153" s="28"/>
      <c r="W153" s="27"/>
      <c r="X153" s="32" t="str">
        <f aca="false">IF(A153="","",IF(OR(C153="Planned",C153="Contacted",C153="Meeting",C153="Proposal sent",C153="Negotiation"),"Yes","No"))</f>
        <v/>
      </c>
      <c r="Y153" s="32" t="str">
        <f aca="false">IF(A153="","",IF(AND(C153="Won",P153&lt;&gt;"",P153&lt;=S_Today+S_RenewalDays,COUNTIFS($A$3:$A$502,A153,$F$3:$F$502,"Yes",$X$3:$X$502,"Yes")=0),"Renewal due",IF(X153&lt;&gt;"Yes","",IF(OR(L153="",M153=""),"Missing next action",IF(M153&lt;S_Today,"Overdue",IF(AND(C153="Contacted",_xlfn.MAXIFS(Interactions!$A$3:$A$502,Interactions!$B$3:$B$502,A153,Interactions!$F$3:$F$502,"Sent by us")&gt;0,_xlfn.MAXIFS(Interactions!$A$3:$A$502,Interactions!$B$3:$B$502,A153,Interactions!$F$3:$F$502,"Sent by us")&lt;=S_Today-S_NoReplyDays,MAX(_xlfn.MAXIFS(Interactions!$A$3:$A$502,Interactions!$B$3:$B$502,A153,Interactions!$F$3:$F$502,"Received from them"),_xlfn.MAXIFS(Interactions!$A$3:$A$502,Interactions!$B$3:$B$502,A153,Interactions!$F$3:$F$502,"Two-way"))&lt;_xlfn.MAXIFS(Interactions!$A$3:$A$502,Interactions!$B$3:$B$502,A153,Interactions!$F$3:$F$502,"Sent by us")),"No reply",IF(M153&lt;=S_Today+7,"Due this week","")))))))</f>
        <v/>
      </c>
      <c r="Z153" s="34" t="str">
        <f aca="false">IF(OR(A153="",Y153=""),"",IF(Y153="Renewal due",100000,IF(Y153="Overdue",200000,IF(Y153="No reply",300000,IF(Y153="Due this week",400000,500000))))+IF(Y153="Renewal due",P153-40000,IF(Y153="Missing next action",0,M153-40000))+ROW()/100000)</f>
        <v/>
      </c>
      <c r="AA153" s="32" t="str">
        <f aca="false">IF(A153="","",_xlfn.TEXTJOIN(", ",TRUE(),IF(AND(X153="Yes",D153=""),"No owner",IF(AND(D153&lt;&gt;"",COUNTIFS(R_TeamName,D153,R_TeamActive,"No")&gt;0),"Needs new owner","")),IF(AND(OR(C153="Proposal sent",C153="Negotiation"),H153="",I153="",K153=""),"Add package or proposed value",""),IF(AND(C153="Won",OR(P153="",V153="")),"Won needs renewal date and closed on",""),IF(AND(C153="Won",G153="Cash",J153=""),"Add agreed value",""),IF(AND(C153="Lost",OR(S153="",V153="")),"Lost needs reason and closed on",""),IF(AND(C153="Nurture",OR(T153="",U153="")),"Nurture needs reason and date","")))</f>
        <v/>
      </c>
      <c r="AB153" s="34" t="str">
        <f aca="false">IF(AND(C153="Won",V153&lt;&gt;"",V153&gt;=S_SemStart,V153&lt;=S_SemEnd),V153+ROW()/100000,"")</f>
        <v/>
      </c>
      <c r="AC153" s="34" t="str">
        <f aca="false">IF(AND(C153="Lost",V153&lt;&gt;"",V153&gt;=S_SemStart,V153&lt;=S_SemEnd),V153+ROW()/100000,"")</f>
        <v/>
      </c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9"/>
      <c r="J154" s="29"/>
      <c r="K154" s="27"/>
      <c r="L154" s="27"/>
      <c r="M154" s="28"/>
      <c r="N154" s="28"/>
      <c r="O154" s="28"/>
      <c r="P154" s="28"/>
      <c r="Q154" s="27"/>
      <c r="R154" s="27"/>
      <c r="S154" s="27"/>
      <c r="T154" s="27"/>
      <c r="U154" s="28"/>
      <c r="V154" s="28"/>
      <c r="W154" s="27"/>
      <c r="X154" s="32" t="str">
        <f aca="false">IF(A154="","",IF(OR(C154="Planned",C154="Contacted",C154="Meeting",C154="Proposal sent",C154="Negotiation"),"Yes","No"))</f>
        <v/>
      </c>
      <c r="Y154" s="32" t="str">
        <f aca="false">IF(A154="","",IF(AND(C154="Won",P154&lt;&gt;"",P154&lt;=S_Today+S_RenewalDays,COUNTIFS($A$3:$A$502,A154,$F$3:$F$502,"Yes",$X$3:$X$502,"Yes")=0),"Renewal due",IF(X154&lt;&gt;"Yes","",IF(OR(L154="",M154=""),"Missing next action",IF(M154&lt;S_Today,"Overdue",IF(AND(C154="Contacted",_xlfn.MAXIFS(Interactions!$A$3:$A$502,Interactions!$B$3:$B$502,A154,Interactions!$F$3:$F$502,"Sent by us")&gt;0,_xlfn.MAXIFS(Interactions!$A$3:$A$502,Interactions!$B$3:$B$502,A154,Interactions!$F$3:$F$502,"Sent by us")&lt;=S_Today-S_NoReplyDays,MAX(_xlfn.MAXIFS(Interactions!$A$3:$A$502,Interactions!$B$3:$B$502,A154,Interactions!$F$3:$F$502,"Received from them"),_xlfn.MAXIFS(Interactions!$A$3:$A$502,Interactions!$B$3:$B$502,A154,Interactions!$F$3:$F$502,"Two-way"))&lt;_xlfn.MAXIFS(Interactions!$A$3:$A$502,Interactions!$B$3:$B$502,A154,Interactions!$F$3:$F$502,"Sent by us")),"No reply",IF(M154&lt;=S_Today+7,"Due this week","")))))))</f>
        <v/>
      </c>
      <c r="Z154" s="34" t="str">
        <f aca="false">IF(OR(A154="",Y154=""),"",IF(Y154="Renewal due",100000,IF(Y154="Overdue",200000,IF(Y154="No reply",300000,IF(Y154="Due this week",400000,500000))))+IF(Y154="Renewal due",P154-40000,IF(Y154="Missing next action",0,M154-40000))+ROW()/100000)</f>
        <v/>
      </c>
      <c r="AA154" s="32" t="str">
        <f aca="false">IF(A154="","",_xlfn.TEXTJOIN(", ",TRUE(),IF(AND(X154="Yes",D154=""),"No owner",IF(AND(D154&lt;&gt;"",COUNTIFS(R_TeamName,D154,R_TeamActive,"No")&gt;0),"Needs new owner","")),IF(AND(OR(C154="Proposal sent",C154="Negotiation"),H154="",I154="",K154=""),"Add package or proposed value",""),IF(AND(C154="Won",OR(P154="",V154="")),"Won needs renewal date and closed on",""),IF(AND(C154="Won",G154="Cash",J154=""),"Add agreed value",""),IF(AND(C154="Lost",OR(S154="",V154="")),"Lost needs reason and closed on",""),IF(AND(C154="Nurture",OR(T154="",U154="")),"Nurture needs reason and date","")))</f>
        <v/>
      </c>
      <c r="AB154" s="34" t="str">
        <f aca="false">IF(AND(C154="Won",V154&lt;&gt;"",V154&gt;=S_SemStart,V154&lt;=S_SemEnd),V154+ROW()/100000,"")</f>
        <v/>
      </c>
      <c r="AC154" s="34" t="str">
        <f aca="false">IF(AND(C154="Lost",V154&lt;&gt;"",V154&gt;=S_SemStart,V154&lt;=S_SemEnd),V154+ROW()/100000,"")</f>
        <v/>
      </c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9"/>
      <c r="J155" s="29"/>
      <c r="K155" s="27"/>
      <c r="L155" s="27"/>
      <c r="M155" s="28"/>
      <c r="N155" s="28"/>
      <c r="O155" s="28"/>
      <c r="P155" s="28"/>
      <c r="Q155" s="27"/>
      <c r="R155" s="27"/>
      <c r="S155" s="27"/>
      <c r="T155" s="27"/>
      <c r="U155" s="28"/>
      <c r="V155" s="28"/>
      <c r="W155" s="27"/>
      <c r="X155" s="32" t="str">
        <f aca="false">IF(A155="","",IF(OR(C155="Planned",C155="Contacted",C155="Meeting",C155="Proposal sent",C155="Negotiation"),"Yes","No"))</f>
        <v/>
      </c>
      <c r="Y155" s="32" t="str">
        <f aca="false">IF(A155="","",IF(AND(C155="Won",P155&lt;&gt;"",P155&lt;=S_Today+S_RenewalDays,COUNTIFS($A$3:$A$502,A155,$F$3:$F$502,"Yes",$X$3:$X$502,"Yes")=0),"Renewal due",IF(X155&lt;&gt;"Yes","",IF(OR(L155="",M155=""),"Missing next action",IF(M155&lt;S_Today,"Overdue",IF(AND(C155="Contacted",_xlfn.MAXIFS(Interactions!$A$3:$A$502,Interactions!$B$3:$B$502,A155,Interactions!$F$3:$F$502,"Sent by us")&gt;0,_xlfn.MAXIFS(Interactions!$A$3:$A$502,Interactions!$B$3:$B$502,A155,Interactions!$F$3:$F$502,"Sent by us")&lt;=S_Today-S_NoReplyDays,MAX(_xlfn.MAXIFS(Interactions!$A$3:$A$502,Interactions!$B$3:$B$502,A155,Interactions!$F$3:$F$502,"Received from them"),_xlfn.MAXIFS(Interactions!$A$3:$A$502,Interactions!$B$3:$B$502,A155,Interactions!$F$3:$F$502,"Two-way"))&lt;_xlfn.MAXIFS(Interactions!$A$3:$A$502,Interactions!$B$3:$B$502,A155,Interactions!$F$3:$F$502,"Sent by us")),"No reply",IF(M155&lt;=S_Today+7,"Due this week","")))))))</f>
        <v/>
      </c>
      <c r="Z155" s="34" t="str">
        <f aca="false">IF(OR(A155="",Y155=""),"",IF(Y155="Renewal due",100000,IF(Y155="Overdue",200000,IF(Y155="No reply",300000,IF(Y155="Due this week",400000,500000))))+IF(Y155="Renewal due",P155-40000,IF(Y155="Missing next action",0,M155-40000))+ROW()/100000)</f>
        <v/>
      </c>
      <c r="AA155" s="32" t="str">
        <f aca="false">IF(A155="","",_xlfn.TEXTJOIN(", ",TRUE(),IF(AND(X155="Yes",D155=""),"No owner",IF(AND(D155&lt;&gt;"",COUNTIFS(R_TeamName,D155,R_TeamActive,"No")&gt;0),"Needs new owner","")),IF(AND(OR(C155="Proposal sent",C155="Negotiation"),H155="",I155="",K155=""),"Add package or proposed value",""),IF(AND(C155="Won",OR(P155="",V155="")),"Won needs renewal date and closed on",""),IF(AND(C155="Won",G155="Cash",J155=""),"Add agreed value",""),IF(AND(C155="Lost",OR(S155="",V155="")),"Lost needs reason and closed on",""),IF(AND(C155="Nurture",OR(T155="",U155="")),"Nurture needs reason and date","")))</f>
        <v/>
      </c>
      <c r="AB155" s="34" t="str">
        <f aca="false">IF(AND(C155="Won",V155&lt;&gt;"",V155&gt;=S_SemStart,V155&lt;=S_SemEnd),V155+ROW()/100000,"")</f>
        <v/>
      </c>
      <c r="AC155" s="34" t="str">
        <f aca="false">IF(AND(C155="Lost",V155&lt;&gt;"",V155&gt;=S_SemStart,V155&lt;=S_SemEnd),V155+ROW()/100000,"")</f>
        <v/>
      </c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9"/>
      <c r="J156" s="29"/>
      <c r="K156" s="27"/>
      <c r="L156" s="27"/>
      <c r="M156" s="28"/>
      <c r="N156" s="28"/>
      <c r="O156" s="28"/>
      <c r="P156" s="28"/>
      <c r="Q156" s="27"/>
      <c r="R156" s="27"/>
      <c r="S156" s="27"/>
      <c r="T156" s="27"/>
      <c r="U156" s="28"/>
      <c r="V156" s="28"/>
      <c r="W156" s="27"/>
      <c r="X156" s="32" t="str">
        <f aca="false">IF(A156="","",IF(OR(C156="Planned",C156="Contacted",C156="Meeting",C156="Proposal sent",C156="Negotiation"),"Yes","No"))</f>
        <v/>
      </c>
      <c r="Y156" s="32" t="str">
        <f aca="false">IF(A156="","",IF(AND(C156="Won",P156&lt;&gt;"",P156&lt;=S_Today+S_RenewalDays,COUNTIFS($A$3:$A$502,A156,$F$3:$F$502,"Yes",$X$3:$X$502,"Yes")=0),"Renewal due",IF(X156&lt;&gt;"Yes","",IF(OR(L156="",M156=""),"Missing next action",IF(M156&lt;S_Today,"Overdue",IF(AND(C156="Contacted",_xlfn.MAXIFS(Interactions!$A$3:$A$502,Interactions!$B$3:$B$502,A156,Interactions!$F$3:$F$502,"Sent by us")&gt;0,_xlfn.MAXIFS(Interactions!$A$3:$A$502,Interactions!$B$3:$B$502,A156,Interactions!$F$3:$F$502,"Sent by us")&lt;=S_Today-S_NoReplyDays,MAX(_xlfn.MAXIFS(Interactions!$A$3:$A$502,Interactions!$B$3:$B$502,A156,Interactions!$F$3:$F$502,"Received from them"),_xlfn.MAXIFS(Interactions!$A$3:$A$502,Interactions!$B$3:$B$502,A156,Interactions!$F$3:$F$502,"Two-way"))&lt;_xlfn.MAXIFS(Interactions!$A$3:$A$502,Interactions!$B$3:$B$502,A156,Interactions!$F$3:$F$502,"Sent by us")),"No reply",IF(M156&lt;=S_Today+7,"Due this week","")))))))</f>
        <v/>
      </c>
      <c r="Z156" s="34" t="str">
        <f aca="false">IF(OR(A156="",Y156=""),"",IF(Y156="Renewal due",100000,IF(Y156="Overdue",200000,IF(Y156="No reply",300000,IF(Y156="Due this week",400000,500000))))+IF(Y156="Renewal due",P156-40000,IF(Y156="Missing next action",0,M156-40000))+ROW()/100000)</f>
        <v/>
      </c>
      <c r="AA156" s="32" t="str">
        <f aca="false">IF(A156="","",_xlfn.TEXTJOIN(", ",TRUE(),IF(AND(X156="Yes",D156=""),"No owner",IF(AND(D156&lt;&gt;"",COUNTIFS(R_TeamName,D156,R_TeamActive,"No")&gt;0),"Needs new owner","")),IF(AND(OR(C156="Proposal sent",C156="Negotiation"),H156="",I156="",K156=""),"Add package or proposed value",""),IF(AND(C156="Won",OR(P156="",V156="")),"Won needs renewal date and closed on",""),IF(AND(C156="Won",G156="Cash",J156=""),"Add agreed value",""),IF(AND(C156="Lost",OR(S156="",V156="")),"Lost needs reason and closed on",""),IF(AND(C156="Nurture",OR(T156="",U156="")),"Nurture needs reason and date","")))</f>
        <v/>
      </c>
      <c r="AB156" s="34" t="str">
        <f aca="false">IF(AND(C156="Won",V156&lt;&gt;"",V156&gt;=S_SemStart,V156&lt;=S_SemEnd),V156+ROW()/100000,"")</f>
        <v/>
      </c>
      <c r="AC156" s="34" t="str">
        <f aca="false">IF(AND(C156="Lost",V156&lt;&gt;"",V156&gt;=S_SemStart,V156&lt;=S_SemEnd),V156+ROW()/100000,"")</f>
        <v/>
      </c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9"/>
      <c r="J157" s="29"/>
      <c r="K157" s="27"/>
      <c r="L157" s="27"/>
      <c r="M157" s="28"/>
      <c r="N157" s="28"/>
      <c r="O157" s="28"/>
      <c r="P157" s="28"/>
      <c r="Q157" s="27"/>
      <c r="R157" s="27"/>
      <c r="S157" s="27"/>
      <c r="T157" s="27"/>
      <c r="U157" s="28"/>
      <c r="V157" s="28"/>
      <c r="W157" s="27"/>
      <c r="X157" s="32" t="str">
        <f aca="false">IF(A157="","",IF(OR(C157="Planned",C157="Contacted",C157="Meeting",C157="Proposal sent",C157="Negotiation"),"Yes","No"))</f>
        <v/>
      </c>
      <c r="Y157" s="32" t="str">
        <f aca="false">IF(A157="","",IF(AND(C157="Won",P157&lt;&gt;"",P157&lt;=S_Today+S_RenewalDays,COUNTIFS($A$3:$A$502,A157,$F$3:$F$502,"Yes",$X$3:$X$502,"Yes")=0),"Renewal due",IF(X157&lt;&gt;"Yes","",IF(OR(L157="",M157=""),"Missing next action",IF(M157&lt;S_Today,"Overdue",IF(AND(C157="Contacted",_xlfn.MAXIFS(Interactions!$A$3:$A$502,Interactions!$B$3:$B$502,A157,Interactions!$F$3:$F$502,"Sent by us")&gt;0,_xlfn.MAXIFS(Interactions!$A$3:$A$502,Interactions!$B$3:$B$502,A157,Interactions!$F$3:$F$502,"Sent by us")&lt;=S_Today-S_NoReplyDays,MAX(_xlfn.MAXIFS(Interactions!$A$3:$A$502,Interactions!$B$3:$B$502,A157,Interactions!$F$3:$F$502,"Received from them"),_xlfn.MAXIFS(Interactions!$A$3:$A$502,Interactions!$B$3:$B$502,A157,Interactions!$F$3:$F$502,"Two-way"))&lt;_xlfn.MAXIFS(Interactions!$A$3:$A$502,Interactions!$B$3:$B$502,A157,Interactions!$F$3:$F$502,"Sent by us")),"No reply",IF(M157&lt;=S_Today+7,"Due this week","")))))))</f>
        <v/>
      </c>
      <c r="Z157" s="34" t="str">
        <f aca="false">IF(OR(A157="",Y157=""),"",IF(Y157="Renewal due",100000,IF(Y157="Overdue",200000,IF(Y157="No reply",300000,IF(Y157="Due this week",400000,500000))))+IF(Y157="Renewal due",P157-40000,IF(Y157="Missing next action",0,M157-40000))+ROW()/100000)</f>
        <v/>
      </c>
      <c r="AA157" s="32" t="str">
        <f aca="false">IF(A157="","",_xlfn.TEXTJOIN(", ",TRUE(),IF(AND(X157="Yes",D157=""),"No owner",IF(AND(D157&lt;&gt;"",COUNTIFS(R_TeamName,D157,R_TeamActive,"No")&gt;0),"Needs new owner","")),IF(AND(OR(C157="Proposal sent",C157="Negotiation"),H157="",I157="",K157=""),"Add package or proposed value",""),IF(AND(C157="Won",OR(P157="",V157="")),"Won needs renewal date and closed on",""),IF(AND(C157="Won",G157="Cash",J157=""),"Add agreed value",""),IF(AND(C157="Lost",OR(S157="",V157="")),"Lost needs reason and closed on",""),IF(AND(C157="Nurture",OR(T157="",U157="")),"Nurture needs reason and date","")))</f>
        <v/>
      </c>
      <c r="AB157" s="34" t="str">
        <f aca="false">IF(AND(C157="Won",V157&lt;&gt;"",V157&gt;=S_SemStart,V157&lt;=S_SemEnd),V157+ROW()/100000,"")</f>
        <v/>
      </c>
      <c r="AC157" s="34" t="str">
        <f aca="false">IF(AND(C157="Lost",V157&lt;&gt;"",V157&gt;=S_SemStart,V157&lt;=S_SemEnd),V157+ROW()/100000,"")</f>
        <v/>
      </c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9"/>
      <c r="J158" s="29"/>
      <c r="K158" s="27"/>
      <c r="L158" s="27"/>
      <c r="M158" s="28"/>
      <c r="N158" s="28"/>
      <c r="O158" s="28"/>
      <c r="P158" s="28"/>
      <c r="Q158" s="27"/>
      <c r="R158" s="27"/>
      <c r="S158" s="27"/>
      <c r="T158" s="27"/>
      <c r="U158" s="28"/>
      <c r="V158" s="28"/>
      <c r="W158" s="27"/>
      <c r="X158" s="32" t="str">
        <f aca="false">IF(A158="","",IF(OR(C158="Planned",C158="Contacted",C158="Meeting",C158="Proposal sent",C158="Negotiation"),"Yes","No"))</f>
        <v/>
      </c>
      <c r="Y158" s="32" t="str">
        <f aca="false">IF(A158="","",IF(AND(C158="Won",P158&lt;&gt;"",P158&lt;=S_Today+S_RenewalDays,COUNTIFS($A$3:$A$502,A158,$F$3:$F$502,"Yes",$X$3:$X$502,"Yes")=0),"Renewal due",IF(X158&lt;&gt;"Yes","",IF(OR(L158="",M158=""),"Missing next action",IF(M158&lt;S_Today,"Overdue",IF(AND(C158="Contacted",_xlfn.MAXIFS(Interactions!$A$3:$A$502,Interactions!$B$3:$B$502,A158,Interactions!$F$3:$F$502,"Sent by us")&gt;0,_xlfn.MAXIFS(Interactions!$A$3:$A$502,Interactions!$B$3:$B$502,A158,Interactions!$F$3:$F$502,"Sent by us")&lt;=S_Today-S_NoReplyDays,MAX(_xlfn.MAXIFS(Interactions!$A$3:$A$502,Interactions!$B$3:$B$502,A158,Interactions!$F$3:$F$502,"Received from them"),_xlfn.MAXIFS(Interactions!$A$3:$A$502,Interactions!$B$3:$B$502,A158,Interactions!$F$3:$F$502,"Two-way"))&lt;_xlfn.MAXIFS(Interactions!$A$3:$A$502,Interactions!$B$3:$B$502,A158,Interactions!$F$3:$F$502,"Sent by us")),"No reply",IF(M158&lt;=S_Today+7,"Due this week","")))))))</f>
        <v/>
      </c>
      <c r="Z158" s="34" t="str">
        <f aca="false">IF(OR(A158="",Y158=""),"",IF(Y158="Renewal due",100000,IF(Y158="Overdue",200000,IF(Y158="No reply",300000,IF(Y158="Due this week",400000,500000))))+IF(Y158="Renewal due",P158-40000,IF(Y158="Missing next action",0,M158-40000))+ROW()/100000)</f>
        <v/>
      </c>
      <c r="AA158" s="32" t="str">
        <f aca="false">IF(A158="","",_xlfn.TEXTJOIN(", ",TRUE(),IF(AND(X158="Yes",D158=""),"No owner",IF(AND(D158&lt;&gt;"",COUNTIFS(R_TeamName,D158,R_TeamActive,"No")&gt;0),"Needs new owner","")),IF(AND(OR(C158="Proposal sent",C158="Negotiation"),H158="",I158="",K158=""),"Add package or proposed value",""),IF(AND(C158="Won",OR(P158="",V158="")),"Won needs renewal date and closed on",""),IF(AND(C158="Won",G158="Cash",J158=""),"Add agreed value",""),IF(AND(C158="Lost",OR(S158="",V158="")),"Lost needs reason and closed on",""),IF(AND(C158="Nurture",OR(T158="",U158="")),"Nurture needs reason and date","")))</f>
        <v/>
      </c>
      <c r="AB158" s="34" t="str">
        <f aca="false">IF(AND(C158="Won",V158&lt;&gt;"",V158&gt;=S_SemStart,V158&lt;=S_SemEnd),V158+ROW()/100000,"")</f>
        <v/>
      </c>
      <c r="AC158" s="34" t="str">
        <f aca="false">IF(AND(C158="Lost",V158&lt;&gt;"",V158&gt;=S_SemStart,V158&lt;=S_SemEnd),V158+ROW()/100000,"")</f>
        <v/>
      </c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9"/>
      <c r="J159" s="29"/>
      <c r="K159" s="27"/>
      <c r="L159" s="27"/>
      <c r="M159" s="28"/>
      <c r="N159" s="28"/>
      <c r="O159" s="28"/>
      <c r="P159" s="28"/>
      <c r="Q159" s="27"/>
      <c r="R159" s="27"/>
      <c r="S159" s="27"/>
      <c r="T159" s="27"/>
      <c r="U159" s="28"/>
      <c r="V159" s="28"/>
      <c r="W159" s="27"/>
      <c r="X159" s="32" t="str">
        <f aca="false">IF(A159="","",IF(OR(C159="Planned",C159="Contacted",C159="Meeting",C159="Proposal sent",C159="Negotiation"),"Yes","No"))</f>
        <v/>
      </c>
      <c r="Y159" s="32" t="str">
        <f aca="false">IF(A159="","",IF(AND(C159="Won",P159&lt;&gt;"",P159&lt;=S_Today+S_RenewalDays,COUNTIFS($A$3:$A$502,A159,$F$3:$F$502,"Yes",$X$3:$X$502,"Yes")=0),"Renewal due",IF(X159&lt;&gt;"Yes","",IF(OR(L159="",M159=""),"Missing next action",IF(M159&lt;S_Today,"Overdue",IF(AND(C159="Contacted",_xlfn.MAXIFS(Interactions!$A$3:$A$502,Interactions!$B$3:$B$502,A159,Interactions!$F$3:$F$502,"Sent by us")&gt;0,_xlfn.MAXIFS(Interactions!$A$3:$A$502,Interactions!$B$3:$B$502,A159,Interactions!$F$3:$F$502,"Sent by us")&lt;=S_Today-S_NoReplyDays,MAX(_xlfn.MAXIFS(Interactions!$A$3:$A$502,Interactions!$B$3:$B$502,A159,Interactions!$F$3:$F$502,"Received from them"),_xlfn.MAXIFS(Interactions!$A$3:$A$502,Interactions!$B$3:$B$502,A159,Interactions!$F$3:$F$502,"Two-way"))&lt;_xlfn.MAXIFS(Interactions!$A$3:$A$502,Interactions!$B$3:$B$502,A159,Interactions!$F$3:$F$502,"Sent by us")),"No reply",IF(M159&lt;=S_Today+7,"Due this week","")))))))</f>
        <v/>
      </c>
      <c r="Z159" s="34" t="str">
        <f aca="false">IF(OR(A159="",Y159=""),"",IF(Y159="Renewal due",100000,IF(Y159="Overdue",200000,IF(Y159="No reply",300000,IF(Y159="Due this week",400000,500000))))+IF(Y159="Renewal due",P159-40000,IF(Y159="Missing next action",0,M159-40000))+ROW()/100000)</f>
        <v/>
      </c>
      <c r="AA159" s="32" t="str">
        <f aca="false">IF(A159="","",_xlfn.TEXTJOIN(", ",TRUE(),IF(AND(X159="Yes",D159=""),"No owner",IF(AND(D159&lt;&gt;"",COUNTIFS(R_TeamName,D159,R_TeamActive,"No")&gt;0),"Needs new owner","")),IF(AND(OR(C159="Proposal sent",C159="Negotiation"),H159="",I159="",K159=""),"Add package or proposed value",""),IF(AND(C159="Won",OR(P159="",V159="")),"Won needs renewal date and closed on",""),IF(AND(C159="Won",G159="Cash",J159=""),"Add agreed value",""),IF(AND(C159="Lost",OR(S159="",V159="")),"Lost needs reason and closed on",""),IF(AND(C159="Nurture",OR(T159="",U159="")),"Nurture needs reason and date","")))</f>
        <v/>
      </c>
      <c r="AB159" s="34" t="str">
        <f aca="false">IF(AND(C159="Won",V159&lt;&gt;"",V159&gt;=S_SemStart,V159&lt;=S_SemEnd),V159+ROW()/100000,"")</f>
        <v/>
      </c>
      <c r="AC159" s="34" t="str">
        <f aca="false">IF(AND(C159="Lost",V159&lt;&gt;"",V159&gt;=S_SemStart,V159&lt;=S_SemEnd),V159+ROW()/100000,"")</f>
        <v/>
      </c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9"/>
      <c r="J160" s="29"/>
      <c r="K160" s="27"/>
      <c r="L160" s="27"/>
      <c r="M160" s="28"/>
      <c r="N160" s="28"/>
      <c r="O160" s="28"/>
      <c r="P160" s="28"/>
      <c r="Q160" s="27"/>
      <c r="R160" s="27"/>
      <c r="S160" s="27"/>
      <c r="T160" s="27"/>
      <c r="U160" s="28"/>
      <c r="V160" s="28"/>
      <c r="W160" s="27"/>
      <c r="X160" s="32" t="str">
        <f aca="false">IF(A160="","",IF(OR(C160="Planned",C160="Contacted",C160="Meeting",C160="Proposal sent",C160="Negotiation"),"Yes","No"))</f>
        <v/>
      </c>
      <c r="Y160" s="32" t="str">
        <f aca="false">IF(A160="","",IF(AND(C160="Won",P160&lt;&gt;"",P160&lt;=S_Today+S_RenewalDays,COUNTIFS($A$3:$A$502,A160,$F$3:$F$502,"Yes",$X$3:$X$502,"Yes")=0),"Renewal due",IF(X160&lt;&gt;"Yes","",IF(OR(L160="",M160=""),"Missing next action",IF(M160&lt;S_Today,"Overdue",IF(AND(C160="Contacted",_xlfn.MAXIFS(Interactions!$A$3:$A$502,Interactions!$B$3:$B$502,A160,Interactions!$F$3:$F$502,"Sent by us")&gt;0,_xlfn.MAXIFS(Interactions!$A$3:$A$502,Interactions!$B$3:$B$502,A160,Interactions!$F$3:$F$502,"Sent by us")&lt;=S_Today-S_NoReplyDays,MAX(_xlfn.MAXIFS(Interactions!$A$3:$A$502,Interactions!$B$3:$B$502,A160,Interactions!$F$3:$F$502,"Received from them"),_xlfn.MAXIFS(Interactions!$A$3:$A$502,Interactions!$B$3:$B$502,A160,Interactions!$F$3:$F$502,"Two-way"))&lt;_xlfn.MAXIFS(Interactions!$A$3:$A$502,Interactions!$B$3:$B$502,A160,Interactions!$F$3:$F$502,"Sent by us")),"No reply",IF(M160&lt;=S_Today+7,"Due this week","")))))))</f>
        <v/>
      </c>
      <c r="Z160" s="34" t="str">
        <f aca="false">IF(OR(A160="",Y160=""),"",IF(Y160="Renewal due",100000,IF(Y160="Overdue",200000,IF(Y160="No reply",300000,IF(Y160="Due this week",400000,500000))))+IF(Y160="Renewal due",P160-40000,IF(Y160="Missing next action",0,M160-40000))+ROW()/100000)</f>
        <v/>
      </c>
      <c r="AA160" s="32" t="str">
        <f aca="false">IF(A160="","",_xlfn.TEXTJOIN(", ",TRUE(),IF(AND(X160="Yes",D160=""),"No owner",IF(AND(D160&lt;&gt;"",COUNTIFS(R_TeamName,D160,R_TeamActive,"No")&gt;0),"Needs new owner","")),IF(AND(OR(C160="Proposal sent",C160="Negotiation"),H160="",I160="",K160=""),"Add package or proposed value",""),IF(AND(C160="Won",OR(P160="",V160="")),"Won needs renewal date and closed on",""),IF(AND(C160="Won",G160="Cash",J160=""),"Add agreed value",""),IF(AND(C160="Lost",OR(S160="",V160="")),"Lost needs reason and closed on",""),IF(AND(C160="Nurture",OR(T160="",U160="")),"Nurture needs reason and date","")))</f>
        <v/>
      </c>
      <c r="AB160" s="34" t="str">
        <f aca="false">IF(AND(C160="Won",V160&lt;&gt;"",V160&gt;=S_SemStart,V160&lt;=S_SemEnd),V160+ROW()/100000,"")</f>
        <v/>
      </c>
      <c r="AC160" s="34" t="str">
        <f aca="false">IF(AND(C160="Lost",V160&lt;&gt;"",V160&gt;=S_SemStart,V160&lt;=S_SemEnd),V160+ROW()/100000,"")</f>
        <v/>
      </c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9"/>
      <c r="J161" s="29"/>
      <c r="K161" s="27"/>
      <c r="L161" s="27"/>
      <c r="M161" s="28"/>
      <c r="N161" s="28"/>
      <c r="O161" s="28"/>
      <c r="P161" s="28"/>
      <c r="Q161" s="27"/>
      <c r="R161" s="27"/>
      <c r="S161" s="27"/>
      <c r="T161" s="27"/>
      <c r="U161" s="28"/>
      <c r="V161" s="28"/>
      <c r="W161" s="27"/>
      <c r="X161" s="32" t="str">
        <f aca="false">IF(A161="","",IF(OR(C161="Planned",C161="Contacted",C161="Meeting",C161="Proposal sent",C161="Negotiation"),"Yes","No"))</f>
        <v/>
      </c>
      <c r="Y161" s="32" t="str">
        <f aca="false">IF(A161="","",IF(AND(C161="Won",P161&lt;&gt;"",P161&lt;=S_Today+S_RenewalDays,COUNTIFS($A$3:$A$502,A161,$F$3:$F$502,"Yes",$X$3:$X$502,"Yes")=0),"Renewal due",IF(X161&lt;&gt;"Yes","",IF(OR(L161="",M161=""),"Missing next action",IF(M161&lt;S_Today,"Overdue",IF(AND(C161="Contacted",_xlfn.MAXIFS(Interactions!$A$3:$A$502,Interactions!$B$3:$B$502,A161,Interactions!$F$3:$F$502,"Sent by us")&gt;0,_xlfn.MAXIFS(Interactions!$A$3:$A$502,Interactions!$B$3:$B$502,A161,Interactions!$F$3:$F$502,"Sent by us")&lt;=S_Today-S_NoReplyDays,MAX(_xlfn.MAXIFS(Interactions!$A$3:$A$502,Interactions!$B$3:$B$502,A161,Interactions!$F$3:$F$502,"Received from them"),_xlfn.MAXIFS(Interactions!$A$3:$A$502,Interactions!$B$3:$B$502,A161,Interactions!$F$3:$F$502,"Two-way"))&lt;_xlfn.MAXIFS(Interactions!$A$3:$A$502,Interactions!$B$3:$B$502,A161,Interactions!$F$3:$F$502,"Sent by us")),"No reply",IF(M161&lt;=S_Today+7,"Due this week","")))))))</f>
        <v/>
      </c>
      <c r="Z161" s="34" t="str">
        <f aca="false">IF(OR(A161="",Y161=""),"",IF(Y161="Renewal due",100000,IF(Y161="Overdue",200000,IF(Y161="No reply",300000,IF(Y161="Due this week",400000,500000))))+IF(Y161="Renewal due",P161-40000,IF(Y161="Missing next action",0,M161-40000))+ROW()/100000)</f>
        <v/>
      </c>
      <c r="AA161" s="32" t="str">
        <f aca="false">IF(A161="","",_xlfn.TEXTJOIN(", ",TRUE(),IF(AND(X161="Yes",D161=""),"No owner",IF(AND(D161&lt;&gt;"",COUNTIFS(R_TeamName,D161,R_TeamActive,"No")&gt;0),"Needs new owner","")),IF(AND(OR(C161="Proposal sent",C161="Negotiation"),H161="",I161="",K161=""),"Add package or proposed value",""),IF(AND(C161="Won",OR(P161="",V161="")),"Won needs renewal date and closed on",""),IF(AND(C161="Won",G161="Cash",J161=""),"Add agreed value",""),IF(AND(C161="Lost",OR(S161="",V161="")),"Lost needs reason and closed on",""),IF(AND(C161="Nurture",OR(T161="",U161="")),"Nurture needs reason and date","")))</f>
        <v/>
      </c>
      <c r="AB161" s="34" t="str">
        <f aca="false">IF(AND(C161="Won",V161&lt;&gt;"",V161&gt;=S_SemStart,V161&lt;=S_SemEnd),V161+ROW()/100000,"")</f>
        <v/>
      </c>
      <c r="AC161" s="34" t="str">
        <f aca="false">IF(AND(C161="Lost",V161&lt;&gt;"",V161&gt;=S_SemStart,V161&lt;=S_SemEnd),V161+ROW()/100000,"")</f>
        <v/>
      </c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9"/>
      <c r="J162" s="29"/>
      <c r="K162" s="27"/>
      <c r="L162" s="27"/>
      <c r="M162" s="28"/>
      <c r="N162" s="28"/>
      <c r="O162" s="28"/>
      <c r="P162" s="28"/>
      <c r="Q162" s="27"/>
      <c r="R162" s="27"/>
      <c r="S162" s="27"/>
      <c r="T162" s="27"/>
      <c r="U162" s="28"/>
      <c r="V162" s="28"/>
      <c r="W162" s="27"/>
      <c r="X162" s="32" t="str">
        <f aca="false">IF(A162="","",IF(OR(C162="Planned",C162="Contacted",C162="Meeting",C162="Proposal sent",C162="Negotiation"),"Yes","No"))</f>
        <v/>
      </c>
      <c r="Y162" s="32" t="str">
        <f aca="false">IF(A162="","",IF(AND(C162="Won",P162&lt;&gt;"",P162&lt;=S_Today+S_RenewalDays,COUNTIFS($A$3:$A$502,A162,$F$3:$F$502,"Yes",$X$3:$X$502,"Yes")=0),"Renewal due",IF(X162&lt;&gt;"Yes","",IF(OR(L162="",M162=""),"Missing next action",IF(M162&lt;S_Today,"Overdue",IF(AND(C162="Contacted",_xlfn.MAXIFS(Interactions!$A$3:$A$502,Interactions!$B$3:$B$502,A162,Interactions!$F$3:$F$502,"Sent by us")&gt;0,_xlfn.MAXIFS(Interactions!$A$3:$A$502,Interactions!$B$3:$B$502,A162,Interactions!$F$3:$F$502,"Sent by us")&lt;=S_Today-S_NoReplyDays,MAX(_xlfn.MAXIFS(Interactions!$A$3:$A$502,Interactions!$B$3:$B$502,A162,Interactions!$F$3:$F$502,"Received from them"),_xlfn.MAXIFS(Interactions!$A$3:$A$502,Interactions!$B$3:$B$502,A162,Interactions!$F$3:$F$502,"Two-way"))&lt;_xlfn.MAXIFS(Interactions!$A$3:$A$502,Interactions!$B$3:$B$502,A162,Interactions!$F$3:$F$502,"Sent by us")),"No reply",IF(M162&lt;=S_Today+7,"Due this week","")))))))</f>
        <v/>
      </c>
      <c r="Z162" s="34" t="str">
        <f aca="false">IF(OR(A162="",Y162=""),"",IF(Y162="Renewal due",100000,IF(Y162="Overdue",200000,IF(Y162="No reply",300000,IF(Y162="Due this week",400000,500000))))+IF(Y162="Renewal due",P162-40000,IF(Y162="Missing next action",0,M162-40000))+ROW()/100000)</f>
        <v/>
      </c>
      <c r="AA162" s="32" t="str">
        <f aca="false">IF(A162="","",_xlfn.TEXTJOIN(", ",TRUE(),IF(AND(X162="Yes",D162=""),"No owner",IF(AND(D162&lt;&gt;"",COUNTIFS(R_TeamName,D162,R_TeamActive,"No")&gt;0),"Needs new owner","")),IF(AND(OR(C162="Proposal sent",C162="Negotiation"),H162="",I162="",K162=""),"Add package or proposed value",""),IF(AND(C162="Won",OR(P162="",V162="")),"Won needs renewal date and closed on",""),IF(AND(C162="Won",G162="Cash",J162=""),"Add agreed value",""),IF(AND(C162="Lost",OR(S162="",V162="")),"Lost needs reason and closed on",""),IF(AND(C162="Nurture",OR(T162="",U162="")),"Nurture needs reason and date","")))</f>
        <v/>
      </c>
      <c r="AB162" s="34" t="str">
        <f aca="false">IF(AND(C162="Won",V162&lt;&gt;"",V162&gt;=S_SemStart,V162&lt;=S_SemEnd),V162+ROW()/100000,"")</f>
        <v/>
      </c>
      <c r="AC162" s="34" t="str">
        <f aca="false">IF(AND(C162="Lost",V162&lt;&gt;"",V162&gt;=S_SemStart,V162&lt;=S_SemEnd),V162+ROW()/100000,"")</f>
        <v/>
      </c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9"/>
      <c r="J163" s="29"/>
      <c r="K163" s="27"/>
      <c r="L163" s="27"/>
      <c r="M163" s="28"/>
      <c r="N163" s="28"/>
      <c r="O163" s="28"/>
      <c r="P163" s="28"/>
      <c r="Q163" s="27"/>
      <c r="R163" s="27"/>
      <c r="S163" s="27"/>
      <c r="T163" s="27"/>
      <c r="U163" s="28"/>
      <c r="V163" s="28"/>
      <c r="W163" s="27"/>
      <c r="X163" s="32" t="str">
        <f aca="false">IF(A163="","",IF(OR(C163="Planned",C163="Contacted",C163="Meeting",C163="Proposal sent",C163="Negotiation"),"Yes","No"))</f>
        <v/>
      </c>
      <c r="Y163" s="32" t="str">
        <f aca="false">IF(A163="","",IF(AND(C163="Won",P163&lt;&gt;"",P163&lt;=S_Today+S_RenewalDays,COUNTIFS($A$3:$A$502,A163,$F$3:$F$502,"Yes",$X$3:$X$502,"Yes")=0),"Renewal due",IF(X163&lt;&gt;"Yes","",IF(OR(L163="",M163=""),"Missing next action",IF(M163&lt;S_Today,"Overdue",IF(AND(C163="Contacted",_xlfn.MAXIFS(Interactions!$A$3:$A$502,Interactions!$B$3:$B$502,A163,Interactions!$F$3:$F$502,"Sent by us")&gt;0,_xlfn.MAXIFS(Interactions!$A$3:$A$502,Interactions!$B$3:$B$502,A163,Interactions!$F$3:$F$502,"Sent by us")&lt;=S_Today-S_NoReplyDays,MAX(_xlfn.MAXIFS(Interactions!$A$3:$A$502,Interactions!$B$3:$B$502,A163,Interactions!$F$3:$F$502,"Received from them"),_xlfn.MAXIFS(Interactions!$A$3:$A$502,Interactions!$B$3:$B$502,A163,Interactions!$F$3:$F$502,"Two-way"))&lt;_xlfn.MAXIFS(Interactions!$A$3:$A$502,Interactions!$B$3:$B$502,A163,Interactions!$F$3:$F$502,"Sent by us")),"No reply",IF(M163&lt;=S_Today+7,"Due this week","")))))))</f>
        <v/>
      </c>
      <c r="Z163" s="34" t="str">
        <f aca="false">IF(OR(A163="",Y163=""),"",IF(Y163="Renewal due",100000,IF(Y163="Overdue",200000,IF(Y163="No reply",300000,IF(Y163="Due this week",400000,500000))))+IF(Y163="Renewal due",P163-40000,IF(Y163="Missing next action",0,M163-40000))+ROW()/100000)</f>
        <v/>
      </c>
      <c r="AA163" s="32" t="str">
        <f aca="false">IF(A163="","",_xlfn.TEXTJOIN(", ",TRUE(),IF(AND(X163="Yes",D163=""),"No owner",IF(AND(D163&lt;&gt;"",COUNTIFS(R_TeamName,D163,R_TeamActive,"No")&gt;0),"Needs new owner","")),IF(AND(OR(C163="Proposal sent",C163="Negotiation"),H163="",I163="",K163=""),"Add package or proposed value",""),IF(AND(C163="Won",OR(P163="",V163="")),"Won needs renewal date and closed on",""),IF(AND(C163="Won",G163="Cash",J163=""),"Add agreed value",""),IF(AND(C163="Lost",OR(S163="",V163="")),"Lost needs reason and closed on",""),IF(AND(C163="Nurture",OR(T163="",U163="")),"Nurture needs reason and date","")))</f>
        <v/>
      </c>
      <c r="AB163" s="34" t="str">
        <f aca="false">IF(AND(C163="Won",V163&lt;&gt;"",V163&gt;=S_SemStart,V163&lt;=S_SemEnd),V163+ROW()/100000,"")</f>
        <v/>
      </c>
      <c r="AC163" s="34" t="str">
        <f aca="false">IF(AND(C163="Lost",V163&lt;&gt;"",V163&gt;=S_SemStart,V163&lt;=S_SemEnd),V163+ROW()/100000,"")</f>
        <v/>
      </c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9"/>
      <c r="J164" s="29"/>
      <c r="K164" s="27"/>
      <c r="L164" s="27"/>
      <c r="M164" s="28"/>
      <c r="N164" s="28"/>
      <c r="O164" s="28"/>
      <c r="P164" s="28"/>
      <c r="Q164" s="27"/>
      <c r="R164" s="27"/>
      <c r="S164" s="27"/>
      <c r="T164" s="27"/>
      <c r="U164" s="28"/>
      <c r="V164" s="28"/>
      <c r="W164" s="27"/>
      <c r="X164" s="32" t="str">
        <f aca="false">IF(A164="","",IF(OR(C164="Planned",C164="Contacted",C164="Meeting",C164="Proposal sent",C164="Negotiation"),"Yes","No"))</f>
        <v/>
      </c>
      <c r="Y164" s="32" t="str">
        <f aca="false">IF(A164="","",IF(AND(C164="Won",P164&lt;&gt;"",P164&lt;=S_Today+S_RenewalDays,COUNTIFS($A$3:$A$502,A164,$F$3:$F$502,"Yes",$X$3:$X$502,"Yes")=0),"Renewal due",IF(X164&lt;&gt;"Yes","",IF(OR(L164="",M164=""),"Missing next action",IF(M164&lt;S_Today,"Overdue",IF(AND(C164="Contacted",_xlfn.MAXIFS(Interactions!$A$3:$A$502,Interactions!$B$3:$B$502,A164,Interactions!$F$3:$F$502,"Sent by us")&gt;0,_xlfn.MAXIFS(Interactions!$A$3:$A$502,Interactions!$B$3:$B$502,A164,Interactions!$F$3:$F$502,"Sent by us")&lt;=S_Today-S_NoReplyDays,MAX(_xlfn.MAXIFS(Interactions!$A$3:$A$502,Interactions!$B$3:$B$502,A164,Interactions!$F$3:$F$502,"Received from them"),_xlfn.MAXIFS(Interactions!$A$3:$A$502,Interactions!$B$3:$B$502,A164,Interactions!$F$3:$F$502,"Two-way"))&lt;_xlfn.MAXIFS(Interactions!$A$3:$A$502,Interactions!$B$3:$B$502,A164,Interactions!$F$3:$F$502,"Sent by us")),"No reply",IF(M164&lt;=S_Today+7,"Due this week","")))))))</f>
        <v/>
      </c>
      <c r="Z164" s="34" t="str">
        <f aca="false">IF(OR(A164="",Y164=""),"",IF(Y164="Renewal due",100000,IF(Y164="Overdue",200000,IF(Y164="No reply",300000,IF(Y164="Due this week",400000,500000))))+IF(Y164="Renewal due",P164-40000,IF(Y164="Missing next action",0,M164-40000))+ROW()/100000)</f>
        <v/>
      </c>
      <c r="AA164" s="32" t="str">
        <f aca="false">IF(A164="","",_xlfn.TEXTJOIN(", ",TRUE(),IF(AND(X164="Yes",D164=""),"No owner",IF(AND(D164&lt;&gt;"",COUNTIFS(R_TeamName,D164,R_TeamActive,"No")&gt;0),"Needs new owner","")),IF(AND(OR(C164="Proposal sent",C164="Negotiation"),H164="",I164="",K164=""),"Add package or proposed value",""),IF(AND(C164="Won",OR(P164="",V164="")),"Won needs renewal date and closed on",""),IF(AND(C164="Won",G164="Cash",J164=""),"Add agreed value",""),IF(AND(C164="Lost",OR(S164="",V164="")),"Lost needs reason and closed on",""),IF(AND(C164="Nurture",OR(T164="",U164="")),"Nurture needs reason and date","")))</f>
        <v/>
      </c>
      <c r="AB164" s="34" t="str">
        <f aca="false">IF(AND(C164="Won",V164&lt;&gt;"",V164&gt;=S_SemStart,V164&lt;=S_SemEnd),V164+ROW()/100000,"")</f>
        <v/>
      </c>
      <c r="AC164" s="34" t="str">
        <f aca="false">IF(AND(C164="Lost",V164&lt;&gt;"",V164&gt;=S_SemStart,V164&lt;=S_SemEnd),V164+ROW()/100000,"")</f>
        <v/>
      </c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9"/>
      <c r="J165" s="29"/>
      <c r="K165" s="27"/>
      <c r="L165" s="27"/>
      <c r="M165" s="28"/>
      <c r="N165" s="28"/>
      <c r="O165" s="28"/>
      <c r="P165" s="28"/>
      <c r="Q165" s="27"/>
      <c r="R165" s="27"/>
      <c r="S165" s="27"/>
      <c r="T165" s="27"/>
      <c r="U165" s="28"/>
      <c r="V165" s="28"/>
      <c r="W165" s="27"/>
      <c r="X165" s="32" t="str">
        <f aca="false">IF(A165="","",IF(OR(C165="Planned",C165="Contacted",C165="Meeting",C165="Proposal sent",C165="Negotiation"),"Yes","No"))</f>
        <v/>
      </c>
      <c r="Y165" s="32" t="str">
        <f aca="false">IF(A165="","",IF(AND(C165="Won",P165&lt;&gt;"",P165&lt;=S_Today+S_RenewalDays,COUNTIFS($A$3:$A$502,A165,$F$3:$F$502,"Yes",$X$3:$X$502,"Yes")=0),"Renewal due",IF(X165&lt;&gt;"Yes","",IF(OR(L165="",M165=""),"Missing next action",IF(M165&lt;S_Today,"Overdue",IF(AND(C165="Contacted",_xlfn.MAXIFS(Interactions!$A$3:$A$502,Interactions!$B$3:$B$502,A165,Interactions!$F$3:$F$502,"Sent by us")&gt;0,_xlfn.MAXIFS(Interactions!$A$3:$A$502,Interactions!$B$3:$B$502,A165,Interactions!$F$3:$F$502,"Sent by us")&lt;=S_Today-S_NoReplyDays,MAX(_xlfn.MAXIFS(Interactions!$A$3:$A$502,Interactions!$B$3:$B$502,A165,Interactions!$F$3:$F$502,"Received from them"),_xlfn.MAXIFS(Interactions!$A$3:$A$502,Interactions!$B$3:$B$502,A165,Interactions!$F$3:$F$502,"Two-way"))&lt;_xlfn.MAXIFS(Interactions!$A$3:$A$502,Interactions!$B$3:$B$502,A165,Interactions!$F$3:$F$502,"Sent by us")),"No reply",IF(M165&lt;=S_Today+7,"Due this week","")))))))</f>
        <v/>
      </c>
      <c r="Z165" s="34" t="str">
        <f aca="false">IF(OR(A165="",Y165=""),"",IF(Y165="Renewal due",100000,IF(Y165="Overdue",200000,IF(Y165="No reply",300000,IF(Y165="Due this week",400000,500000))))+IF(Y165="Renewal due",P165-40000,IF(Y165="Missing next action",0,M165-40000))+ROW()/100000)</f>
        <v/>
      </c>
      <c r="AA165" s="32" t="str">
        <f aca="false">IF(A165="","",_xlfn.TEXTJOIN(", ",TRUE(),IF(AND(X165="Yes",D165=""),"No owner",IF(AND(D165&lt;&gt;"",COUNTIFS(R_TeamName,D165,R_TeamActive,"No")&gt;0),"Needs new owner","")),IF(AND(OR(C165="Proposal sent",C165="Negotiation"),H165="",I165="",K165=""),"Add package or proposed value",""),IF(AND(C165="Won",OR(P165="",V165="")),"Won needs renewal date and closed on",""),IF(AND(C165="Won",G165="Cash",J165=""),"Add agreed value",""),IF(AND(C165="Lost",OR(S165="",V165="")),"Lost needs reason and closed on",""),IF(AND(C165="Nurture",OR(T165="",U165="")),"Nurture needs reason and date","")))</f>
        <v/>
      </c>
      <c r="AB165" s="34" t="str">
        <f aca="false">IF(AND(C165="Won",V165&lt;&gt;"",V165&gt;=S_SemStart,V165&lt;=S_SemEnd),V165+ROW()/100000,"")</f>
        <v/>
      </c>
      <c r="AC165" s="34" t="str">
        <f aca="false">IF(AND(C165="Lost",V165&lt;&gt;"",V165&gt;=S_SemStart,V165&lt;=S_SemEnd),V165+ROW()/100000,"")</f>
        <v/>
      </c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9"/>
      <c r="J166" s="29"/>
      <c r="K166" s="27"/>
      <c r="L166" s="27"/>
      <c r="M166" s="28"/>
      <c r="N166" s="28"/>
      <c r="O166" s="28"/>
      <c r="P166" s="28"/>
      <c r="Q166" s="27"/>
      <c r="R166" s="27"/>
      <c r="S166" s="27"/>
      <c r="T166" s="27"/>
      <c r="U166" s="28"/>
      <c r="V166" s="28"/>
      <c r="W166" s="27"/>
      <c r="X166" s="32" t="str">
        <f aca="false">IF(A166="","",IF(OR(C166="Planned",C166="Contacted",C166="Meeting",C166="Proposal sent",C166="Negotiation"),"Yes","No"))</f>
        <v/>
      </c>
      <c r="Y166" s="32" t="str">
        <f aca="false">IF(A166="","",IF(AND(C166="Won",P166&lt;&gt;"",P166&lt;=S_Today+S_RenewalDays,COUNTIFS($A$3:$A$502,A166,$F$3:$F$502,"Yes",$X$3:$X$502,"Yes")=0),"Renewal due",IF(X166&lt;&gt;"Yes","",IF(OR(L166="",M166=""),"Missing next action",IF(M166&lt;S_Today,"Overdue",IF(AND(C166="Contacted",_xlfn.MAXIFS(Interactions!$A$3:$A$502,Interactions!$B$3:$B$502,A166,Interactions!$F$3:$F$502,"Sent by us")&gt;0,_xlfn.MAXIFS(Interactions!$A$3:$A$502,Interactions!$B$3:$B$502,A166,Interactions!$F$3:$F$502,"Sent by us")&lt;=S_Today-S_NoReplyDays,MAX(_xlfn.MAXIFS(Interactions!$A$3:$A$502,Interactions!$B$3:$B$502,A166,Interactions!$F$3:$F$502,"Received from them"),_xlfn.MAXIFS(Interactions!$A$3:$A$502,Interactions!$B$3:$B$502,A166,Interactions!$F$3:$F$502,"Two-way"))&lt;_xlfn.MAXIFS(Interactions!$A$3:$A$502,Interactions!$B$3:$B$502,A166,Interactions!$F$3:$F$502,"Sent by us")),"No reply",IF(M166&lt;=S_Today+7,"Due this week","")))))))</f>
        <v/>
      </c>
      <c r="Z166" s="34" t="str">
        <f aca="false">IF(OR(A166="",Y166=""),"",IF(Y166="Renewal due",100000,IF(Y166="Overdue",200000,IF(Y166="No reply",300000,IF(Y166="Due this week",400000,500000))))+IF(Y166="Renewal due",P166-40000,IF(Y166="Missing next action",0,M166-40000))+ROW()/100000)</f>
        <v/>
      </c>
      <c r="AA166" s="32" t="str">
        <f aca="false">IF(A166="","",_xlfn.TEXTJOIN(", ",TRUE(),IF(AND(X166="Yes",D166=""),"No owner",IF(AND(D166&lt;&gt;"",COUNTIFS(R_TeamName,D166,R_TeamActive,"No")&gt;0),"Needs new owner","")),IF(AND(OR(C166="Proposal sent",C166="Negotiation"),H166="",I166="",K166=""),"Add package or proposed value",""),IF(AND(C166="Won",OR(P166="",V166="")),"Won needs renewal date and closed on",""),IF(AND(C166="Won",G166="Cash",J166=""),"Add agreed value",""),IF(AND(C166="Lost",OR(S166="",V166="")),"Lost needs reason and closed on",""),IF(AND(C166="Nurture",OR(T166="",U166="")),"Nurture needs reason and date","")))</f>
        <v/>
      </c>
      <c r="AB166" s="34" t="str">
        <f aca="false">IF(AND(C166="Won",V166&lt;&gt;"",V166&gt;=S_SemStart,V166&lt;=S_SemEnd),V166+ROW()/100000,"")</f>
        <v/>
      </c>
      <c r="AC166" s="34" t="str">
        <f aca="false">IF(AND(C166="Lost",V166&lt;&gt;"",V166&gt;=S_SemStart,V166&lt;=S_SemEnd),V166+ROW()/100000,"")</f>
        <v/>
      </c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9"/>
      <c r="J167" s="29"/>
      <c r="K167" s="27"/>
      <c r="L167" s="27"/>
      <c r="M167" s="28"/>
      <c r="N167" s="28"/>
      <c r="O167" s="28"/>
      <c r="P167" s="28"/>
      <c r="Q167" s="27"/>
      <c r="R167" s="27"/>
      <c r="S167" s="27"/>
      <c r="T167" s="27"/>
      <c r="U167" s="28"/>
      <c r="V167" s="28"/>
      <c r="W167" s="27"/>
      <c r="X167" s="32" t="str">
        <f aca="false">IF(A167="","",IF(OR(C167="Planned",C167="Contacted",C167="Meeting",C167="Proposal sent",C167="Negotiation"),"Yes","No"))</f>
        <v/>
      </c>
      <c r="Y167" s="32" t="str">
        <f aca="false">IF(A167="","",IF(AND(C167="Won",P167&lt;&gt;"",P167&lt;=S_Today+S_RenewalDays,COUNTIFS($A$3:$A$502,A167,$F$3:$F$502,"Yes",$X$3:$X$502,"Yes")=0),"Renewal due",IF(X167&lt;&gt;"Yes","",IF(OR(L167="",M167=""),"Missing next action",IF(M167&lt;S_Today,"Overdue",IF(AND(C167="Contacted",_xlfn.MAXIFS(Interactions!$A$3:$A$502,Interactions!$B$3:$B$502,A167,Interactions!$F$3:$F$502,"Sent by us")&gt;0,_xlfn.MAXIFS(Interactions!$A$3:$A$502,Interactions!$B$3:$B$502,A167,Interactions!$F$3:$F$502,"Sent by us")&lt;=S_Today-S_NoReplyDays,MAX(_xlfn.MAXIFS(Interactions!$A$3:$A$502,Interactions!$B$3:$B$502,A167,Interactions!$F$3:$F$502,"Received from them"),_xlfn.MAXIFS(Interactions!$A$3:$A$502,Interactions!$B$3:$B$502,A167,Interactions!$F$3:$F$502,"Two-way"))&lt;_xlfn.MAXIFS(Interactions!$A$3:$A$502,Interactions!$B$3:$B$502,A167,Interactions!$F$3:$F$502,"Sent by us")),"No reply",IF(M167&lt;=S_Today+7,"Due this week","")))))))</f>
        <v/>
      </c>
      <c r="Z167" s="34" t="str">
        <f aca="false">IF(OR(A167="",Y167=""),"",IF(Y167="Renewal due",100000,IF(Y167="Overdue",200000,IF(Y167="No reply",300000,IF(Y167="Due this week",400000,500000))))+IF(Y167="Renewal due",P167-40000,IF(Y167="Missing next action",0,M167-40000))+ROW()/100000)</f>
        <v/>
      </c>
      <c r="AA167" s="32" t="str">
        <f aca="false">IF(A167="","",_xlfn.TEXTJOIN(", ",TRUE(),IF(AND(X167="Yes",D167=""),"No owner",IF(AND(D167&lt;&gt;"",COUNTIFS(R_TeamName,D167,R_TeamActive,"No")&gt;0),"Needs new owner","")),IF(AND(OR(C167="Proposal sent",C167="Negotiation"),H167="",I167="",K167=""),"Add package or proposed value",""),IF(AND(C167="Won",OR(P167="",V167="")),"Won needs renewal date and closed on",""),IF(AND(C167="Won",G167="Cash",J167=""),"Add agreed value",""),IF(AND(C167="Lost",OR(S167="",V167="")),"Lost needs reason and closed on",""),IF(AND(C167="Nurture",OR(T167="",U167="")),"Nurture needs reason and date","")))</f>
        <v/>
      </c>
      <c r="AB167" s="34" t="str">
        <f aca="false">IF(AND(C167="Won",V167&lt;&gt;"",V167&gt;=S_SemStart,V167&lt;=S_SemEnd),V167+ROW()/100000,"")</f>
        <v/>
      </c>
      <c r="AC167" s="34" t="str">
        <f aca="false">IF(AND(C167="Lost",V167&lt;&gt;"",V167&gt;=S_SemStart,V167&lt;=S_SemEnd),V167+ROW()/100000,"")</f>
        <v/>
      </c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9"/>
      <c r="J168" s="29"/>
      <c r="K168" s="27"/>
      <c r="L168" s="27"/>
      <c r="M168" s="28"/>
      <c r="N168" s="28"/>
      <c r="O168" s="28"/>
      <c r="P168" s="28"/>
      <c r="Q168" s="27"/>
      <c r="R168" s="27"/>
      <c r="S168" s="27"/>
      <c r="T168" s="27"/>
      <c r="U168" s="28"/>
      <c r="V168" s="28"/>
      <c r="W168" s="27"/>
      <c r="X168" s="32" t="str">
        <f aca="false">IF(A168="","",IF(OR(C168="Planned",C168="Contacted",C168="Meeting",C168="Proposal sent",C168="Negotiation"),"Yes","No"))</f>
        <v/>
      </c>
      <c r="Y168" s="32" t="str">
        <f aca="false">IF(A168="","",IF(AND(C168="Won",P168&lt;&gt;"",P168&lt;=S_Today+S_RenewalDays,COUNTIFS($A$3:$A$502,A168,$F$3:$F$502,"Yes",$X$3:$X$502,"Yes")=0),"Renewal due",IF(X168&lt;&gt;"Yes","",IF(OR(L168="",M168=""),"Missing next action",IF(M168&lt;S_Today,"Overdue",IF(AND(C168="Contacted",_xlfn.MAXIFS(Interactions!$A$3:$A$502,Interactions!$B$3:$B$502,A168,Interactions!$F$3:$F$502,"Sent by us")&gt;0,_xlfn.MAXIFS(Interactions!$A$3:$A$502,Interactions!$B$3:$B$502,A168,Interactions!$F$3:$F$502,"Sent by us")&lt;=S_Today-S_NoReplyDays,MAX(_xlfn.MAXIFS(Interactions!$A$3:$A$502,Interactions!$B$3:$B$502,A168,Interactions!$F$3:$F$502,"Received from them"),_xlfn.MAXIFS(Interactions!$A$3:$A$502,Interactions!$B$3:$B$502,A168,Interactions!$F$3:$F$502,"Two-way"))&lt;_xlfn.MAXIFS(Interactions!$A$3:$A$502,Interactions!$B$3:$B$502,A168,Interactions!$F$3:$F$502,"Sent by us")),"No reply",IF(M168&lt;=S_Today+7,"Due this week","")))))))</f>
        <v/>
      </c>
      <c r="Z168" s="34" t="str">
        <f aca="false">IF(OR(A168="",Y168=""),"",IF(Y168="Renewal due",100000,IF(Y168="Overdue",200000,IF(Y168="No reply",300000,IF(Y168="Due this week",400000,500000))))+IF(Y168="Renewal due",P168-40000,IF(Y168="Missing next action",0,M168-40000))+ROW()/100000)</f>
        <v/>
      </c>
      <c r="AA168" s="32" t="str">
        <f aca="false">IF(A168="","",_xlfn.TEXTJOIN(", ",TRUE(),IF(AND(X168="Yes",D168=""),"No owner",IF(AND(D168&lt;&gt;"",COUNTIFS(R_TeamName,D168,R_TeamActive,"No")&gt;0),"Needs new owner","")),IF(AND(OR(C168="Proposal sent",C168="Negotiation"),H168="",I168="",K168=""),"Add package or proposed value",""),IF(AND(C168="Won",OR(P168="",V168="")),"Won needs renewal date and closed on",""),IF(AND(C168="Won",G168="Cash",J168=""),"Add agreed value",""),IF(AND(C168="Lost",OR(S168="",V168="")),"Lost needs reason and closed on",""),IF(AND(C168="Nurture",OR(T168="",U168="")),"Nurture needs reason and date","")))</f>
        <v/>
      </c>
      <c r="AB168" s="34" t="str">
        <f aca="false">IF(AND(C168="Won",V168&lt;&gt;"",V168&gt;=S_SemStart,V168&lt;=S_SemEnd),V168+ROW()/100000,"")</f>
        <v/>
      </c>
      <c r="AC168" s="34" t="str">
        <f aca="false">IF(AND(C168="Lost",V168&lt;&gt;"",V168&gt;=S_SemStart,V168&lt;=S_SemEnd),V168+ROW()/100000,"")</f>
        <v/>
      </c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9"/>
      <c r="J169" s="29"/>
      <c r="K169" s="27"/>
      <c r="L169" s="27"/>
      <c r="M169" s="28"/>
      <c r="N169" s="28"/>
      <c r="O169" s="28"/>
      <c r="P169" s="28"/>
      <c r="Q169" s="27"/>
      <c r="R169" s="27"/>
      <c r="S169" s="27"/>
      <c r="T169" s="27"/>
      <c r="U169" s="28"/>
      <c r="V169" s="28"/>
      <c r="W169" s="27"/>
      <c r="X169" s="32" t="str">
        <f aca="false">IF(A169="","",IF(OR(C169="Planned",C169="Contacted",C169="Meeting",C169="Proposal sent",C169="Negotiation"),"Yes","No"))</f>
        <v/>
      </c>
      <c r="Y169" s="32" t="str">
        <f aca="false">IF(A169="","",IF(AND(C169="Won",P169&lt;&gt;"",P169&lt;=S_Today+S_RenewalDays,COUNTIFS($A$3:$A$502,A169,$F$3:$F$502,"Yes",$X$3:$X$502,"Yes")=0),"Renewal due",IF(X169&lt;&gt;"Yes","",IF(OR(L169="",M169=""),"Missing next action",IF(M169&lt;S_Today,"Overdue",IF(AND(C169="Contacted",_xlfn.MAXIFS(Interactions!$A$3:$A$502,Interactions!$B$3:$B$502,A169,Interactions!$F$3:$F$502,"Sent by us")&gt;0,_xlfn.MAXIFS(Interactions!$A$3:$A$502,Interactions!$B$3:$B$502,A169,Interactions!$F$3:$F$502,"Sent by us")&lt;=S_Today-S_NoReplyDays,MAX(_xlfn.MAXIFS(Interactions!$A$3:$A$502,Interactions!$B$3:$B$502,A169,Interactions!$F$3:$F$502,"Received from them"),_xlfn.MAXIFS(Interactions!$A$3:$A$502,Interactions!$B$3:$B$502,A169,Interactions!$F$3:$F$502,"Two-way"))&lt;_xlfn.MAXIFS(Interactions!$A$3:$A$502,Interactions!$B$3:$B$502,A169,Interactions!$F$3:$F$502,"Sent by us")),"No reply",IF(M169&lt;=S_Today+7,"Due this week","")))))))</f>
        <v/>
      </c>
      <c r="Z169" s="34" t="str">
        <f aca="false">IF(OR(A169="",Y169=""),"",IF(Y169="Renewal due",100000,IF(Y169="Overdue",200000,IF(Y169="No reply",300000,IF(Y169="Due this week",400000,500000))))+IF(Y169="Renewal due",P169-40000,IF(Y169="Missing next action",0,M169-40000))+ROW()/100000)</f>
        <v/>
      </c>
      <c r="AA169" s="32" t="str">
        <f aca="false">IF(A169="","",_xlfn.TEXTJOIN(", ",TRUE(),IF(AND(X169="Yes",D169=""),"No owner",IF(AND(D169&lt;&gt;"",COUNTIFS(R_TeamName,D169,R_TeamActive,"No")&gt;0),"Needs new owner","")),IF(AND(OR(C169="Proposal sent",C169="Negotiation"),H169="",I169="",K169=""),"Add package or proposed value",""),IF(AND(C169="Won",OR(P169="",V169="")),"Won needs renewal date and closed on",""),IF(AND(C169="Won",G169="Cash",J169=""),"Add agreed value",""),IF(AND(C169="Lost",OR(S169="",V169="")),"Lost needs reason and closed on",""),IF(AND(C169="Nurture",OR(T169="",U169="")),"Nurture needs reason and date","")))</f>
        <v/>
      </c>
      <c r="AB169" s="34" t="str">
        <f aca="false">IF(AND(C169="Won",V169&lt;&gt;"",V169&gt;=S_SemStart,V169&lt;=S_SemEnd),V169+ROW()/100000,"")</f>
        <v/>
      </c>
      <c r="AC169" s="34" t="str">
        <f aca="false">IF(AND(C169="Lost",V169&lt;&gt;"",V169&gt;=S_SemStart,V169&lt;=S_SemEnd),V169+ROW()/100000,"")</f>
        <v/>
      </c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9"/>
      <c r="J170" s="29"/>
      <c r="K170" s="27"/>
      <c r="L170" s="27"/>
      <c r="M170" s="28"/>
      <c r="N170" s="28"/>
      <c r="O170" s="28"/>
      <c r="P170" s="28"/>
      <c r="Q170" s="27"/>
      <c r="R170" s="27"/>
      <c r="S170" s="27"/>
      <c r="T170" s="27"/>
      <c r="U170" s="28"/>
      <c r="V170" s="28"/>
      <c r="W170" s="27"/>
      <c r="X170" s="32" t="str">
        <f aca="false">IF(A170="","",IF(OR(C170="Planned",C170="Contacted",C170="Meeting",C170="Proposal sent",C170="Negotiation"),"Yes","No"))</f>
        <v/>
      </c>
      <c r="Y170" s="32" t="str">
        <f aca="false">IF(A170="","",IF(AND(C170="Won",P170&lt;&gt;"",P170&lt;=S_Today+S_RenewalDays,COUNTIFS($A$3:$A$502,A170,$F$3:$F$502,"Yes",$X$3:$X$502,"Yes")=0),"Renewal due",IF(X170&lt;&gt;"Yes","",IF(OR(L170="",M170=""),"Missing next action",IF(M170&lt;S_Today,"Overdue",IF(AND(C170="Contacted",_xlfn.MAXIFS(Interactions!$A$3:$A$502,Interactions!$B$3:$B$502,A170,Interactions!$F$3:$F$502,"Sent by us")&gt;0,_xlfn.MAXIFS(Interactions!$A$3:$A$502,Interactions!$B$3:$B$502,A170,Interactions!$F$3:$F$502,"Sent by us")&lt;=S_Today-S_NoReplyDays,MAX(_xlfn.MAXIFS(Interactions!$A$3:$A$502,Interactions!$B$3:$B$502,A170,Interactions!$F$3:$F$502,"Received from them"),_xlfn.MAXIFS(Interactions!$A$3:$A$502,Interactions!$B$3:$B$502,A170,Interactions!$F$3:$F$502,"Two-way"))&lt;_xlfn.MAXIFS(Interactions!$A$3:$A$502,Interactions!$B$3:$B$502,A170,Interactions!$F$3:$F$502,"Sent by us")),"No reply",IF(M170&lt;=S_Today+7,"Due this week","")))))))</f>
        <v/>
      </c>
      <c r="Z170" s="34" t="str">
        <f aca="false">IF(OR(A170="",Y170=""),"",IF(Y170="Renewal due",100000,IF(Y170="Overdue",200000,IF(Y170="No reply",300000,IF(Y170="Due this week",400000,500000))))+IF(Y170="Renewal due",P170-40000,IF(Y170="Missing next action",0,M170-40000))+ROW()/100000)</f>
        <v/>
      </c>
      <c r="AA170" s="32" t="str">
        <f aca="false">IF(A170="","",_xlfn.TEXTJOIN(", ",TRUE(),IF(AND(X170="Yes",D170=""),"No owner",IF(AND(D170&lt;&gt;"",COUNTIFS(R_TeamName,D170,R_TeamActive,"No")&gt;0),"Needs new owner","")),IF(AND(OR(C170="Proposal sent",C170="Negotiation"),H170="",I170="",K170=""),"Add package or proposed value",""),IF(AND(C170="Won",OR(P170="",V170="")),"Won needs renewal date and closed on",""),IF(AND(C170="Won",G170="Cash",J170=""),"Add agreed value",""),IF(AND(C170="Lost",OR(S170="",V170="")),"Lost needs reason and closed on",""),IF(AND(C170="Nurture",OR(T170="",U170="")),"Nurture needs reason and date","")))</f>
        <v/>
      </c>
      <c r="AB170" s="34" t="str">
        <f aca="false">IF(AND(C170="Won",V170&lt;&gt;"",V170&gt;=S_SemStart,V170&lt;=S_SemEnd),V170+ROW()/100000,"")</f>
        <v/>
      </c>
      <c r="AC170" s="34" t="str">
        <f aca="false">IF(AND(C170="Lost",V170&lt;&gt;"",V170&gt;=S_SemStart,V170&lt;=S_SemEnd),V170+ROW()/100000,"")</f>
        <v/>
      </c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9"/>
      <c r="J171" s="29"/>
      <c r="K171" s="27"/>
      <c r="L171" s="27"/>
      <c r="M171" s="28"/>
      <c r="N171" s="28"/>
      <c r="O171" s="28"/>
      <c r="P171" s="28"/>
      <c r="Q171" s="27"/>
      <c r="R171" s="27"/>
      <c r="S171" s="27"/>
      <c r="T171" s="27"/>
      <c r="U171" s="28"/>
      <c r="V171" s="28"/>
      <c r="W171" s="27"/>
      <c r="X171" s="32" t="str">
        <f aca="false">IF(A171="","",IF(OR(C171="Planned",C171="Contacted",C171="Meeting",C171="Proposal sent",C171="Negotiation"),"Yes","No"))</f>
        <v/>
      </c>
      <c r="Y171" s="32" t="str">
        <f aca="false">IF(A171="","",IF(AND(C171="Won",P171&lt;&gt;"",P171&lt;=S_Today+S_RenewalDays,COUNTIFS($A$3:$A$502,A171,$F$3:$F$502,"Yes",$X$3:$X$502,"Yes")=0),"Renewal due",IF(X171&lt;&gt;"Yes","",IF(OR(L171="",M171=""),"Missing next action",IF(M171&lt;S_Today,"Overdue",IF(AND(C171="Contacted",_xlfn.MAXIFS(Interactions!$A$3:$A$502,Interactions!$B$3:$B$502,A171,Interactions!$F$3:$F$502,"Sent by us")&gt;0,_xlfn.MAXIFS(Interactions!$A$3:$A$502,Interactions!$B$3:$B$502,A171,Interactions!$F$3:$F$502,"Sent by us")&lt;=S_Today-S_NoReplyDays,MAX(_xlfn.MAXIFS(Interactions!$A$3:$A$502,Interactions!$B$3:$B$502,A171,Interactions!$F$3:$F$502,"Received from them"),_xlfn.MAXIFS(Interactions!$A$3:$A$502,Interactions!$B$3:$B$502,A171,Interactions!$F$3:$F$502,"Two-way"))&lt;_xlfn.MAXIFS(Interactions!$A$3:$A$502,Interactions!$B$3:$B$502,A171,Interactions!$F$3:$F$502,"Sent by us")),"No reply",IF(M171&lt;=S_Today+7,"Due this week","")))))))</f>
        <v/>
      </c>
      <c r="Z171" s="34" t="str">
        <f aca="false">IF(OR(A171="",Y171=""),"",IF(Y171="Renewal due",100000,IF(Y171="Overdue",200000,IF(Y171="No reply",300000,IF(Y171="Due this week",400000,500000))))+IF(Y171="Renewal due",P171-40000,IF(Y171="Missing next action",0,M171-40000))+ROW()/100000)</f>
        <v/>
      </c>
      <c r="AA171" s="32" t="str">
        <f aca="false">IF(A171="","",_xlfn.TEXTJOIN(", ",TRUE(),IF(AND(X171="Yes",D171=""),"No owner",IF(AND(D171&lt;&gt;"",COUNTIFS(R_TeamName,D171,R_TeamActive,"No")&gt;0),"Needs new owner","")),IF(AND(OR(C171="Proposal sent",C171="Negotiation"),H171="",I171="",K171=""),"Add package or proposed value",""),IF(AND(C171="Won",OR(P171="",V171="")),"Won needs renewal date and closed on",""),IF(AND(C171="Won",G171="Cash",J171=""),"Add agreed value",""),IF(AND(C171="Lost",OR(S171="",V171="")),"Lost needs reason and closed on",""),IF(AND(C171="Nurture",OR(T171="",U171="")),"Nurture needs reason and date","")))</f>
        <v/>
      </c>
      <c r="AB171" s="34" t="str">
        <f aca="false">IF(AND(C171="Won",V171&lt;&gt;"",V171&gt;=S_SemStart,V171&lt;=S_SemEnd),V171+ROW()/100000,"")</f>
        <v/>
      </c>
      <c r="AC171" s="34" t="str">
        <f aca="false">IF(AND(C171="Lost",V171&lt;&gt;"",V171&gt;=S_SemStart,V171&lt;=S_SemEnd),V171+ROW()/100000,"")</f>
        <v/>
      </c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9"/>
      <c r="J172" s="29"/>
      <c r="K172" s="27"/>
      <c r="L172" s="27"/>
      <c r="M172" s="28"/>
      <c r="N172" s="28"/>
      <c r="O172" s="28"/>
      <c r="P172" s="28"/>
      <c r="Q172" s="27"/>
      <c r="R172" s="27"/>
      <c r="S172" s="27"/>
      <c r="T172" s="27"/>
      <c r="U172" s="28"/>
      <c r="V172" s="28"/>
      <c r="W172" s="27"/>
      <c r="X172" s="32" t="str">
        <f aca="false">IF(A172="","",IF(OR(C172="Planned",C172="Contacted",C172="Meeting",C172="Proposal sent",C172="Negotiation"),"Yes","No"))</f>
        <v/>
      </c>
      <c r="Y172" s="32" t="str">
        <f aca="false">IF(A172="","",IF(AND(C172="Won",P172&lt;&gt;"",P172&lt;=S_Today+S_RenewalDays,COUNTIFS($A$3:$A$502,A172,$F$3:$F$502,"Yes",$X$3:$X$502,"Yes")=0),"Renewal due",IF(X172&lt;&gt;"Yes","",IF(OR(L172="",M172=""),"Missing next action",IF(M172&lt;S_Today,"Overdue",IF(AND(C172="Contacted",_xlfn.MAXIFS(Interactions!$A$3:$A$502,Interactions!$B$3:$B$502,A172,Interactions!$F$3:$F$502,"Sent by us")&gt;0,_xlfn.MAXIFS(Interactions!$A$3:$A$502,Interactions!$B$3:$B$502,A172,Interactions!$F$3:$F$502,"Sent by us")&lt;=S_Today-S_NoReplyDays,MAX(_xlfn.MAXIFS(Interactions!$A$3:$A$502,Interactions!$B$3:$B$502,A172,Interactions!$F$3:$F$502,"Received from them"),_xlfn.MAXIFS(Interactions!$A$3:$A$502,Interactions!$B$3:$B$502,A172,Interactions!$F$3:$F$502,"Two-way"))&lt;_xlfn.MAXIFS(Interactions!$A$3:$A$502,Interactions!$B$3:$B$502,A172,Interactions!$F$3:$F$502,"Sent by us")),"No reply",IF(M172&lt;=S_Today+7,"Due this week","")))))))</f>
        <v/>
      </c>
      <c r="Z172" s="34" t="str">
        <f aca="false">IF(OR(A172="",Y172=""),"",IF(Y172="Renewal due",100000,IF(Y172="Overdue",200000,IF(Y172="No reply",300000,IF(Y172="Due this week",400000,500000))))+IF(Y172="Renewal due",P172-40000,IF(Y172="Missing next action",0,M172-40000))+ROW()/100000)</f>
        <v/>
      </c>
      <c r="AA172" s="32" t="str">
        <f aca="false">IF(A172="","",_xlfn.TEXTJOIN(", ",TRUE(),IF(AND(X172="Yes",D172=""),"No owner",IF(AND(D172&lt;&gt;"",COUNTIFS(R_TeamName,D172,R_TeamActive,"No")&gt;0),"Needs new owner","")),IF(AND(OR(C172="Proposal sent",C172="Negotiation"),H172="",I172="",K172=""),"Add package or proposed value",""),IF(AND(C172="Won",OR(P172="",V172="")),"Won needs renewal date and closed on",""),IF(AND(C172="Won",G172="Cash",J172=""),"Add agreed value",""),IF(AND(C172="Lost",OR(S172="",V172="")),"Lost needs reason and closed on",""),IF(AND(C172="Nurture",OR(T172="",U172="")),"Nurture needs reason and date","")))</f>
        <v/>
      </c>
      <c r="AB172" s="34" t="str">
        <f aca="false">IF(AND(C172="Won",V172&lt;&gt;"",V172&gt;=S_SemStart,V172&lt;=S_SemEnd),V172+ROW()/100000,"")</f>
        <v/>
      </c>
      <c r="AC172" s="34" t="str">
        <f aca="false">IF(AND(C172="Lost",V172&lt;&gt;"",V172&gt;=S_SemStart,V172&lt;=S_SemEnd),V172+ROW()/100000,"")</f>
        <v/>
      </c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9"/>
      <c r="J173" s="29"/>
      <c r="K173" s="27"/>
      <c r="L173" s="27"/>
      <c r="M173" s="28"/>
      <c r="N173" s="28"/>
      <c r="O173" s="28"/>
      <c r="P173" s="28"/>
      <c r="Q173" s="27"/>
      <c r="R173" s="27"/>
      <c r="S173" s="27"/>
      <c r="T173" s="27"/>
      <c r="U173" s="28"/>
      <c r="V173" s="28"/>
      <c r="W173" s="27"/>
      <c r="X173" s="32" t="str">
        <f aca="false">IF(A173="","",IF(OR(C173="Planned",C173="Contacted",C173="Meeting",C173="Proposal sent",C173="Negotiation"),"Yes","No"))</f>
        <v/>
      </c>
      <c r="Y173" s="32" t="str">
        <f aca="false">IF(A173="","",IF(AND(C173="Won",P173&lt;&gt;"",P173&lt;=S_Today+S_RenewalDays,COUNTIFS($A$3:$A$502,A173,$F$3:$F$502,"Yes",$X$3:$X$502,"Yes")=0),"Renewal due",IF(X173&lt;&gt;"Yes","",IF(OR(L173="",M173=""),"Missing next action",IF(M173&lt;S_Today,"Overdue",IF(AND(C173="Contacted",_xlfn.MAXIFS(Interactions!$A$3:$A$502,Interactions!$B$3:$B$502,A173,Interactions!$F$3:$F$502,"Sent by us")&gt;0,_xlfn.MAXIFS(Interactions!$A$3:$A$502,Interactions!$B$3:$B$502,A173,Interactions!$F$3:$F$502,"Sent by us")&lt;=S_Today-S_NoReplyDays,MAX(_xlfn.MAXIFS(Interactions!$A$3:$A$502,Interactions!$B$3:$B$502,A173,Interactions!$F$3:$F$502,"Received from them"),_xlfn.MAXIFS(Interactions!$A$3:$A$502,Interactions!$B$3:$B$502,A173,Interactions!$F$3:$F$502,"Two-way"))&lt;_xlfn.MAXIFS(Interactions!$A$3:$A$502,Interactions!$B$3:$B$502,A173,Interactions!$F$3:$F$502,"Sent by us")),"No reply",IF(M173&lt;=S_Today+7,"Due this week","")))))))</f>
        <v/>
      </c>
      <c r="Z173" s="34" t="str">
        <f aca="false">IF(OR(A173="",Y173=""),"",IF(Y173="Renewal due",100000,IF(Y173="Overdue",200000,IF(Y173="No reply",300000,IF(Y173="Due this week",400000,500000))))+IF(Y173="Renewal due",P173-40000,IF(Y173="Missing next action",0,M173-40000))+ROW()/100000)</f>
        <v/>
      </c>
      <c r="AA173" s="32" t="str">
        <f aca="false">IF(A173="","",_xlfn.TEXTJOIN(", ",TRUE(),IF(AND(X173="Yes",D173=""),"No owner",IF(AND(D173&lt;&gt;"",COUNTIFS(R_TeamName,D173,R_TeamActive,"No")&gt;0),"Needs new owner","")),IF(AND(OR(C173="Proposal sent",C173="Negotiation"),H173="",I173="",K173=""),"Add package or proposed value",""),IF(AND(C173="Won",OR(P173="",V173="")),"Won needs renewal date and closed on",""),IF(AND(C173="Won",G173="Cash",J173=""),"Add agreed value",""),IF(AND(C173="Lost",OR(S173="",V173="")),"Lost needs reason and closed on",""),IF(AND(C173="Nurture",OR(T173="",U173="")),"Nurture needs reason and date","")))</f>
        <v/>
      </c>
      <c r="AB173" s="34" t="str">
        <f aca="false">IF(AND(C173="Won",V173&lt;&gt;"",V173&gt;=S_SemStart,V173&lt;=S_SemEnd),V173+ROW()/100000,"")</f>
        <v/>
      </c>
      <c r="AC173" s="34" t="str">
        <f aca="false">IF(AND(C173="Lost",V173&lt;&gt;"",V173&gt;=S_SemStart,V173&lt;=S_SemEnd),V173+ROW()/100000,"")</f>
        <v/>
      </c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9"/>
      <c r="J174" s="29"/>
      <c r="K174" s="27"/>
      <c r="L174" s="27"/>
      <c r="M174" s="28"/>
      <c r="N174" s="28"/>
      <c r="O174" s="28"/>
      <c r="P174" s="28"/>
      <c r="Q174" s="27"/>
      <c r="R174" s="27"/>
      <c r="S174" s="27"/>
      <c r="T174" s="27"/>
      <c r="U174" s="28"/>
      <c r="V174" s="28"/>
      <c r="W174" s="27"/>
      <c r="X174" s="32" t="str">
        <f aca="false">IF(A174="","",IF(OR(C174="Planned",C174="Contacted",C174="Meeting",C174="Proposal sent",C174="Negotiation"),"Yes","No"))</f>
        <v/>
      </c>
      <c r="Y174" s="32" t="str">
        <f aca="false">IF(A174="","",IF(AND(C174="Won",P174&lt;&gt;"",P174&lt;=S_Today+S_RenewalDays,COUNTIFS($A$3:$A$502,A174,$F$3:$F$502,"Yes",$X$3:$X$502,"Yes")=0),"Renewal due",IF(X174&lt;&gt;"Yes","",IF(OR(L174="",M174=""),"Missing next action",IF(M174&lt;S_Today,"Overdue",IF(AND(C174="Contacted",_xlfn.MAXIFS(Interactions!$A$3:$A$502,Interactions!$B$3:$B$502,A174,Interactions!$F$3:$F$502,"Sent by us")&gt;0,_xlfn.MAXIFS(Interactions!$A$3:$A$502,Interactions!$B$3:$B$502,A174,Interactions!$F$3:$F$502,"Sent by us")&lt;=S_Today-S_NoReplyDays,MAX(_xlfn.MAXIFS(Interactions!$A$3:$A$502,Interactions!$B$3:$B$502,A174,Interactions!$F$3:$F$502,"Received from them"),_xlfn.MAXIFS(Interactions!$A$3:$A$502,Interactions!$B$3:$B$502,A174,Interactions!$F$3:$F$502,"Two-way"))&lt;_xlfn.MAXIFS(Interactions!$A$3:$A$502,Interactions!$B$3:$B$502,A174,Interactions!$F$3:$F$502,"Sent by us")),"No reply",IF(M174&lt;=S_Today+7,"Due this week","")))))))</f>
        <v/>
      </c>
      <c r="Z174" s="34" t="str">
        <f aca="false">IF(OR(A174="",Y174=""),"",IF(Y174="Renewal due",100000,IF(Y174="Overdue",200000,IF(Y174="No reply",300000,IF(Y174="Due this week",400000,500000))))+IF(Y174="Renewal due",P174-40000,IF(Y174="Missing next action",0,M174-40000))+ROW()/100000)</f>
        <v/>
      </c>
      <c r="AA174" s="32" t="str">
        <f aca="false">IF(A174="","",_xlfn.TEXTJOIN(", ",TRUE(),IF(AND(X174="Yes",D174=""),"No owner",IF(AND(D174&lt;&gt;"",COUNTIFS(R_TeamName,D174,R_TeamActive,"No")&gt;0),"Needs new owner","")),IF(AND(OR(C174="Proposal sent",C174="Negotiation"),H174="",I174="",K174=""),"Add package or proposed value",""),IF(AND(C174="Won",OR(P174="",V174="")),"Won needs renewal date and closed on",""),IF(AND(C174="Won",G174="Cash",J174=""),"Add agreed value",""),IF(AND(C174="Lost",OR(S174="",V174="")),"Lost needs reason and closed on",""),IF(AND(C174="Nurture",OR(T174="",U174="")),"Nurture needs reason and date","")))</f>
        <v/>
      </c>
      <c r="AB174" s="34" t="str">
        <f aca="false">IF(AND(C174="Won",V174&lt;&gt;"",V174&gt;=S_SemStart,V174&lt;=S_SemEnd),V174+ROW()/100000,"")</f>
        <v/>
      </c>
      <c r="AC174" s="34" t="str">
        <f aca="false">IF(AND(C174="Lost",V174&lt;&gt;"",V174&gt;=S_SemStart,V174&lt;=S_SemEnd),V174+ROW()/100000,"")</f>
        <v/>
      </c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9"/>
      <c r="J175" s="29"/>
      <c r="K175" s="27"/>
      <c r="L175" s="27"/>
      <c r="M175" s="28"/>
      <c r="N175" s="28"/>
      <c r="O175" s="28"/>
      <c r="P175" s="28"/>
      <c r="Q175" s="27"/>
      <c r="R175" s="27"/>
      <c r="S175" s="27"/>
      <c r="T175" s="27"/>
      <c r="U175" s="28"/>
      <c r="V175" s="28"/>
      <c r="W175" s="27"/>
      <c r="X175" s="32" t="str">
        <f aca="false">IF(A175="","",IF(OR(C175="Planned",C175="Contacted",C175="Meeting",C175="Proposal sent",C175="Negotiation"),"Yes","No"))</f>
        <v/>
      </c>
      <c r="Y175" s="32" t="str">
        <f aca="false">IF(A175="","",IF(AND(C175="Won",P175&lt;&gt;"",P175&lt;=S_Today+S_RenewalDays,COUNTIFS($A$3:$A$502,A175,$F$3:$F$502,"Yes",$X$3:$X$502,"Yes")=0),"Renewal due",IF(X175&lt;&gt;"Yes","",IF(OR(L175="",M175=""),"Missing next action",IF(M175&lt;S_Today,"Overdue",IF(AND(C175="Contacted",_xlfn.MAXIFS(Interactions!$A$3:$A$502,Interactions!$B$3:$B$502,A175,Interactions!$F$3:$F$502,"Sent by us")&gt;0,_xlfn.MAXIFS(Interactions!$A$3:$A$502,Interactions!$B$3:$B$502,A175,Interactions!$F$3:$F$502,"Sent by us")&lt;=S_Today-S_NoReplyDays,MAX(_xlfn.MAXIFS(Interactions!$A$3:$A$502,Interactions!$B$3:$B$502,A175,Interactions!$F$3:$F$502,"Received from them"),_xlfn.MAXIFS(Interactions!$A$3:$A$502,Interactions!$B$3:$B$502,A175,Interactions!$F$3:$F$502,"Two-way"))&lt;_xlfn.MAXIFS(Interactions!$A$3:$A$502,Interactions!$B$3:$B$502,A175,Interactions!$F$3:$F$502,"Sent by us")),"No reply",IF(M175&lt;=S_Today+7,"Due this week","")))))))</f>
        <v/>
      </c>
      <c r="Z175" s="34" t="str">
        <f aca="false">IF(OR(A175="",Y175=""),"",IF(Y175="Renewal due",100000,IF(Y175="Overdue",200000,IF(Y175="No reply",300000,IF(Y175="Due this week",400000,500000))))+IF(Y175="Renewal due",P175-40000,IF(Y175="Missing next action",0,M175-40000))+ROW()/100000)</f>
        <v/>
      </c>
      <c r="AA175" s="32" t="str">
        <f aca="false">IF(A175="","",_xlfn.TEXTJOIN(", ",TRUE(),IF(AND(X175="Yes",D175=""),"No owner",IF(AND(D175&lt;&gt;"",COUNTIFS(R_TeamName,D175,R_TeamActive,"No")&gt;0),"Needs new owner","")),IF(AND(OR(C175="Proposal sent",C175="Negotiation"),H175="",I175="",K175=""),"Add package or proposed value",""),IF(AND(C175="Won",OR(P175="",V175="")),"Won needs renewal date and closed on",""),IF(AND(C175="Won",G175="Cash",J175=""),"Add agreed value",""),IF(AND(C175="Lost",OR(S175="",V175="")),"Lost needs reason and closed on",""),IF(AND(C175="Nurture",OR(T175="",U175="")),"Nurture needs reason and date","")))</f>
        <v/>
      </c>
      <c r="AB175" s="34" t="str">
        <f aca="false">IF(AND(C175="Won",V175&lt;&gt;"",V175&gt;=S_SemStart,V175&lt;=S_SemEnd),V175+ROW()/100000,"")</f>
        <v/>
      </c>
      <c r="AC175" s="34" t="str">
        <f aca="false">IF(AND(C175="Lost",V175&lt;&gt;"",V175&gt;=S_SemStart,V175&lt;=S_SemEnd),V175+ROW()/100000,"")</f>
        <v/>
      </c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9"/>
      <c r="J176" s="29"/>
      <c r="K176" s="27"/>
      <c r="L176" s="27"/>
      <c r="M176" s="28"/>
      <c r="N176" s="28"/>
      <c r="O176" s="28"/>
      <c r="P176" s="28"/>
      <c r="Q176" s="27"/>
      <c r="R176" s="27"/>
      <c r="S176" s="27"/>
      <c r="T176" s="27"/>
      <c r="U176" s="28"/>
      <c r="V176" s="28"/>
      <c r="W176" s="27"/>
      <c r="X176" s="32" t="str">
        <f aca="false">IF(A176="","",IF(OR(C176="Planned",C176="Contacted",C176="Meeting",C176="Proposal sent",C176="Negotiation"),"Yes","No"))</f>
        <v/>
      </c>
      <c r="Y176" s="32" t="str">
        <f aca="false">IF(A176="","",IF(AND(C176="Won",P176&lt;&gt;"",P176&lt;=S_Today+S_RenewalDays,COUNTIFS($A$3:$A$502,A176,$F$3:$F$502,"Yes",$X$3:$X$502,"Yes")=0),"Renewal due",IF(X176&lt;&gt;"Yes","",IF(OR(L176="",M176=""),"Missing next action",IF(M176&lt;S_Today,"Overdue",IF(AND(C176="Contacted",_xlfn.MAXIFS(Interactions!$A$3:$A$502,Interactions!$B$3:$B$502,A176,Interactions!$F$3:$F$502,"Sent by us")&gt;0,_xlfn.MAXIFS(Interactions!$A$3:$A$502,Interactions!$B$3:$B$502,A176,Interactions!$F$3:$F$502,"Sent by us")&lt;=S_Today-S_NoReplyDays,MAX(_xlfn.MAXIFS(Interactions!$A$3:$A$502,Interactions!$B$3:$B$502,A176,Interactions!$F$3:$F$502,"Received from them"),_xlfn.MAXIFS(Interactions!$A$3:$A$502,Interactions!$B$3:$B$502,A176,Interactions!$F$3:$F$502,"Two-way"))&lt;_xlfn.MAXIFS(Interactions!$A$3:$A$502,Interactions!$B$3:$B$502,A176,Interactions!$F$3:$F$502,"Sent by us")),"No reply",IF(M176&lt;=S_Today+7,"Due this week","")))))))</f>
        <v/>
      </c>
      <c r="Z176" s="34" t="str">
        <f aca="false">IF(OR(A176="",Y176=""),"",IF(Y176="Renewal due",100000,IF(Y176="Overdue",200000,IF(Y176="No reply",300000,IF(Y176="Due this week",400000,500000))))+IF(Y176="Renewal due",P176-40000,IF(Y176="Missing next action",0,M176-40000))+ROW()/100000)</f>
        <v/>
      </c>
      <c r="AA176" s="32" t="str">
        <f aca="false">IF(A176="","",_xlfn.TEXTJOIN(", ",TRUE(),IF(AND(X176="Yes",D176=""),"No owner",IF(AND(D176&lt;&gt;"",COUNTIFS(R_TeamName,D176,R_TeamActive,"No")&gt;0),"Needs new owner","")),IF(AND(OR(C176="Proposal sent",C176="Negotiation"),H176="",I176="",K176=""),"Add package or proposed value",""),IF(AND(C176="Won",OR(P176="",V176="")),"Won needs renewal date and closed on",""),IF(AND(C176="Won",G176="Cash",J176=""),"Add agreed value",""),IF(AND(C176="Lost",OR(S176="",V176="")),"Lost needs reason and closed on",""),IF(AND(C176="Nurture",OR(T176="",U176="")),"Nurture needs reason and date","")))</f>
        <v/>
      </c>
      <c r="AB176" s="34" t="str">
        <f aca="false">IF(AND(C176="Won",V176&lt;&gt;"",V176&gt;=S_SemStart,V176&lt;=S_SemEnd),V176+ROW()/100000,"")</f>
        <v/>
      </c>
      <c r="AC176" s="34" t="str">
        <f aca="false">IF(AND(C176="Lost",V176&lt;&gt;"",V176&gt;=S_SemStart,V176&lt;=S_SemEnd),V176+ROW()/100000,"")</f>
        <v/>
      </c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9"/>
      <c r="J177" s="29"/>
      <c r="K177" s="27"/>
      <c r="L177" s="27"/>
      <c r="M177" s="28"/>
      <c r="N177" s="28"/>
      <c r="O177" s="28"/>
      <c r="P177" s="28"/>
      <c r="Q177" s="27"/>
      <c r="R177" s="27"/>
      <c r="S177" s="27"/>
      <c r="T177" s="27"/>
      <c r="U177" s="28"/>
      <c r="V177" s="28"/>
      <c r="W177" s="27"/>
      <c r="X177" s="32" t="str">
        <f aca="false">IF(A177="","",IF(OR(C177="Planned",C177="Contacted",C177="Meeting",C177="Proposal sent",C177="Negotiation"),"Yes","No"))</f>
        <v/>
      </c>
      <c r="Y177" s="32" t="str">
        <f aca="false">IF(A177="","",IF(AND(C177="Won",P177&lt;&gt;"",P177&lt;=S_Today+S_RenewalDays,COUNTIFS($A$3:$A$502,A177,$F$3:$F$502,"Yes",$X$3:$X$502,"Yes")=0),"Renewal due",IF(X177&lt;&gt;"Yes","",IF(OR(L177="",M177=""),"Missing next action",IF(M177&lt;S_Today,"Overdue",IF(AND(C177="Contacted",_xlfn.MAXIFS(Interactions!$A$3:$A$502,Interactions!$B$3:$B$502,A177,Interactions!$F$3:$F$502,"Sent by us")&gt;0,_xlfn.MAXIFS(Interactions!$A$3:$A$502,Interactions!$B$3:$B$502,A177,Interactions!$F$3:$F$502,"Sent by us")&lt;=S_Today-S_NoReplyDays,MAX(_xlfn.MAXIFS(Interactions!$A$3:$A$502,Interactions!$B$3:$B$502,A177,Interactions!$F$3:$F$502,"Received from them"),_xlfn.MAXIFS(Interactions!$A$3:$A$502,Interactions!$B$3:$B$502,A177,Interactions!$F$3:$F$502,"Two-way"))&lt;_xlfn.MAXIFS(Interactions!$A$3:$A$502,Interactions!$B$3:$B$502,A177,Interactions!$F$3:$F$502,"Sent by us")),"No reply",IF(M177&lt;=S_Today+7,"Due this week","")))))))</f>
        <v/>
      </c>
      <c r="Z177" s="34" t="str">
        <f aca="false">IF(OR(A177="",Y177=""),"",IF(Y177="Renewal due",100000,IF(Y177="Overdue",200000,IF(Y177="No reply",300000,IF(Y177="Due this week",400000,500000))))+IF(Y177="Renewal due",P177-40000,IF(Y177="Missing next action",0,M177-40000))+ROW()/100000)</f>
        <v/>
      </c>
      <c r="AA177" s="32" t="str">
        <f aca="false">IF(A177="","",_xlfn.TEXTJOIN(", ",TRUE(),IF(AND(X177="Yes",D177=""),"No owner",IF(AND(D177&lt;&gt;"",COUNTIFS(R_TeamName,D177,R_TeamActive,"No")&gt;0),"Needs new owner","")),IF(AND(OR(C177="Proposal sent",C177="Negotiation"),H177="",I177="",K177=""),"Add package or proposed value",""),IF(AND(C177="Won",OR(P177="",V177="")),"Won needs renewal date and closed on",""),IF(AND(C177="Won",G177="Cash",J177=""),"Add agreed value",""),IF(AND(C177="Lost",OR(S177="",V177="")),"Lost needs reason and closed on",""),IF(AND(C177="Nurture",OR(T177="",U177="")),"Nurture needs reason and date","")))</f>
        <v/>
      </c>
      <c r="AB177" s="34" t="str">
        <f aca="false">IF(AND(C177="Won",V177&lt;&gt;"",V177&gt;=S_SemStart,V177&lt;=S_SemEnd),V177+ROW()/100000,"")</f>
        <v/>
      </c>
      <c r="AC177" s="34" t="str">
        <f aca="false">IF(AND(C177="Lost",V177&lt;&gt;"",V177&gt;=S_SemStart,V177&lt;=S_SemEnd),V177+ROW()/100000,"")</f>
        <v/>
      </c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9"/>
      <c r="J178" s="29"/>
      <c r="K178" s="27"/>
      <c r="L178" s="27"/>
      <c r="M178" s="28"/>
      <c r="N178" s="28"/>
      <c r="O178" s="28"/>
      <c r="P178" s="28"/>
      <c r="Q178" s="27"/>
      <c r="R178" s="27"/>
      <c r="S178" s="27"/>
      <c r="T178" s="27"/>
      <c r="U178" s="28"/>
      <c r="V178" s="28"/>
      <c r="W178" s="27"/>
      <c r="X178" s="32" t="str">
        <f aca="false">IF(A178="","",IF(OR(C178="Planned",C178="Contacted",C178="Meeting",C178="Proposal sent",C178="Negotiation"),"Yes","No"))</f>
        <v/>
      </c>
      <c r="Y178" s="32" t="str">
        <f aca="false">IF(A178="","",IF(AND(C178="Won",P178&lt;&gt;"",P178&lt;=S_Today+S_RenewalDays,COUNTIFS($A$3:$A$502,A178,$F$3:$F$502,"Yes",$X$3:$X$502,"Yes")=0),"Renewal due",IF(X178&lt;&gt;"Yes","",IF(OR(L178="",M178=""),"Missing next action",IF(M178&lt;S_Today,"Overdue",IF(AND(C178="Contacted",_xlfn.MAXIFS(Interactions!$A$3:$A$502,Interactions!$B$3:$B$502,A178,Interactions!$F$3:$F$502,"Sent by us")&gt;0,_xlfn.MAXIFS(Interactions!$A$3:$A$502,Interactions!$B$3:$B$502,A178,Interactions!$F$3:$F$502,"Sent by us")&lt;=S_Today-S_NoReplyDays,MAX(_xlfn.MAXIFS(Interactions!$A$3:$A$502,Interactions!$B$3:$B$502,A178,Interactions!$F$3:$F$502,"Received from them"),_xlfn.MAXIFS(Interactions!$A$3:$A$502,Interactions!$B$3:$B$502,A178,Interactions!$F$3:$F$502,"Two-way"))&lt;_xlfn.MAXIFS(Interactions!$A$3:$A$502,Interactions!$B$3:$B$502,A178,Interactions!$F$3:$F$502,"Sent by us")),"No reply",IF(M178&lt;=S_Today+7,"Due this week","")))))))</f>
        <v/>
      </c>
      <c r="Z178" s="34" t="str">
        <f aca="false">IF(OR(A178="",Y178=""),"",IF(Y178="Renewal due",100000,IF(Y178="Overdue",200000,IF(Y178="No reply",300000,IF(Y178="Due this week",400000,500000))))+IF(Y178="Renewal due",P178-40000,IF(Y178="Missing next action",0,M178-40000))+ROW()/100000)</f>
        <v/>
      </c>
      <c r="AA178" s="32" t="str">
        <f aca="false">IF(A178="","",_xlfn.TEXTJOIN(", ",TRUE(),IF(AND(X178="Yes",D178=""),"No owner",IF(AND(D178&lt;&gt;"",COUNTIFS(R_TeamName,D178,R_TeamActive,"No")&gt;0),"Needs new owner","")),IF(AND(OR(C178="Proposal sent",C178="Negotiation"),H178="",I178="",K178=""),"Add package or proposed value",""),IF(AND(C178="Won",OR(P178="",V178="")),"Won needs renewal date and closed on",""),IF(AND(C178="Won",G178="Cash",J178=""),"Add agreed value",""),IF(AND(C178="Lost",OR(S178="",V178="")),"Lost needs reason and closed on",""),IF(AND(C178="Nurture",OR(T178="",U178="")),"Nurture needs reason and date","")))</f>
        <v/>
      </c>
      <c r="AB178" s="34" t="str">
        <f aca="false">IF(AND(C178="Won",V178&lt;&gt;"",V178&gt;=S_SemStart,V178&lt;=S_SemEnd),V178+ROW()/100000,"")</f>
        <v/>
      </c>
      <c r="AC178" s="34" t="str">
        <f aca="false">IF(AND(C178="Lost",V178&lt;&gt;"",V178&gt;=S_SemStart,V178&lt;=S_SemEnd),V178+ROW()/100000,"")</f>
        <v/>
      </c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9"/>
      <c r="J179" s="29"/>
      <c r="K179" s="27"/>
      <c r="L179" s="27"/>
      <c r="M179" s="28"/>
      <c r="N179" s="28"/>
      <c r="O179" s="28"/>
      <c r="P179" s="28"/>
      <c r="Q179" s="27"/>
      <c r="R179" s="27"/>
      <c r="S179" s="27"/>
      <c r="T179" s="27"/>
      <c r="U179" s="28"/>
      <c r="V179" s="28"/>
      <c r="W179" s="27"/>
      <c r="X179" s="32" t="str">
        <f aca="false">IF(A179="","",IF(OR(C179="Planned",C179="Contacted",C179="Meeting",C179="Proposal sent",C179="Negotiation"),"Yes","No"))</f>
        <v/>
      </c>
      <c r="Y179" s="32" t="str">
        <f aca="false">IF(A179="","",IF(AND(C179="Won",P179&lt;&gt;"",P179&lt;=S_Today+S_RenewalDays,COUNTIFS($A$3:$A$502,A179,$F$3:$F$502,"Yes",$X$3:$X$502,"Yes")=0),"Renewal due",IF(X179&lt;&gt;"Yes","",IF(OR(L179="",M179=""),"Missing next action",IF(M179&lt;S_Today,"Overdue",IF(AND(C179="Contacted",_xlfn.MAXIFS(Interactions!$A$3:$A$502,Interactions!$B$3:$B$502,A179,Interactions!$F$3:$F$502,"Sent by us")&gt;0,_xlfn.MAXIFS(Interactions!$A$3:$A$502,Interactions!$B$3:$B$502,A179,Interactions!$F$3:$F$502,"Sent by us")&lt;=S_Today-S_NoReplyDays,MAX(_xlfn.MAXIFS(Interactions!$A$3:$A$502,Interactions!$B$3:$B$502,A179,Interactions!$F$3:$F$502,"Received from them"),_xlfn.MAXIFS(Interactions!$A$3:$A$502,Interactions!$B$3:$B$502,A179,Interactions!$F$3:$F$502,"Two-way"))&lt;_xlfn.MAXIFS(Interactions!$A$3:$A$502,Interactions!$B$3:$B$502,A179,Interactions!$F$3:$F$502,"Sent by us")),"No reply",IF(M179&lt;=S_Today+7,"Due this week","")))))))</f>
        <v/>
      </c>
      <c r="Z179" s="34" t="str">
        <f aca="false">IF(OR(A179="",Y179=""),"",IF(Y179="Renewal due",100000,IF(Y179="Overdue",200000,IF(Y179="No reply",300000,IF(Y179="Due this week",400000,500000))))+IF(Y179="Renewal due",P179-40000,IF(Y179="Missing next action",0,M179-40000))+ROW()/100000)</f>
        <v/>
      </c>
      <c r="AA179" s="32" t="str">
        <f aca="false">IF(A179="","",_xlfn.TEXTJOIN(", ",TRUE(),IF(AND(X179="Yes",D179=""),"No owner",IF(AND(D179&lt;&gt;"",COUNTIFS(R_TeamName,D179,R_TeamActive,"No")&gt;0),"Needs new owner","")),IF(AND(OR(C179="Proposal sent",C179="Negotiation"),H179="",I179="",K179=""),"Add package or proposed value",""),IF(AND(C179="Won",OR(P179="",V179="")),"Won needs renewal date and closed on",""),IF(AND(C179="Won",G179="Cash",J179=""),"Add agreed value",""),IF(AND(C179="Lost",OR(S179="",V179="")),"Lost needs reason and closed on",""),IF(AND(C179="Nurture",OR(T179="",U179="")),"Nurture needs reason and date","")))</f>
        <v/>
      </c>
      <c r="AB179" s="34" t="str">
        <f aca="false">IF(AND(C179="Won",V179&lt;&gt;"",V179&gt;=S_SemStart,V179&lt;=S_SemEnd),V179+ROW()/100000,"")</f>
        <v/>
      </c>
      <c r="AC179" s="34" t="str">
        <f aca="false">IF(AND(C179="Lost",V179&lt;&gt;"",V179&gt;=S_SemStart,V179&lt;=S_SemEnd),V179+ROW()/100000,"")</f>
        <v/>
      </c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9"/>
      <c r="J180" s="29"/>
      <c r="K180" s="27"/>
      <c r="L180" s="27"/>
      <c r="M180" s="28"/>
      <c r="N180" s="28"/>
      <c r="O180" s="28"/>
      <c r="P180" s="28"/>
      <c r="Q180" s="27"/>
      <c r="R180" s="27"/>
      <c r="S180" s="27"/>
      <c r="T180" s="27"/>
      <c r="U180" s="28"/>
      <c r="V180" s="28"/>
      <c r="W180" s="27"/>
      <c r="X180" s="32" t="str">
        <f aca="false">IF(A180="","",IF(OR(C180="Planned",C180="Contacted",C180="Meeting",C180="Proposal sent",C180="Negotiation"),"Yes","No"))</f>
        <v/>
      </c>
      <c r="Y180" s="32" t="str">
        <f aca="false">IF(A180="","",IF(AND(C180="Won",P180&lt;&gt;"",P180&lt;=S_Today+S_RenewalDays,COUNTIFS($A$3:$A$502,A180,$F$3:$F$502,"Yes",$X$3:$X$502,"Yes")=0),"Renewal due",IF(X180&lt;&gt;"Yes","",IF(OR(L180="",M180=""),"Missing next action",IF(M180&lt;S_Today,"Overdue",IF(AND(C180="Contacted",_xlfn.MAXIFS(Interactions!$A$3:$A$502,Interactions!$B$3:$B$502,A180,Interactions!$F$3:$F$502,"Sent by us")&gt;0,_xlfn.MAXIFS(Interactions!$A$3:$A$502,Interactions!$B$3:$B$502,A180,Interactions!$F$3:$F$502,"Sent by us")&lt;=S_Today-S_NoReplyDays,MAX(_xlfn.MAXIFS(Interactions!$A$3:$A$502,Interactions!$B$3:$B$502,A180,Interactions!$F$3:$F$502,"Received from them"),_xlfn.MAXIFS(Interactions!$A$3:$A$502,Interactions!$B$3:$B$502,A180,Interactions!$F$3:$F$502,"Two-way"))&lt;_xlfn.MAXIFS(Interactions!$A$3:$A$502,Interactions!$B$3:$B$502,A180,Interactions!$F$3:$F$502,"Sent by us")),"No reply",IF(M180&lt;=S_Today+7,"Due this week","")))))))</f>
        <v/>
      </c>
      <c r="Z180" s="34" t="str">
        <f aca="false">IF(OR(A180="",Y180=""),"",IF(Y180="Renewal due",100000,IF(Y180="Overdue",200000,IF(Y180="No reply",300000,IF(Y180="Due this week",400000,500000))))+IF(Y180="Renewal due",P180-40000,IF(Y180="Missing next action",0,M180-40000))+ROW()/100000)</f>
        <v/>
      </c>
      <c r="AA180" s="32" t="str">
        <f aca="false">IF(A180="","",_xlfn.TEXTJOIN(", ",TRUE(),IF(AND(X180="Yes",D180=""),"No owner",IF(AND(D180&lt;&gt;"",COUNTIFS(R_TeamName,D180,R_TeamActive,"No")&gt;0),"Needs new owner","")),IF(AND(OR(C180="Proposal sent",C180="Negotiation"),H180="",I180="",K180=""),"Add package or proposed value",""),IF(AND(C180="Won",OR(P180="",V180="")),"Won needs renewal date and closed on",""),IF(AND(C180="Won",G180="Cash",J180=""),"Add agreed value",""),IF(AND(C180="Lost",OR(S180="",V180="")),"Lost needs reason and closed on",""),IF(AND(C180="Nurture",OR(T180="",U180="")),"Nurture needs reason and date","")))</f>
        <v/>
      </c>
      <c r="AB180" s="34" t="str">
        <f aca="false">IF(AND(C180="Won",V180&lt;&gt;"",V180&gt;=S_SemStart,V180&lt;=S_SemEnd),V180+ROW()/100000,"")</f>
        <v/>
      </c>
      <c r="AC180" s="34" t="str">
        <f aca="false">IF(AND(C180="Lost",V180&lt;&gt;"",V180&gt;=S_SemStart,V180&lt;=S_SemEnd),V180+ROW()/100000,"")</f>
        <v/>
      </c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9"/>
      <c r="J181" s="29"/>
      <c r="K181" s="27"/>
      <c r="L181" s="27"/>
      <c r="M181" s="28"/>
      <c r="N181" s="28"/>
      <c r="O181" s="28"/>
      <c r="P181" s="28"/>
      <c r="Q181" s="27"/>
      <c r="R181" s="27"/>
      <c r="S181" s="27"/>
      <c r="T181" s="27"/>
      <c r="U181" s="28"/>
      <c r="V181" s="28"/>
      <c r="W181" s="27"/>
      <c r="X181" s="32" t="str">
        <f aca="false">IF(A181="","",IF(OR(C181="Planned",C181="Contacted",C181="Meeting",C181="Proposal sent",C181="Negotiation"),"Yes","No"))</f>
        <v/>
      </c>
      <c r="Y181" s="32" t="str">
        <f aca="false">IF(A181="","",IF(AND(C181="Won",P181&lt;&gt;"",P181&lt;=S_Today+S_RenewalDays,COUNTIFS($A$3:$A$502,A181,$F$3:$F$502,"Yes",$X$3:$X$502,"Yes")=0),"Renewal due",IF(X181&lt;&gt;"Yes","",IF(OR(L181="",M181=""),"Missing next action",IF(M181&lt;S_Today,"Overdue",IF(AND(C181="Contacted",_xlfn.MAXIFS(Interactions!$A$3:$A$502,Interactions!$B$3:$B$502,A181,Interactions!$F$3:$F$502,"Sent by us")&gt;0,_xlfn.MAXIFS(Interactions!$A$3:$A$502,Interactions!$B$3:$B$502,A181,Interactions!$F$3:$F$502,"Sent by us")&lt;=S_Today-S_NoReplyDays,MAX(_xlfn.MAXIFS(Interactions!$A$3:$A$502,Interactions!$B$3:$B$502,A181,Interactions!$F$3:$F$502,"Received from them"),_xlfn.MAXIFS(Interactions!$A$3:$A$502,Interactions!$B$3:$B$502,A181,Interactions!$F$3:$F$502,"Two-way"))&lt;_xlfn.MAXIFS(Interactions!$A$3:$A$502,Interactions!$B$3:$B$502,A181,Interactions!$F$3:$F$502,"Sent by us")),"No reply",IF(M181&lt;=S_Today+7,"Due this week","")))))))</f>
        <v/>
      </c>
      <c r="Z181" s="34" t="str">
        <f aca="false">IF(OR(A181="",Y181=""),"",IF(Y181="Renewal due",100000,IF(Y181="Overdue",200000,IF(Y181="No reply",300000,IF(Y181="Due this week",400000,500000))))+IF(Y181="Renewal due",P181-40000,IF(Y181="Missing next action",0,M181-40000))+ROW()/100000)</f>
        <v/>
      </c>
      <c r="AA181" s="32" t="str">
        <f aca="false">IF(A181="","",_xlfn.TEXTJOIN(", ",TRUE(),IF(AND(X181="Yes",D181=""),"No owner",IF(AND(D181&lt;&gt;"",COUNTIFS(R_TeamName,D181,R_TeamActive,"No")&gt;0),"Needs new owner","")),IF(AND(OR(C181="Proposal sent",C181="Negotiation"),H181="",I181="",K181=""),"Add package or proposed value",""),IF(AND(C181="Won",OR(P181="",V181="")),"Won needs renewal date and closed on",""),IF(AND(C181="Won",G181="Cash",J181=""),"Add agreed value",""),IF(AND(C181="Lost",OR(S181="",V181="")),"Lost needs reason and closed on",""),IF(AND(C181="Nurture",OR(T181="",U181="")),"Nurture needs reason and date","")))</f>
        <v/>
      </c>
      <c r="AB181" s="34" t="str">
        <f aca="false">IF(AND(C181="Won",V181&lt;&gt;"",V181&gt;=S_SemStart,V181&lt;=S_SemEnd),V181+ROW()/100000,"")</f>
        <v/>
      </c>
      <c r="AC181" s="34" t="str">
        <f aca="false">IF(AND(C181="Lost",V181&lt;&gt;"",V181&gt;=S_SemStart,V181&lt;=S_SemEnd),V181+ROW()/100000,"")</f>
        <v/>
      </c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9"/>
      <c r="J182" s="29"/>
      <c r="K182" s="27"/>
      <c r="L182" s="27"/>
      <c r="M182" s="28"/>
      <c r="N182" s="28"/>
      <c r="O182" s="28"/>
      <c r="P182" s="28"/>
      <c r="Q182" s="27"/>
      <c r="R182" s="27"/>
      <c r="S182" s="27"/>
      <c r="T182" s="27"/>
      <c r="U182" s="28"/>
      <c r="V182" s="28"/>
      <c r="W182" s="27"/>
      <c r="X182" s="32" t="str">
        <f aca="false">IF(A182="","",IF(OR(C182="Planned",C182="Contacted",C182="Meeting",C182="Proposal sent",C182="Negotiation"),"Yes","No"))</f>
        <v/>
      </c>
      <c r="Y182" s="32" t="str">
        <f aca="false">IF(A182="","",IF(AND(C182="Won",P182&lt;&gt;"",P182&lt;=S_Today+S_RenewalDays,COUNTIFS($A$3:$A$502,A182,$F$3:$F$502,"Yes",$X$3:$X$502,"Yes")=0),"Renewal due",IF(X182&lt;&gt;"Yes","",IF(OR(L182="",M182=""),"Missing next action",IF(M182&lt;S_Today,"Overdue",IF(AND(C182="Contacted",_xlfn.MAXIFS(Interactions!$A$3:$A$502,Interactions!$B$3:$B$502,A182,Interactions!$F$3:$F$502,"Sent by us")&gt;0,_xlfn.MAXIFS(Interactions!$A$3:$A$502,Interactions!$B$3:$B$502,A182,Interactions!$F$3:$F$502,"Sent by us")&lt;=S_Today-S_NoReplyDays,MAX(_xlfn.MAXIFS(Interactions!$A$3:$A$502,Interactions!$B$3:$B$502,A182,Interactions!$F$3:$F$502,"Received from them"),_xlfn.MAXIFS(Interactions!$A$3:$A$502,Interactions!$B$3:$B$502,A182,Interactions!$F$3:$F$502,"Two-way"))&lt;_xlfn.MAXIFS(Interactions!$A$3:$A$502,Interactions!$B$3:$B$502,A182,Interactions!$F$3:$F$502,"Sent by us")),"No reply",IF(M182&lt;=S_Today+7,"Due this week","")))))))</f>
        <v/>
      </c>
      <c r="Z182" s="34" t="str">
        <f aca="false">IF(OR(A182="",Y182=""),"",IF(Y182="Renewal due",100000,IF(Y182="Overdue",200000,IF(Y182="No reply",300000,IF(Y182="Due this week",400000,500000))))+IF(Y182="Renewal due",P182-40000,IF(Y182="Missing next action",0,M182-40000))+ROW()/100000)</f>
        <v/>
      </c>
      <c r="AA182" s="32" t="str">
        <f aca="false">IF(A182="","",_xlfn.TEXTJOIN(", ",TRUE(),IF(AND(X182="Yes",D182=""),"No owner",IF(AND(D182&lt;&gt;"",COUNTIFS(R_TeamName,D182,R_TeamActive,"No")&gt;0),"Needs new owner","")),IF(AND(OR(C182="Proposal sent",C182="Negotiation"),H182="",I182="",K182=""),"Add package or proposed value",""),IF(AND(C182="Won",OR(P182="",V182="")),"Won needs renewal date and closed on",""),IF(AND(C182="Won",G182="Cash",J182=""),"Add agreed value",""),IF(AND(C182="Lost",OR(S182="",V182="")),"Lost needs reason and closed on",""),IF(AND(C182="Nurture",OR(T182="",U182="")),"Nurture needs reason and date","")))</f>
        <v/>
      </c>
      <c r="AB182" s="34" t="str">
        <f aca="false">IF(AND(C182="Won",V182&lt;&gt;"",V182&gt;=S_SemStart,V182&lt;=S_SemEnd),V182+ROW()/100000,"")</f>
        <v/>
      </c>
      <c r="AC182" s="34" t="str">
        <f aca="false">IF(AND(C182="Lost",V182&lt;&gt;"",V182&gt;=S_SemStart,V182&lt;=S_SemEnd),V182+ROW()/100000,"")</f>
        <v/>
      </c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9"/>
      <c r="J183" s="29"/>
      <c r="K183" s="27"/>
      <c r="L183" s="27"/>
      <c r="M183" s="28"/>
      <c r="N183" s="28"/>
      <c r="O183" s="28"/>
      <c r="P183" s="28"/>
      <c r="Q183" s="27"/>
      <c r="R183" s="27"/>
      <c r="S183" s="27"/>
      <c r="T183" s="27"/>
      <c r="U183" s="28"/>
      <c r="V183" s="28"/>
      <c r="W183" s="27"/>
      <c r="X183" s="32" t="str">
        <f aca="false">IF(A183="","",IF(OR(C183="Planned",C183="Contacted",C183="Meeting",C183="Proposal sent",C183="Negotiation"),"Yes","No"))</f>
        <v/>
      </c>
      <c r="Y183" s="32" t="str">
        <f aca="false">IF(A183="","",IF(AND(C183="Won",P183&lt;&gt;"",P183&lt;=S_Today+S_RenewalDays,COUNTIFS($A$3:$A$502,A183,$F$3:$F$502,"Yes",$X$3:$X$502,"Yes")=0),"Renewal due",IF(X183&lt;&gt;"Yes","",IF(OR(L183="",M183=""),"Missing next action",IF(M183&lt;S_Today,"Overdue",IF(AND(C183="Contacted",_xlfn.MAXIFS(Interactions!$A$3:$A$502,Interactions!$B$3:$B$502,A183,Interactions!$F$3:$F$502,"Sent by us")&gt;0,_xlfn.MAXIFS(Interactions!$A$3:$A$502,Interactions!$B$3:$B$502,A183,Interactions!$F$3:$F$502,"Sent by us")&lt;=S_Today-S_NoReplyDays,MAX(_xlfn.MAXIFS(Interactions!$A$3:$A$502,Interactions!$B$3:$B$502,A183,Interactions!$F$3:$F$502,"Received from them"),_xlfn.MAXIFS(Interactions!$A$3:$A$502,Interactions!$B$3:$B$502,A183,Interactions!$F$3:$F$502,"Two-way"))&lt;_xlfn.MAXIFS(Interactions!$A$3:$A$502,Interactions!$B$3:$B$502,A183,Interactions!$F$3:$F$502,"Sent by us")),"No reply",IF(M183&lt;=S_Today+7,"Due this week","")))))))</f>
        <v/>
      </c>
      <c r="Z183" s="34" t="str">
        <f aca="false">IF(OR(A183="",Y183=""),"",IF(Y183="Renewal due",100000,IF(Y183="Overdue",200000,IF(Y183="No reply",300000,IF(Y183="Due this week",400000,500000))))+IF(Y183="Renewal due",P183-40000,IF(Y183="Missing next action",0,M183-40000))+ROW()/100000)</f>
        <v/>
      </c>
      <c r="AA183" s="32" t="str">
        <f aca="false">IF(A183="","",_xlfn.TEXTJOIN(", ",TRUE(),IF(AND(X183="Yes",D183=""),"No owner",IF(AND(D183&lt;&gt;"",COUNTIFS(R_TeamName,D183,R_TeamActive,"No")&gt;0),"Needs new owner","")),IF(AND(OR(C183="Proposal sent",C183="Negotiation"),H183="",I183="",K183=""),"Add package or proposed value",""),IF(AND(C183="Won",OR(P183="",V183="")),"Won needs renewal date and closed on",""),IF(AND(C183="Won",G183="Cash",J183=""),"Add agreed value",""),IF(AND(C183="Lost",OR(S183="",V183="")),"Lost needs reason and closed on",""),IF(AND(C183="Nurture",OR(T183="",U183="")),"Nurture needs reason and date","")))</f>
        <v/>
      </c>
      <c r="AB183" s="34" t="str">
        <f aca="false">IF(AND(C183="Won",V183&lt;&gt;"",V183&gt;=S_SemStart,V183&lt;=S_SemEnd),V183+ROW()/100000,"")</f>
        <v/>
      </c>
      <c r="AC183" s="34" t="str">
        <f aca="false">IF(AND(C183="Lost",V183&lt;&gt;"",V183&gt;=S_SemStart,V183&lt;=S_SemEnd),V183+ROW()/100000,"")</f>
        <v/>
      </c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9"/>
      <c r="J184" s="29"/>
      <c r="K184" s="27"/>
      <c r="L184" s="27"/>
      <c r="M184" s="28"/>
      <c r="N184" s="28"/>
      <c r="O184" s="28"/>
      <c r="P184" s="28"/>
      <c r="Q184" s="27"/>
      <c r="R184" s="27"/>
      <c r="S184" s="27"/>
      <c r="T184" s="27"/>
      <c r="U184" s="28"/>
      <c r="V184" s="28"/>
      <c r="W184" s="27"/>
      <c r="X184" s="32" t="str">
        <f aca="false">IF(A184="","",IF(OR(C184="Planned",C184="Contacted",C184="Meeting",C184="Proposal sent",C184="Negotiation"),"Yes","No"))</f>
        <v/>
      </c>
      <c r="Y184" s="32" t="str">
        <f aca="false">IF(A184="","",IF(AND(C184="Won",P184&lt;&gt;"",P184&lt;=S_Today+S_RenewalDays,COUNTIFS($A$3:$A$502,A184,$F$3:$F$502,"Yes",$X$3:$X$502,"Yes")=0),"Renewal due",IF(X184&lt;&gt;"Yes","",IF(OR(L184="",M184=""),"Missing next action",IF(M184&lt;S_Today,"Overdue",IF(AND(C184="Contacted",_xlfn.MAXIFS(Interactions!$A$3:$A$502,Interactions!$B$3:$B$502,A184,Interactions!$F$3:$F$502,"Sent by us")&gt;0,_xlfn.MAXIFS(Interactions!$A$3:$A$502,Interactions!$B$3:$B$502,A184,Interactions!$F$3:$F$502,"Sent by us")&lt;=S_Today-S_NoReplyDays,MAX(_xlfn.MAXIFS(Interactions!$A$3:$A$502,Interactions!$B$3:$B$502,A184,Interactions!$F$3:$F$502,"Received from them"),_xlfn.MAXIFS(Interactions!$A$3:$A$502,Interactions!$B$3:$B$502,A184,Interactions!$F$3:$F$502,"Two-way"))&lt;_xlfn.MAXIFS(Interactions!$A$3:$A$502,Interactions!$B$3:$B$502,A184,Interactions!$F$3:$F$502,"Sent by us")),"No reply",IF(M184&lt;=S_Today+7,"Due this week","")))))))</f>
        <v/>
      </c>
      <c r="Z184" s="34" t="str">
        <f aca="false">IF(OR(A184="",Y184=""),"",IF(Y184="Renewal due",100000,IF(Y184="Overdue",200000,IF(Y184="No reply",300000,IF(Y184="Due this week",400000,500000))))+IF(Y184="Renewal due",P184-40000,IF(Y184="Missing next action",0,M184-40000))+ROW()/100000)</f>
        <v/>
      </c>
      <c r="AA184" s="32" t="str">
        <f aca="false">IF(A184="","",_xlfn.TEXTJOIN(", ",TRUE(),IF(AND(X184="Yes",D184=""),"No owner",IF(AND(D184&lt;&gt;"",COUNTIFS(R_TeamName,D184,R_TeamActive,"No")&gt;0),"Needs new owner","")),IF(AND(OR(C184="Proposal sent",C184="Negotiation"),H184="",I184="",K184=""),"Add package or proposed value",""),IF(AND(C184="Won",OR(P184="",V184="")),"Won needs renewal date and closed on",""),IF(AND(C184="Won",G184="Cash",J184=""),"Add agreed value",""),IF(AND(C184="Lost",OR(S184="",V184="")),"Lost needs reason and closed on",""),IF(AND(C184="Nurture",OR(T184="",U184="")),"Nurture needs reason and date","")))</f>
        <v/>
      </c>
      <c r="AB184" s="34" t="str">
        <f aca="false">IF(AND(C184="Won",V184&lt;&gt;"",V184&gt;=S_SemStart,V184&lt;=S_SemEnd),V184+ROW()/100000,"")</f>
        <v/>
      </c>
      <c r="AC184" s="34" t="str">
        <f aca="false">IF(AND(C184="Lost",V184&lt;&gt;"",V184&gt;=S_SemStart,V184&lt;=S_SemEnd),V184+ROW()/100000,"")</f>
        <v/>
      </c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9"/>
      <c r="J185" s="29"/>
      <c r="K185" s="27"/>
      <c r="L185" s="27"/>
      <c r="M185" s="28"/>
      <c r="N185" s="28"/>
      <c r="O185" s="28"/>
      <c r="P185" s="28"/>
      <c r="Q185" s="27"/>
      <c r="R185" s="27"/>
      <c r="S185" s="27"/>
      <c r="T185" s="27"/>
      <c r="U185" s="28"/>
      <c r="V185" s="28"/>
      <c r="W185" s="27"/>
      <c r="X185" s="32" t="str">
        <f aca="false">IF(A185="","",IF(OR(C185="Planned",C185="Contacted",C185="Meeting",C185="Proposal sent",C185="Negotiation"),"Yes","No"))</f>
        <v/>
      </c>
      <c r="Y185" s="32" t="str">
        <f aca="false">IF(A185="","",IF(AND(C185="Won",P185&lt;&gt;"",P185&lt;=S_Today+S_RenewalDays,COUNTIFS($A$3:$A$502,A185,$F$3:$F$502,"Yes",$X$3:$X$502,"Yes")=0),"Renewal due",IF(X185&lt;&gt;"Yes","",IF(OR(L185="",M185=""),"Missing next action",IF(M185&lt;S_Today,"Overdue",IF(AND(C185="Contacted",_xlfn.MAXIFS(Interactions!$A$3:$A$502,Interactions!$B$3:$B$502,A185,Interactions!$F$3:$F$502,"Sent by us")&gt;0,_xlfn.MAXIFS(Interactions!$A$3:$A$502,Interactions!$B$3:$B$502,A185,Interactions!$F$3:$F$502,"Sent by us")&lt;=S_Today-S_NoReplyDays,MAX(_xlfn.MAXIFS(Interactions!$A$3:$A$502,Interactions!$B$3:$B$502,A185,Interactions!$F$3:$F$502,"Received from them"),_xlfn.MAXIFS(Interactions!$A$3:$A$502,Interactions!$B$3:$B$502,A185,Interactions!$F$3:$F$502,"Two-way"))&lt;_xlfn.MAXIFS(Interactions!$A$3:$A$502,Interactions!$B$3:$B$502,A185,Interactions!$F$3:$F$502,"Sent by us")),"No reply",IF(M185&lt;=S_Today+7,"Due this week","")))))))</f>
        <v/>
      </c>
      <c r="Z185" s="34" t="str">
        <f aca="false">IF(OR(A185="",Y185=""),"",IF(Y185="Renewal due",100000,IF(Y185="Overdue",200000,IF(Y185="No reply",300000,IF(Y185="Due this week",400000,500000))))+IF(Y185="Renewal due",P185-40000,IF(Y185="Missing next action",0,M185-40000))+ROW()/100000)</f>
        <v/>
      </c>
      <c r="AA185" s="32" t="str">
        <f aca="false">IF(A185="","",_xlfn.TEXTJOIN(", ",TRUE(),IF(AND(X185="Yes",D185=""),"No owner",IF(AND(D185&lt;&gt;"",COUNTIFS(R_TeamName,D185,R_TeamActive,"No")&gt;0),"Needs new owner","")),IF(AND(OR(C185="Proposal sent",C185="Negotiation"),H185="",I185="",K185=""),"Add package or proposed value",""),IF(AND(C185="Won",OR(P185="",V185="")),"Won needs renewal date and closed on",""),IF(AND(C185="Won",G185="Cash",J185=""),"Add agreed value",""),IF(AND(C185="Lost",OR(S185="",V185="")),"Lost needs reason and closed on",""),IF(AND(C185="Nurture",OR(T185="",U185="")),"Nurture needs reason and date","")))</f>
        <v/>
      </c>
      <c r="AB185" s="34" t="str">
        <f aca="false">IF(AND(C185="Won",V185&lt;&gt;"",V185&gt;=S_SemStart,V185&lt;=S_SemEnd),V185+ROW()/100000,"")</f>
        <v/>
      </c>
      <c r="AC185" s="34" t="str">
        <f aca="false">IF(AND(C185="Lost",V185&lt;&gt;"",V185&gt;=S_SemStart,V185&lt;=S_SemEnd),V185+ROW()/100000,"")</f>
        <v/>
      </c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9"/>
      <c r="J186" s="29"/>
      <c r="K186" s="27"/>
      <c r="L186" s="27"/>
      <c r="M186" s="28"/>
      <c r="N186" s="28"/>
      <c r="O186" s="28"/>
      <c r="P186" s="28"/>
      <c r="Q186" s="27"/>
      <c r="R186" s="27"/>
      <c r="S186" s="27"/>
      <c r="T186" s="27"/>
      <c r="U186" s="28"/>
      <c r="V186" s="28"/>
      <c r="W186" s="27"/>
      <c r="X186" s="32" t="str">
        <f aca="false">IF(A186="","",IF(OR(C186="Planned",C186="Contacted",C186="Meeting",C186="Proposal sent",C186="Negotiation"),"Yes","No"))</f>
        <v/>
      </c>
      <c r="Y186" s="32" t="str">
        <f aca="false">IF(A186="","",IF(AND(C186="Won",P186&lt;&gt;"",P186&lt;=S_Today+S_RenewalDays,COUNTIFS($A$3:$A$502,A186,$F$3:$F$502,"Yes",$X$3:$X$502,"Yes")=0),"Renewal due",IF(X186&lt;&gt;"Yes","",IF(OR(L186="",M186=""),"Missing next action",IF(M186&lt;S_Today,"Overdue",IF(AND(C186="Contacted",_xlfn.MAXIFS(Interactions!$A$3:$A$502,Interactions!$B$3:$B$502,A186,Interactions!$F$3:$F$502,"Sent by us")&gt;0,_xlfn.MAXIFS(Interactions!$A$3:$A$502,Interactions!$B$3:$B$502,A186,Interactions!$F$3:$F$502,"Sent by us")&lt;=S_Today-S_NoReplyDays,MAX(_xlfn.MAXIFS(Interactions!$A$3:$A$502,Interactions!$B$3:$B$502,A186,Interactions!$F$3:$F$502,"Received from them"),_xlfn.MAXIFS(Interactions!$A$3:$A$502,Interactions!$B$3:$B$502,A186,Interactions!$F$3:$F$502,"Two-way"))&lt;_xlfn.MAXIFS(Interactions!$A$3:$A$502,Interactions!$B$3:$B$502,A186,Interactions!$F$3:$F$502,"Sent by us")),"No reply",IF(M186&lt;=S_Today+7,"Due this week","")))))))</f>
        <v/>
      </c>
      <c r="Z186" s="34" t="str">
        <f aca="false">IF(OR(A186="",Y186=""),"",IF(Y186="Renewal due",100000,IF(Y186="Overdue",200000,IF(Y186="No reply",300000,IF(Y186="Due this week",400000,500000))))+IF(Y186="Renewal due",P186-40000,IF(Y186="Missing next action",0,M186-40000))+ROW()/100000)</f>
        <v/>
      </c>
      <c r="AA186" s="32" t="str">
        <f aca="false">IF(A186="","",_xlfn.TEXTJOIN(", ",TRUE(),IF(AND(X186="Yes",D186=""),"No owner",IF(AND(D186&lt;&gt;"",COUNTIFS(R_TeamName,D186,R_TeamActive,"No")&gt;0),"Needs new owner","")),IF(AND(OR(C186="Proposal sent",C186="Negotiation"),H186="",I186="",K186=""),"Add package or proposed value",""),IF(AND(C186="Won",OR(P186="",V186="")),"Won needs renewal date and closed on",""),IF(AND(C186="Won",G186="Cash",J186=""),"Add agreed value",""),IF(AND(C186="Lost",OR(S186="",V186="")),"Lost needs reason and closed on",""),IF(AND(C186="Nurture",OR(T186="",U186="")),"Nurture needs reason and date","")))</f>
        <v/>
      </c>
      <c r="AB186" s="34" t="str">
        <f aca="false">IF(AND(C186="Won",V186&lt;&gt;"",V186&gt;=S_SemStart,V186&lt;=S_SemEnd),V186+ROW()/100000,"")</f>
        <v/>
      </c>
      <c r="AC186" s="34" t="str">
        <f aca="false">IF(AND(C186="Lost",V186&lt;&gt;"",V186&gt;=S_SemStart,V186&lt;=S_SemEnd),V186+ROW()/100000,"")</f>
        <v/>
      </c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9"/>
      <c r="J187" s="29"/>
      <c r="K187" s="27"/>
      <c r="L187" s="27"/>
      <c r="M187" s="28"/>
      <c r="N187" s="28"/>
      <c r="O187" s="28"/>
      <c r="P187" s="28"/>
      <c r="Q187" s="27"/>
      <c r="R187" s="27"/>
      <c r="S187" s="27"/>
      <c r="T187" s="27"/>
      <c r="U187" s="28"/>
      <c r="V187" s="28"/>
      <c r="W187" s="27"/>
      <c r="X187" s="32" t="str">
        <f aca="false">IF(A187="","",IF(OR(C187="Planned",C187="Contacted",C187="Meeting",C187="Proposal sent",C187="Negotiation"),"Yes","No"))</f>
        <v/>
      </c>
      <c r="Y187" s="32" t="str">
        <f aca="false">IF(A187="","",IF(AND(C187="Won",P187&lt;&gt;"",P187&lt;=S_Today+S_RenewalDays,COUNTIFS($A$3:$A$502,A187,$F$3:$F$502,"Yes",$X$3:$X$502,"Yes")=0),"Renewal due",IF(X187&lt;&gt;"Yes","",IF(OR(L187="",M187=""),"Missing next action",IF(M187&lt;S_Today,"Overdue",IF(AND(C187="Contacted",_xlfn.MAXIFS(Interactions!$A$3:$A$502,Interactions!$B$3:$B$502,A187,Interactions!$F$3:$F$502,"Sent by us")&gt;0,_xlfn.MAXIFS(Interactions!$A$3:$A$502,Interactions!$B$3:$B$502,A187,Interactions!$F$3:$F$502,"Sent by us")&lt;=S_Today-S_NoReplyDays,MAX(_xlfn.MAXIFS(Interactions!$A$3:$A$502,Interactions!$B$3:$B$502,A187,Interactions!$F$3:$F$502,"Received from them"),_xlfn.MAXIFS(Interactions!$A$3:$A$502,Interactions!$B$3:$B$502,A187,Interactions!$F$3:$F$502,"Two-way"))&lt;_xlfn.MAXIFS(Interactions!$A$3:$A$502,Interactions!$B$3:$B$502,A187,Interactions!$F$3:$F$502,"Sent by us")),"No reply",IF(M187&lt;=S_Today+7,"Due this week","")))))))</f>
        <v/>
      </c>
      <c r="Z187" s="34" t="str">
        <f aca="false">IF(OR(A187="",Y187=""),"",IF(Y187="Renewal due",100000,IF(Y187="Overdue",200000,IF(Y187="No reply",300000,IF(Y187="Due this week",400000,500000))))+IF(Y187="Renewal due",P187-40000,IF(Y187="Missing next action",0,M187-40000))+ROW()/100000)</f>
        <v/>
      </c>
      <c r="AA187" s="32" t="str">
        <f aca="false">IF(A187="","",_xlfn.TEXTJOIN(", ",TRUE(),IF(AND(X187="Yes",D187=""),"No owner",IF(AND(D187&lt;&gt;"",COUNTIFS(R_TeamName,D187,R_TeamActive,"No")&gt;0),"Needs new owner","")),IF(AND(OR(C187="Proposal sent",C187="Negotiation"),H187="",I187="",K187=""),"Add package or proposed value",""),IF(AND(C187="Won",OR(P187="",V187="")),"Won needs renewal date and closed on",""),IF(AND(C187="Won",G187="Cash",J187=""),"Add agreed value",""),IF(AND(C187="Lost",OR(S187="",V187="")),"Lost needs reason and closed on",""),IF(AND(C187="Nurture",OR(T187="",U187="")),"Nurture needs reason and date","")))</f>
        <v/>
      </c>
      <c r="AB187" s="34" t="str">
        <f aca="false">IF(AND(C187="Won",V187&lt;&gt;"",V187&gt;=S_SemStart,V187&lt;=S_SemEnd),V187+ROW()/100000,"")</f>
        <v/>
      </c>
      <c r="AC187" s="34" t="str">
        <f aca="false">IF(AND(C187="Lost",V187&lt;&gt;"",V187&gt;=S_SemStart,V187&lt;=S_SemEnd),V187+ROW()/100000,"")</f>
        <v/>
      </c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9"/>
      <c r="J188" s="29"/>
      <c r="K188" s="27"/>
      <c r="L188" s="27"/>
      <c r="M188" s="28"/>
      <c r="N188" s="28"/>
      <c r="O188" s="28"/>
      <c r="P188" s="28"/>
      <c r="Q188" s="27"/>
      <c r="R188" s="27"/>
      <c r="S188" s="27"/>
      <c r="T188" s="27"/>
      <c r="U188" s="28"/>
      <c r="V188" s="28"/>
      <c r="W188" s="27"/>
      <c r="X188" s="32" t="str">
        <f aca="false">IF(A188="","",IF(OR(C188="Planned",C188="Contacted",C188="Meeting",C188="Proposal sent",C188="Negotiation"),"Yes","No"))</f>
        <v/>
      </c>
      <c r="Y188" s="32" t="str">
        <f aca="false">IF(A188="","",IF(AND(C188="Won",P188&lt;&gt;"",P188&lt;=S_Today+S_RenewalDays,COUNTIFS($A$3:$A$502,A188,$F$3:$F$502,"Yes",$X$3:$X$502,"Yes")=0),"Renewal due",IF(X188&lt;&gt;"Yes","",IF(OR(L188="",M188=""),"Missing next action",IF(M188&lt;S_Today,"Overdue",IF(AND(C188="Contacted",_xlfn.MAXIFS(Interactions!$A$3:$A$502,Interactions!$B$3:$B$502,A188,Interactions!$F$3:$F$502,"Sent by us")&gt;0,_xlfn.MAXIFS(Interactions!$A$3:$A$502,Interactions!$B$3:$B$502,A188,Interactions!$F$3:$F$502,"Sent by us")&lt;=S_Today-S_NoReplyDays,MAX(_xlfn.MAXIFS(Interactions!$A$3:$A$502,Interactions!$B$3:$B$502,A188,Interactions!$F$3:$F$502,"Received from them"),_xlfn.MAXIFS(Interactions!$A$3:$A$502,Interactions!$B$3:$B$502,A188,Interactions!$F$3:$F$502,"Two-way"))&lt;_xlfn.MAXIFS(Interactions!$A$3:$A$502,Interactions!$B$3:$B$502,A188,Interactions!$F$3:$F$502,"Sent by us")),"No reply",IF(M188&lt;=S_Today+7,"Due this week","")))))))</f>
        <v/>
      </c>
      <c r="Z188" s="34" t="str">
        <f aca="false">IF(OR(A188="",Y188=""),"",IF(Y188="Renewal due",100000,IF(Y188="Overdue",200000,IF(Y188="No reply",300000,IF(Y188="Due this week",400000,500000))))+IF(Y188="Renewal due",P188-40000,IF(Y188="Missing next action",0,M188-40000))+ROW()/100000)</f>
        <v/>
      </c>
      <c r="AA188" s="32" t="str">
        <f aca="false">IF(A188="","",_xlfn.TEXTJOIN(", ",TRUE(),IF(AND(X188="Yes",D188=""),"No owner",IF(AND(D188&lt;&gt;"",COUNTIFS(R_TeamName,D188,R_TeamActive,"No")&gt;0),"Needs new owner","")),IF(AND(OR(C188="Proposal sent",C188="Negotiation"),H188="",I188="",K188=""),"Add package or proposed value",""),IF(AND(C188="Won",OR(P188="",V188="")),"Won needs renewal date and closed on",""),IF(AND(C188="Won",G188="Cash",J188=""),"Add agreed value",""),IF(AND(C188="Lost",OR(S188="",V188="")),"Lost needs reason and closed on",""),IF(AND(C188="Nurture",OR(T188="",U188="")),"Nurture needs reason and date","")))</f>
        <v/>
      </c>
      <c r="AB188" s="34" t="str">
        <f aca="false">IF(AND(C188="Won",V188&lt;&gt;"",V188&gt;=S_SemStart,V188&lt;=S_SemEnd),V188+ROW()/100000,"")</f>
        <v/>
      </c>
      <c r="AC188" s="34" t="str">
        <f aca="false">IF(AND(C188="Lost",V188&lt;&gt;"",V188&gt;=S_SemStart,V188&lt;=S_SemEnd),V188+ROW()/100000,"")</f>
        <v/>
      </c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9"/>
      <c r="J189" s="29"/>
      <c r="K189" s="27"/>
      <c r="L189" s="27"/>
      <c r="M189" s="28"/>
      <c r="N189" s="28"/>
      <c r="O189" s="28"/>
      <c r="P189" s="28"/>
      <c r="Q189" s="27"/>
      <c r="R189" s="27"/>
      <c r="S189" s="27"/>
      <c r="T189" s="27"/>
      <c r="U189" s="28"/>
      <c r="V189" s="28"/>
      <c r="W189" s="27"/>
      <c r="X189" s="32" t="str">
        <f aca="false">IF(A189="","",IF(OR(C189="Planned",C189="Contacted",C189="Meeting",C189="Proposal sent",C189="Negotiation"),"Yes","No"))</f>
        <v/>
      </c>
      <c r="Y189" s="32" t="str">
        <f aca="false">IF(A189="","",IF(AND(C189="Won",P189&lt;&gt;"",P189&lt;=S_Today+S_RenewalDays,COUNTIFS($A$3:$A$502,A189,$F$3:$F$502,"Yes",$X$3:$X$502,"Yes")=0),"Renewal due",IF(X189&lt;&gt;"Yes","",IF(OR(L189="",M189=""),"Missing next action",IF(M189&lt;S_Today,"Overdue",IF(AND(C189="Contacted",_xlfn.MAXIFS(Interactions!$A$3:$A$502,Interactions!$B$3:$B$502,A189,Interactions!$F$3:$F$502,"Sent by us")&gt;0,_xlfn.MAXIFS(Interactions!$A$3:$A$502,Interactions!$B$3:$B$502,A189,Interactions!$F$3:$F$502,"Sent by us")&lt;=S_Today-S_NoReplyDays,MAX(_xlfn.MAXIFS(Interactions!$A$3:$A$502,Interactions!$B$3:$B$502,A189,Interactions!$F$3:$F$502,"Received from them"),_xlfn.MAXIFS(Interactions!$A$3:$A$502,Interactions!$B$3:$B$502,A189,Interactions!$F$3:$F$502,"Two-way"))&lt;_xlfn.MAXIFS(Interactions!$A$3:$A$502,Interactions!$B$3:$B$502,A189,Interactions!$F$3:$F$502,"Sent by us")),"No reply",IF(M189&lt;=S_Today+7,"Due this week","")))))))</f>
        <v/>
      </c>
      <c r="Z189" s="34" t="str">
        <f aca="false">IF(OR(A189="",Y189=""),"",IF(Y189="Renewal due",100000,IF(Y189="Overdue",200000,IF(Y189="No reply",300000,IF(Y189="Due this week",400000,500000))))+IF(Y189="Renewal due",P189-40000,IF(Y189="Missing next action",0,M189-40000))+ROW()/100000)</f>
        <v/>
      </c>
      <c r="AA189" s="32" t="str">
        <f aca="false">IF(A189="","",_xlfn.TEXTJOIN(", ",TRUE(),IF(AND(X189="Yes",D189=""),"No owner",IF(AND(D189&lt;&gt;"",COUNTIFS(R_TeamName,D189,R_TeamActive,"No")&gt;0),"Needs new owner","")),IF(AND(OR(C189="Proposal sent",C189="Negotiation"),H189="",I189="",K189=""),"Add package or proposed value",""),IF(AND(C189="Won",OR(P189="",V189="")),"Won needs renewal date and closed on",""),IF(AND(C189="Won",G189="Cash",J189=""),"Add agreed value",""),IF(AND(C189="Lost",OR(S189="",V189="")),"Lost needs reason and closed on",""),IF(AND(C189="Nurture",OR(T189="",U189="")),"Nurture needs reason and date","")))</f>
        <v/>
      </c>
      <c r="AB189" s="34" t="str">
        <f aca="false">IF(AND(C189="Won",V189&lt;&gt;"",V189&gt;=S_SemStart,V189&lt;=S_SemEnd),V189+ROW()/100000,"")</f>
        <v/>
      </c>
      <c r="AC189" s="34" t="str">
        <f aca="false">IF(AND(C189="Lost",V189&lt;&gt;"",V189&gt;=S_SemStart,V189&lt;=S_SemEnd),V189+ROW()/100000,"")</f>
        <v/>
      </c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9"/>
      <c r="J190" s="29"/>
      <c r="K190" s="27"/>
      <c r="L190" s="27"/>
      <c r="M190" s="28"/>
      <c r="N190" s="28"/>
      <c r="O190" s="28"/>
      <c r="P190" s="28"/>
      <c r="Q190" s="27"/>
      <c r="R190" s="27"/>
      <c r="S190" s="27"/>
      <c r="T190" s="27"/>
      <c r="U190" s="28"/>
      <c r="V190" s="28"/>
      <c r="W190" s="27"/>
      <c r="X190" s="32" t="str">
        <f aca="false">IF(A190="","",IF(OR(C190="Planned",C190="Contacted",C190="Meeting",C190="Proposal sent",C190="Negotiation"),"Yes","No"))</f>
        <v/>
      </c>
      <c r="Y190" s="32" t="str">
        <f aca="false">IF(A190="","",IF(AND(C190="Won",P190&lt;&gt;"",P190&lt;=S_Today+S_RenewalDays,COUNTIFS($A$3:$A$502,A190,$F$3:$F$502,"Yes",$X$3:$X$502,"Yes")=0),"Renewal due",IF(X190&lt;&gt;"Yes","",IF(OR(L190="",M190=""),"Missing next action",IF(M190&lt;S_Today,"Overdue",IF(AND(C190="Contacted",_xlfn.MAXIFS(Interactions!$A$3:$A$502,Interactions!$B$3:$B$502,A190,Interactions!$F$3:$F$502,"Sent by us")&gt;0,_xlfn.MAXIFS(Interactions!$A$3:$A$502,Interactions!$B$3:$B$502,A190,Interactions!$F$3:$F$502,"Sent by us")&lt;=S_Today-S_NoReplyDays,MAX(_xlfn.MAXIFS(Interactions!$A$3:$A$502,Interactions!$B$3:$B$502,A190,Interactions!$F$3:$F$502,"Received from them"),_xlfn.MAXIFS(Interactions!$A$3:$A$502,Interactions!$B$3:$B$502,A190,Interactions!$F$3:$F$502,"Two-way"))&lt;_xlfn.MAXIFS(Interactions!$A$3:$A$502,Interactions!$B$3:$B$502,A190,Interactions!$F$3:$F$502,"Sent by us")),"No reply",IF(M190&lt;=S_Today+7,"Due this week","")))))))</f>
        <v/>
      </c>
      <c r="Z190" s="34" t="str">
        <f aca="false">IF(OR(A190="",Y190=""),"",IF(Y190="Renewal due",100000,IF(Y190="Overdue",200000,IF(Y190="No reply",300000,IF(Y190="Due this week",400000,500000))))+IF(Y190="Renewal due",P190-40000,IF(Y190="Missing next action",0,M190-40000))+ROW()/100000)</f>
        <v/>
      </c>
      <c r="AA190" s="32" t="str">
        <f aca="false">IF(A190="","",_xlfn.TEXTJOIN(", ",TRUE(),IF(AND(X190="Yes",D190=""),"No owner",IF(AND(D190&lt;&gt;"",COUNTIFS(R_TeamName,D190,R_TeamActive,"No")&gt;0),"Needs new owner","")),IF(AND(OR(C190="Proposal sent",C190="Negotiation"),H190="",I190="",K190=""),"Add package or proposed value",""),IF(AND(C190="Won",OR(P190="",V190="")),"Won needs renewal date and closed on",""),IF(AND(C190="Won",G190="Cash",J190=""),"Add agreed value",""),IF(AND(C190="Lost",OR(S190="",V190="")),"Lost needs reason and closed on",""),IF(AND(C190="Nurture",OR(T190="",U190="")),"Nurture needs reason and date","")))</f>
        <v/>
      </c>
      <c r="AB190" s="34" t="str">
        <f aca="false">IF(AND(C190="Won",V190&lt;&gt;"",V190&gt;=S_SemStart,V190&lt;=S_SemEnd),V190+ROW()/100000,"")</f>
        <v/>
      </c>
      <c r="AC190" s="34" t="str">
        <f aca="false">IF(AND(C190="Lost",V190&lt;&gt;"",V190&gt;=S_SemStart,V190&lt;=S_SemEnd),V190+ROW()/100000,"")</f>
        <v/>
      </c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9"/>
      <c r="J191" s="29"/>
      <c r="K191" s="27"/>
      <c r="L191" s="27"/>
      <c r="M191" s="28"/>
      <c r="N191" s="28"/>
      <c r="O191" s="28"/>
      <c r="P191" s="28"/>
      <c r="Q191" s="27"/>
      <c r="R191" s="27"/>
      <c r="S191" s="27"/>
      <c r="T191" s="27"/>
      <c r="U191" s="28"/>
      <c r="V191" s="28"/>
      <c r="W191" s="27"/>
      <c r="X191" s="32" t="str">
        <f aca="false">IF(A191="","",IF(OR(C191="Planned",C191="Contacted",C191="Meeting",C191="Proposal sent",C191="Negotiation"),"Yes","No"))</f>
        <v/>
      </c>
      <c r="Y191" s="32" t="str">
        <f aca="false">IF(A191="","",IF(AND(C191="Won",P191&lt;&gt;"",P191&lt;=S_Today+S_RenewalDays,COUNTIFS($A$3:$A$502,A191,$F$3:$F$502,"Yes",$X$3:$X$502,"Yes")=0),"Renewal due",IF(X191&lt;&gt;"Yes","",IF(OR(L191="",M191=""),"Missing next action",IF(M191&lt;S_Today,"Overdue",IF(AND(C191="Contacted",_xlfn.MAXIFS(Interactions!$A$3:$A$502,Interactions!$B$3:$B$502,A191,Interactions!$F$3:$F$502,"Sent by us")&gt;0,_xlfn.MAXIFS(Interactions!$A$3:$A$502,Interactions!$B$3:$B$502,A191,Interactions!$F$3:$F$502,"Sent by us")&lt;=S_Today-S_NoReplyDays,MAX(_xlfn.MAXIFS(Interactions!$A$3:$A$502,Interactions!$B$3:$B$502,A191,Interactions!$F$3:$F$502,"Received from them"),_xlfn.MAXIFS(Interactions!$A$3:$A$502,Interactions!$B$3:$B$502,A191,Interactions!$F$3:$F$502,"Two-way"))&lt;_xlfn.MAXIFS(Interactions!$A$3:$A$502,Interactions!$B$3:$B$502,A191,Interactions!$F$3:$F$502,"Sent by us")),"No reply",IF(M191&lt;=S_Today+7,"Due this week","")))))))</f>
        <v/>
      </c>
      <c r="Z191" s="34" t="str">
        <f aca="false">IF(OR(A191="",Y191=""),"",IF(Y191="Renewal due",100000,IF(Y191="Overdue",200000,IF(Y191="No reply",300000,IF(Y191="Due this week",400000,500000))))+IF(Y191="Renewal due",P191-40000,IF(Y191="Missing next action",0,M191-40000))+ROW()/100000)</f>
        <v/>
      </c>
      <c r="AA191" s="32" t="str">
        <f aca="false">IF(A191="","",_xlfn.TEXTJOIN(", ",TRUE(),IF(AND(X191="Yes",D191=""),"No owner",IF(AND(D191&lt;&gt;"",COUNTIFS(R_TeamName,D191,R_TeamActive,"No")&gt;0),"Needs new owner","")),IF(AND(OR(C191="Proposal sent",C191="Negotiation"),H191="",I191="",K191=""),"Add package or proposed value",""),IF(AND(C191="Won",OR(P191="",V191="")),"Won needs renewal date and closed on",""),IF(AND(C191="Won",G191="Cash",J191=""),"Add agreed value",""),IF(AND(C191="Lost",OR(S191="",V191="")),"Lost needs reason and closed on",""),IF(AND(C191="Nurture",OR(T191="",U191="")),"Nurture needs reason and date","")))</f>
        <v/>
      </c>
      <c r="AB191" s="34" t="str">
        <f aca="false">IF(AND(C191="Won",V191&lt;&gt;"",V191&gt;=S_SemStart,V191&lt;=S_SemEnd),V191+ROW()/100000,"")</f>
        <v/>
      </c>
      <c r="AC191" s="34" t="str">
        <f aca="false">IF(AND(C191="Lost",V191&lt;&gt;"",V191&gt;=S_SemStart,V191&lt;=S_SemEnd),V191+ROW()/100000,"")</f>
        <v/>
      </c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9"/>
      <c r="J192" s="29"/>
      <c r="K192" s="27"/>
      <c r="L192" s="27"/>
      <c r="M192" s="28"/>
      <c r="N192" s="28"/>
      <c r="O192" s="28"/>
      <c r="P192" s="28"/>
      <c r="Q192" s="27"/>
      <c r="R192" s="27"/>
      <c r="S192" s="27"/>
      <c r="T192" s="27"/>
      <c r="U192" s="28"/>
      <c r="V192" s="28"/>
      <c r="W192" s="27"/>
      <c r="X192" s="32" t="str">
        <f aca="false">IF(A192="","",IF(OR(C192="Planned",C192="Contacted",C192="Meeting",C192="Proposal sent",C192="Negotiation"),"Yes","No"))</f>
        <v/>
      </c>
      <c r="Y192" s="32" t="str">
        <f aca="false">IF(A192="","",IF(AND(C192="Won",P192&lt;&gt;"",P192&lt;=S_Today+S_RenewalDays,COUNTIFS($A$3:$A$502,A192,$F$3:$F$502,"Yes",$X$3:$X$502,"Yes")=0),"Renewal due",IF(X192&lt;&gt;"Yes","",IF(OR(L192="",M192=""),"Missing next action",IF(M192&lt;S_Today,"Overdue",IF(AND(C192="Contacted",_xlfn.MAXIFS(Interactions!$A$3:$A$502,Interactions!$B$3:$B$502,A192,Interactions!$F$3:$F$502,"Sent by us")&gt;0,_xlfn.MAXIFS(Interactions!$A$3:$A$502,Interactions!$B$3:$B$502,A192,Interactions!$F$3:$F$502,"Sent by us")&lt;=S_Today-S_NoReplyDays,MAX(_xlfn.MAXIFS(Interactions!$A$3:$A$502,Interactions!$B$3:$B$502,A192,Interactions!$F$3:$F$502,"Received from them"),_xlfn.MAXIFS(Interactions!$A$3:$A$502,Interactions!$B$3:$B$502,A192,Interactions!$F$3:$F$502,"Two-way"))&lt;_xlfn.MAXIFS(Interactions!$A$3:$A$502,Interactions!$B$3:$B$502,A192,Interactions!$F$3:$F$502,"Sent by us")),"No reply",IF(M192&lt;=S_Today+7,"Due this week","")))))))</f>
        <v/>
      </c>
      <c r="Z192" s="34" t="str">
        <f aca="false">IF(OR(A192="",Y192=""),"",IF(Y192="Renewal due",100000,IF(Y192="Overdue",200000,IF(Y192="No reply",300000,IF(Y192="Due this week",400000,500000))))+IF(Y192="Renewal due",P192-40000,IF(Y192="Missing next action",0,M192-40000))+ROW()/100000)</f>
        <v/>
      </c>
      <c r="AA192" s="32" t="str">
        <f aca="false">IF(A192="","",_xlfn.TEXTJOIN(", ",TRUE(),IF(AND(X192="Yes",D192=""),"No owner",IF(AND(D192&lt;&gt;"",COUNTIFS(R_TeamName,D192,R_TeamActive,"No")&gt;0),"Needs new owner","")),IF(AND(OR(C192="Proposal sent",C192="Negotiation"),H192="",I192="",K192=""),"Add package or proposed value",""),IF(AND(C192="Won",OR(P192="",V192="")),"Won needs renewal date and closed on",""),IF(AND(C192="Won",G192="Cash",J192=""),"Add agreed value",""),IF(AND(C192="Lost",OR(S192="",V192="")),"Lost needs reason and closed on",""),IF(AND(C192="Nurture",OR(T192="",U192="")),"Nurture needs reason and date","")))</f>
        <v/>
      </c>
      <c r="AB192" s="34" t="str">
        <f aca="false">IF(AND(C192="Won",V192&lt;&gt;"",V192&gt;=S_SemStart,V192&lt;=S_SemEnd),V192+ROW()/100000,"")</f>
        <v/>
      </c>
      <c r="AC192" s="34" t="str">
        <f aca="false">IF(AND(C192="Lost",V192&lt;&gt;"",V192&gt;=S_SemStart,V192&lt;=S_SemEnd),V192+ROW()/100000,"")</f>
        <v/>
      </c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9"/>
      <c r="J193" s="29"/>
      <c r="K193" s="27"/>
      <c r="L193" s="27"/>
      <c r="M193" s="28"/>
      <c r="N193" s="28"/>
      <c r="O193" s="28"/>
      <c r="P193" s="28"/>
      <c r="Q193" s="27"/>
      <c r="R193" s="27"/>
      <c r="S193" s="27"/>
      <c r="T193" s="27"/>
      <c r="U193" s="28"/>
      <c r="V193" s="28"/>
      <c r="W193" s="27"/>
      <c r="X193" s="32" t="str">
        <f aca="false">IF(A193="","",IF(OR(C193="Planned",C193="Contacted",C193="Meeting",C193="Proposal sent",C193="Negotiation"),"Yes","No"))</f>
        <v/>
      </c>
      <c r="Y193" s="32" t="str">
        <f aca="false">IF(A193="","",IF(AND(C193="Won",P193&lt;&gt;"",P193&lt;=S_Today+S_RenewalDays,COUNTIFS($A$3:$A$502,A193,$F$3:$F$502,"Yes",$X$3:$X$502,"Yes")=0),"Renewal due",IF(X193&lt;&gt;"Yes","",IF(OR(L193="",M193=""),"Missing next action",IF(M193&lt;S_Today,"Overdue",IF(AND(C193="Contacted",_xlfn.MAXIFS(Interactions!$A$3:$A$502,Interactions!$B$3:$B$502,A193,Interactions!$F$3:$F$502,"Sent by us")&gt;0,_xlfn.MAXIFS(Interactions!$A$3:$A$502,Interactions!$B$3:$B$502,A193,Interactions!$F$3:$F$502,"Sent by us")&lt;=S_Today-S_NoReplyDays,MAX(_xlfn.MAXIFS(Interactions!$A$3:$A$502,Interactions!$B$3:$B$502,A193,Interactions!$F$3:$F$502,"Received from them"),_xlfn.MAXIFS(Interactions!$A$3:$A$502,Interactions!$B$3:$B$502,A193,Interactions!$F$3:$F$502,"Two-way"))&lt;_xlfn.MAXIFS(Interactions!$A$3:$A$502,Interactions!$B$3:$B$502,A193,Interactions!$F$3:$F$502,"Sent by us")),"No reply",IF(M193&lt;=S_Today+7,"Due this week","")))))))</f>
        <v/>
      </c>
      <c r="Z193" s="34" t="str">
        <f aca="false">IF(OR(A193="",Y193=""),"",IF(Y193="Renewal due",100000,IF(Y193="Overdue",200000,IF(Y193="No reply",300000,IF(Y193="Due this week",400000,500000))))+IF(Y193="Renewal due",P193-40000,IF(Y193="Missing next action",0,M193-40000))+ROW()/100000)</f>
        <v/>
      </c>
      <c r="AA193" s="32" t="str">
        <f aca="false">IF(A193="","",_xlfn.TEXTJOIN(", ",TRUE(),IF(AND(X193="Yes",D193=""),"No owner",IF(AND(D193&lt;&gt;"",COUNTIFS(R_TeamName,D193,R_TeamActive,"No")&gt;0),"Needs new owner","")),IF(AND(OR(C193="Proposal sent",C193="Negotiation"),H193="",I193="",K193=""),"Add package or proposed value",""),IF(AND(C193="Won",OR(P193="",V193="")),"Won needs renewal date and closed on",""),IF(AND(C193="Won",G193="Cash",J193=""),"Add agreed value",""),IF(AND(C193="Lost",OR(S193="",V193="")),"Lost needs reason and closed on",""),IF(AND(C193="Nurture",OR(T193="",U193="")),"Nurture needs reason and date","")))</f>
        <v/>
      </c>
      <c r="AB193" s="34" t="str">
        <f aca="false">IF(AND(C193="Won",V193&lt;&gt;"",V193&gt;=S_SemStart,V193&lt;=S_SemEnd),V193+ROW()/100000,"")</f>
        <v/>
      </c>
      <c r="AC193" s="34" t="str">
        <f aca="false">IF(AND(C193="Lost",V193&lt;&gt;"",V193&gt;=S_SemStart,V193&lt;=S_SemEnd),V193+ROW()/100000,"")</f>
        <v/>
      </c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9"/>
      <c r="J194" s="29"/>
      <c r="K194" s="27"/>
      <c r="L194" s="27"/>
      <c r="M194" s="28"/>
      <c r="N194" s="28"/>
      <c r="O194" s="28"/>
      <c r="P194" s="28"/>
      <c r="Q194" s="27"/>
      <c r="R194" s="27"/>
      <c r="S194" s="27"/>
      <c r="T194" s="27"/>
      <c r="U194" s="28"/>
      <c r="V194" s="28"/>
      <c r="W194" s="27"/>
      <c r="X194" s="32" t="str">
        <f aca="false">IF(A194="","",IF(OR(C194="Planned",C194="Contacted",C194="Meeting",C194="Proposal sent",C194="Negotiation"),"Yes","No"))</f>
        <v/>
      </c>
      <c r="Y194" s="32" t="str">
        <f aca="false">IF(A194="","",IF(AND(C194="Won",P194&lt;&gt;"",P194&lt;=S_Today+S_RenewalDays,COUNTIFS($A$3:$A$502,A194,$F$3:$F$502,"Yes",$X$3:$X$502,"Yes")=0),"Renewal due",IF(X194&lt;&gt;"Yes","",IF(OR(L194="",M194=""),"Missing next action",IF(M194&lt;S_Today,"Overdue",IF(AND(C194="Contacted",_xlfn.MAXIFS(Interactions!$A$3:$A$502,Interactions!$B$3:$B$502,A194,Interactions!$F$3:$F$502,"Sent by us")&gt;0,_xlfn.MAXIFS(Interactions!$A$3:$A$502,Interactions!$B$3:$B$502,A194,Interactions!$F$3:$F$502,"Sent by us")&lt;=S_Today-S_NoReplyDays,MAX(_xlfn.MAXIFS(Interactions!$A$3:$A$502,Interactions!$B$3:$B$502,A194,Interactions!$F$3:$F$502,"Received from them"),_xlfn.MAXIFS(Interactions!$A$3:$A$502,Interactions!$B$3:$B$502,A194,Interactions!$F$3:$F$502,"Two-way"))&lt;_xlfn.MAXIFS(Interactions!$A$3:$A$502,Interactions!$B$3:$B$502,A194,Interactions!$F$3:$F$502,"Sent by us")),"No reply",IF(M194&lt;=S_Today+7,"Due this week","")))))))</f>
        <v/>
      </c>
      <c r="Z194" s="34" t="str">
        <f aca="false">IF(OR(A194="",Y194=""),"",IF(Y194="Renewal due",100000,IF(Y194="Overdue",200000,IF(Y194="No reply",300000,IF(Y194="Due this week",400000,500000))))+IF(Y194="Renewal due",P194-40000,IF(Y194="Missing next action",0,M194-40000))+ROW()/100000)</f>
        <v/>
      </c>
      <c r="AA194" s="32" t="str">
        <f aca="false">IF(A194="","",_xlfn.TEXTJOIN(", ",TRUE(),IF(AND(X194="Yes",D194=""),"No owner",IF(AND(D194&lt;&gt;"",COUNTIFS(R_TeamName,D194,R_TeamActive,"No")&gt;0),"Needs new owner","")),IF(AND(OR(C194="Proposal sent",C194="Negotiation"),H194="",I194="",K194=""),"Add package or proposed value",""),IF(AND(C194="Won",OR(P194="",V194="")),"Won needs renewal date and closed on",""),IF(AND(C194="Won",G194="Cash",J194=""),"Add agreed value",""),IF(AND(C194="Lost",OR(S194="",V194="")),"Lost needs reason and closed on",""),IF(AND(C194="Nurture",OR(T194="",U194="")),"Nurture needs reason and date","")))</f>
        <v/>
      </c>
      <c r="AB194" s="34" t="str">
        <f aca="false">IF(AND(C194="Won",V194&lt;&gt;"",V194&gt;=S_SemStart,V194&lt;=S_SemEnd),V194+ROW()/100000,"")</f>
        <v/>
      </c>
      <c r="AC194" s="34" t="str">
        <f aca="false">IF(AND(C194="Lost",V194&lt;&gt;"",V194&gt;=S_SemStart,V194&lt;=S_SemEnd),V194+ROW()/100000,"")</f>
        <v/>
      </c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9"/>
      <c r="J195" s="29"/>
      <c r="K195" s="27"/>
      <c r="L195" s="27"/>
      <c r="M195" s="28"/>
      <c r="N195" s="28"/>
      <c r="O195" s="28"/>
      <c r="P195" s="28"/>
      <c r="Q195" s="27"/>
      <c r="R195" s="27"/>
      <c r="S195" s="27"/>
      <c r="T195" s="27"/>
      <c r="U195" s="28"/>
      <c r="V195" s="28"/>
      <c r="W195" s="27"/>
      <c r="X195" s="32" t="str">
        <f aca="false">IF(A195="","",IF(OR(C195="Planned",C195="Contacted",C195="Meeting",C195="Proposal sent",C195="Negotiation"),"Yes","No"))</f>
        <v/>
      </c>
      <c r="Y195" s="32" t="str">
        <f aca="false">IF(A195="","",IF(AND(C195="Won",P195&lt;&gt;"",P195&lt;=S_Today+S_RenewalDays,COUNTIFS($A$3:$A$502,A195,$F$3:$F$502,"Yes",$X$3:$X$502,"Yes")=0),"Renewal due",IF(X195&lt;&gt;"Yes","",IF(OR(L195="",M195=""),"Missing next action",IF(M195&lt;S_Today,"Overdue",IF(AND(C195="Contacted",_xlfn.MAXIFS(Interactions!$A$3:$A$502,Interactions!$B$3:$B$502,A195,Interactions!$F$3:$F$502,"Sent by us")&gt;0,_xlfn.MAXIFS(Interactions!$A$3:$A$502,Interactions!$B$3:$B$502,A195,Interactions!$F$3:$F$502,"Sent by us")&lt;=S_Today-S_NoReplyDays,MAX(_xlfn.MAXIFS(Interactions!$A$3:$A$502,Interactions!$B$3:$B$502,A195,Interactions!$F$3:$F$502,"Received from them"),_xlfn.MAXIFS(Interactions!$A$3:$A$502,Interactions!$B$3:$B$502,A195,Interactions!$F$3:$F$502,"Two-way"))&lt;_xlfn.MAXIFS(Interactions!$A$3:$A$502,Interactions!$B$3:$B$502,A195,Interactions!$F$3:$F$502,"Sent by us")),"No reply",IF(M195&lt;=S_Today+7,"Due this week","")))))))</f>
        <v/>
      </c>
      <c r="Z195" s="34" t="str">
        <f aca="false">IF(OR(A195="",Y195=""),"",IF(Y195="Renewal due",100000,IF(Y195="Overdue",200000,IF(Y195="No reply",300000,IF(Y195="Due this week",400000,500000))))+IF(Y195="Renewal due",P195-40000,IF(Y195="Missing next action",0,M195-40000))+ROW()/100000)</f>
        <v/>
      </c>
      <c r="AA195" s="32" t="str">
        <f aca="false">IF(A195="","",_xlfn.TEXTJOIN(", ",TRUE(),IF(AND(X195="Yes",D195=""),"No owner",IF(AND(D195&lt;&gt;"",COUNTIFS(R_TeamName,D195,R_TeamActive,"No")&gt;0),"Needs new owner","")),IF(AND(OR(C195="Proposal sent",C195="Negotiation"),H195="",I195="",K195=""),"Add package or proposed value",""),IF(AND(C195="Won",OR(P195="",V195="")),"Won needs renewal date and closed on",""),IF(AND(C195="Won",G195="Cash",J195=""),"Add agreed value",""),IF(AND(C195="Lost",OR(S195="",V195="")),"Lost needs reason and closed on",""),IF(AND(C195="Nurture",OR(T195="",U195="")),"Nurture needs reason and date","")))</f>
        <v/>
      </c>
      <c r="AB195" s="34" t="str">
        <f aca="false">IF(AND(C195="Won",V195&lt;&gt;"",V195&gt;=S_SemStart,V195&lt;=S_SemEnd),V195+ROW()/100000,"")</f>
        <v/>
      </c>
      <c r="AC195" s="34" t="str">
        <f aca="false">IF(AND(C195="Lost",V195&lt;&gt;"",V195&gt;=S_SemStart,V195&lt;=S_SemEnd),V195+ROW()/100000,"")</f>
        <v/>
      </c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9"/>
      <c r="J196" s="29"/>
      <c r="K196" s="27"/>
      <c r="L196" s="27"/>
      <c r="M196" s="28"/>
      <c r="N196" s="28"/>
      <c r="O196" s="28"/>
      <c r="P196" s="28"/>
      <c r="Q196" s="27"/>
      <c r="R196" s="27"/>
      <c r="S196" s="27"/>
      <c r="T196" s="27"/>
      <c r="U196" s="28"/>
      <c r="V196" s="28"/>
      <c r="W196" s="27"/>
      <c r="X196" s="32" t="str">
        <f aca="false">IF(A196="","",IF(OR(C196="Planned",C196="Contacted",C196="Meeting",C196="Proposal sent",C196="Negotiation"),"Yes","No"))</f>
        <v/>
      </c>
      <c r="Y196" s="32" t="str">
        <f aca="false">IF(A196="","",IF(AND(C196="Won",P196&lt;&gt;"",P196&lt;=S_Today+S_RenewalDays,COUNTIFS($A$3:$A$502,A196,$F$3:$F$502,"Yes",$X$3:$X$502,"Yes")=0),"Renewal due",IF(X196&lt;&gt;"Yes","",IF(OR(L196="",M196=""),"Missing next action",IF(M196&lt;S_Today,"Overdue",IF(AND(C196="Contacted",_xlfn.MAXIFS(Interactions!$A$3:$A$502,Interactions!$B$3:$B$502,A196,Interactions!$F$3:$F$502,"Sent by us")&gt;0,_xlfn.MAXIFS(Interactions!$A$3:$A$502,Interactions!$B$3:$B$502,A196,Interactions!$F$3:$F$502,"Sent by us")&lt;=S_Today-S_NoReplyDays,MAX(_xlfn.MAXIFS(Interactions!$A$3:$A$502,Interactions!$B$3:$B$502,A196,Interactions!$F$3:$F$502,"Received from them"),_xlfn.MAXIFS(Interactions!$A$3:$A$502,Interactions!$B$3:$B$502,A196,Interactions!$F$3:$F$502,"Two-way"))&lt;_xlfn.MAXIFS(Interactions!$A$3:$A$502,Interactions!$B$3:$B$502,A196,Interactions!$F$3:$F$502,"Sent by us")),"No reply",IF(M196&lt;=S_Today+7,"Due this week","")))))))</f>
        <v/>
      </c>
      <c r="Z196" s="34" t="str">
        <f aca="false">IF(OR(A196="",Y196=""),"",IF(Y196="Renewal due",100000,IF(Y196="Overdue",200000,IF(Y196="No reply",300000,IF(Y196="Due this week",400000,500000))))+IF(Y196="Renewal due",P196-40000,IF(Y196="Missing next action",0,M196-40000))+ROW()/100000)</f>
        <v/>
      </c>
      <c r="AA196" s="32" t="str">
        <f aca="false">IF(A196="","",_xlfn.TEXTJOIN(", ",TRUE(),IF(AND(X196="Yes",D196=""),"No owner",IF(AND(D196&lt;&gt;"",COUNTIFS(R_TeamName,D196,R_TeamActive,"No")&gt;0),"Needs new owner","")),IF(AND(OR(C196="Proposal sent",C196="Negotiation"),H196="",I196="",K196=""),"Add package or proposed value",""),IF(AND(C196="Won",OR(P196="",V196="")),"Won needs renewal date and closed on",""),IF(AND(C196="Won",G196="Cash",J196=""),"Add agreed value",""),IF(AND(C196="Lost",OR(S196="",V196="")),"Lost needs reason and closed on",""),IF(AND(C196="Nurture",OR(T196="",U196="")),"Nurture needs reason and date","")))</f>
        <v/>
      </c>
      <c r="AB196" s="34" t="str">
        <f aca="false">IF(AND(C196="Won",V196&lt;&gt;"",V196&gt;=S_SemStart,V196&lt;=S_SemEnd),V196+ROW()/100000,"")</f>
        <v/>
      </c>
      <c r="AC196" s="34" t="str">
        <f aca="false">IF(AND(C196="Lost",V196&lt;&gt;"",V196&gt;=S_SemStart,V196&lt;=S_SemEnd),V196+ROW()/100000,"")</f>
        <v/>
      </c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9"/>
      <c r="J197" s="29"/>
      <c r="K197" s="27"/>
      <c r="L197" s="27"/>
      <c r="M197" s="28"/>
      <c r="N197" s="28"/>
      <c r="O197" s="28"/>
      <c r="P197" s="28"/>
      <c r="Q197" s="27"/>
      <c r="R197" s="27"/>
      <c r="S197" s="27"/>
      <c r="T197" s="27"/>
      <c r="U197" s="28"/>
      <c r="V197" s="28"/>
      <c r="W197" s="27"/>
      <c r="X197" s="32" t="str">
        <f aca="false">IF(A197="","",IF(OR(C197="Planned",C197="Contacted",C197="Meeting",C197="Proposal sent",C197="Negotiation"),"Yes","No"))</f>
        <v/>
      </c>
      <c r="Y197" s="32" t="str">
        <f aca="false">IF(A197="","",IF(AND(C197="Won",P197&lt;&gt;"",P197&lt;=S_Today+S_RenewalDays,COUNTIFS($A$3:$A$502,A197,$F$3:$F$502,"Yes",$X$3:$X$502,"Yes")=0),"Renewal due",IF(X197&lt;&gt;"Yes","",IF(OR(L197="",M197=""),"Missing next action",IF(M197&lt;S_Today,"Overdue",IF(AND(C197="Contacted",_xlfn.MAXIFS(Interactions!$A$3:$A$502,Interactions!$B$3:$B$502,A197,Interactions!$F$3:$F$502,"Sent by us")&gt;0,_xlfn.MAXIFS(Interactions!$A$3:$A$502,Interactions!$B$3:$B$502,A197,Interactions!$F$3:$F$502,"Sent by us")&lt;=S_Today-S_NoReplyDays,MAX(_xlfn.MAXIFS(Interactions!$A$3:$A$502,Interactions!$B$3:$B$502,A197,Interactions!$F$3:$F$502,"Received from them"),_xlfn.MAXIFS(Interactions!$A$3:$A$502,Interactions!$B$3:$B$502,A197,Interactions!$F$3:$F$502,"Two-way"))&lt;_xlfn.MAXIFS(Interactions!$A$3:$A$502,Interactions!$B$3:$B$502,A197,Interactions!$F$3:$F$502,"Sent by us")),"No reply",IF(M197&lt;=S_Today+7,"Due this week","")))))))</f>
        <v/>
      </c>
      <c r="Z197" s="34" t="str">
        <f aca="false">IF(OR(A197="",Y197=""),"",IF(Y197="Renewal due",100000,IF(Y197="Overdue",200000,IF(Y197="No reply",300000,IF(Y197="Due this week",400000,500000))))+IF(Y197="Renewal due",P197-40000,IF(Y197="Missing next action",0,M197-40000))+ROW()/100000)</f>
        <v/>
      </c>
      <c r="AA197" s="32" t="str">
        <f aca="false">IF(A197="","",_xlfn.TEXTJOIN(", ",TRUE(),IF(AND(X197="Yes",D197=""),"No owner",IF(AND(D197&lt;&gt;"",COUNTIFS(R_TeamName,D197,R_TeamActive,"No")&gt;0),"Needs new owner","")),IF(AND(OR(C197="Proposal sent",C197="Negotiation"),H197="",I197="",K197=""),"Add package or proposed value",""),IF(AND(C197="Won",OR(P197="",V197="")),"Won needs renewal date and closed on",""),IF(AND(C197="Won",G197="Cash",J197=""),"Add agreed value",""),IF(AND(C197="Lost",OR(S197="",V197="")),"Lost needs reason and closed on",""),IF(AND(C197="Nurture",OR(T197="",U197="")),"Nurture needs reason and date","")))</f>
        <v/>
      </c>
      <c r="AB197" s="34" t="str">
        <f aca="false">IF(AND(C197="Won",V197&lt;&gt;"",V197&gt;=S_SemStart,V197&lt;=S_SemEnd),V197+ROW()/100000,"")</f>
        <v/>
      </c>
      <c r="AC197" s="34" t="str">
        <f aca="false">IF(AND(C197="Lost",V197&lt;&gt;"",V197&gt;=S_SemStart,V197&lt;=S_SemEnd),V197+ROW()/100000,"")</f>
        <v/>
      </c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9"/>
      <c r="J198" s="29"/>
      <c r="K198" s="27"/>
      <c r="L198" s="27"/>
      <c r="M198" s="28"/>
      <c r="N198" s="28"/>
      <c r="O198" s="28"/>
      <c r="P198" s="28"/>
      <c r="Q198" s="27"/>
      <c r="R198" s="27"/>
      <c r="S198" s="27"/>
      <c r="T198" s="27"/>
      <c r="U198" s="28"/>
      <c r="V198" s="28"/>
      <c r="W198" s="27"/>
      <c r="X198" s="32" t="str">
        <f aca="false">IF(A198="","",IF(OR(C198="Planned",C198="Contacted",C198="Meeting",C198="Proposal sent",C198="Negotiation"),"Yes","No"))</f>
        <v/>
      </c>
      <c r="Y198" s="32" t="str">
        <f aca="false">IF(A198="","",IF(AND(C198="Won",P198&lt;&gt;"",P198&lt;=S_Today+S_RenewalDays,COUNTIFS($A$3:$A$502,A198,$F$3:$F$502,"Yes",$X$3:$X$502,"Yes")=0),"Renewal due",IF(X198&lt;&gt;"Yes","",IF(OR(L198="",M198=""),"Missing next action",IF(M198&lt;S_Today,"Overdue",IF(AND(C198="Contacted",_xlfn.MAXIFS(Interactions!$A$3:$A$502,Interactions!$B$3:$B$502,A198,Interactions!$F$3:$F$502,"Sent by us")&gt;0,_xlfn.MAXIFS(Interactions!$A$3:$A$502,Interactions!$B$3:$B$502,A198,Interactions!$F$3:$F$502,"Sent by us")&lt;=S_Today-S_NoReplyDays,MAX(_xlfn.MAXIFS(Interactions!$A$3:$A$502,Interactions!$B$3:$B$502,A198,Interactions!$F$3:$F$502,"Received from them"),_xlfn.MAXIFS(Interactions!$A$3:$A$502,Interactions!$B$3:$B$502,A198,Interactions!$F$3:$F$502,"Two-way"))&lt;_xlfn.MAXIFS(Interactions!$A$3:$A$502,Interactions!$B$3:$B$502,A198,Interactions!$F$3:$F$502,"Sent by us")),"No reply",IF(M198&lt;=S_Today+7,"Due this week","")))))))</f>
        <v/>
      </c>
      <c r="Z198" s="34" t="str">
        <f aca="false">IF(OR(A198="",Y198=""),"",IF(Y198="Renewal due",100000,IF(Y198="Overdue",200000,IF(Y198="No reply",300000,IF(Y198="Due this week",400000,500000))))+IF(Y198="Renewal due",P198-40000,IF(Y198="Missing next action",0,M198-40000))+ROW()/100000)</f>
        <v/>
      </c>
      <c r="AA198" s="32" t="str">
        <f aca="false">IF(A198="","",_xlfn.TEXTJOIN(", ",TRUE(),IF(AND(X198="Yes",D198=""),"No owner",IF(AND(D198&lt;&gt;"",COUNTIFS(R_TeamName,D198,R_TeamActive,"No")&gt;0),"Needs new owner","")),IF(AND(OR(C198="Proposal sent",C198="Negotiation"),H198="",I198="",K198=""),"Add package or proposed value",""),IF(AND(C198="Won",OR(P198="",V198="")),"Won needs renewal date and closed on",""),IF(AND(C198="Won",G198="Cash",J198=""),"Add agreed value",""),IF(AND(C198="Lost",OR(S198="",V198="")),"Lost needs reason and closed on",""),IF(AND(C198="Nurture",OR(T198="",U198="")),"Nurture needs reason and date","")))</f>
        <v/>
      </c>
      <c r="AB198" s="34" t="str">
        <f aca="false">IF(AND(C198="Won",V198&lt;&gt;"",V198&gt;=S_SemStart,V198&lt;=S_SemEnd),V198+ROW()/100000,"")</f>
        <v/>
      </c>
      <c r="AC198" s="34" t="str">
        <f aca="false">IF(AND(C198="Lost",V198&lt;&gt;"",V198&gt;=S_SemStart,V198&lt;=S_SemEnd),V198+ROW()/100000,"")</f>
        <v/>
      </c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9"/>
      <c r="J199" s="29"/>
      <c r="K199" s="27"/>
      <c r="L199" s="27"/>
      <c r="M199" s="28"/>
      <c r="N199" s="28"/>
      <c r="O199" s="28"/>
      <c r="P199" s="28"/>
      <c r="Q199" s="27"/>
      <c r="R199" s="27"/>
      <c r="S199" s="27"/>
      <c r="T199" s="27"/>
      <c r="U199" s="28"/>
      <c r="V199" s="28"/>
      <c r="W199" s="27"/>
      <c r="X199" s="32" t="str">
        <f aca="false">IF(A199="","",IF(OR(C199="Planned",C199="Contacted",C199="Meeting",C199="Proposal sent",C199="Negotiation"),"Yes","No"))</f>
        <v/>
      </c>
      <c r="Y199" s="32" t="str">
        <f aca="false">IF(A199="","",IF(AND(C199="Won",P199&lt;&gt;"",P199&lt;=S_Today+S_RenewalDays,COUNTIFS($A$3:$A$502,A199,$F$3:$F$502,"Yes",$X$3:$X$502,"Yes")=0),"Renewal due",IF(X199&lt;&gt;"Yes","",IF(OR(L199="",M199=""),"Missing next action",IF(M199&lt;S_Today,"Overdue",IF(AND(C199="Contacted",_xlfn.MAXIFS(Interactions!$A$3:$A$502,Interactions!$B$3:$B$502,A199,Interactions!$F$3:$F$502,"Sent by us")&gt;0,_xlfn.MAXIFS(Interactions!$A$3:$A$502,Interactions!$B$3:$B$502,A199,Interactions!$F$3:$F$502,"Sent by us")&lt;=S_Today-S_NoReplyDays,MAX(_xlfn.MAXIFS(Interactions!$A$3:$A$502,Interactions!$B$3:$B$502,A199,Interactions!$F$3:$F$502,"Received from them"),_xlfn.MAXIFS(Interactions!$A$3:$A$502,Interactions!$B$3:$B$502,A199,Interactions!$F$3:$F$502,"Two-way"))&lt;_xlfn.MAXIFS(Interactions!$A$3:$A$502,Interactions!$B$3:$B$502,A199,Interactions!$F$3:$F$502,"Sent by us")),"No reply",IF(M199&lt;=S_Today+7,"Due this week","")))))))</f>
        <v/>
      </c>
      <c r="Z199" s="34" t="str">
        <f aca="false">IF(OR(A199="",Y199=""),"",IF(Y199="Renewal due",100000,IF(Y199="Overdue",200000,IF(Y199="No reply",300000,IF(Y199="Due this week",400000,500000))))+IF(Y199="Renewal due",P199-40000,IF(Y199="Missing next action",0,M199-40000))+ROW()/100000)</f>
        <v/>
      </c>
      <c r="AA199" s="32" t="str">
        <f aca="false">IF(A199="","",_xlfn.TEXTJOIN(", ",TRUE(),IF(AND(X199="Yes",D199=""),"No owner",IF(AND(D199&lt;&gt;"",COUNTIFS(R_TeamName,D199,R_TeamActive,"No")&gt;0),"Needs new owner","")),IF(AND(OR(C199="Proposal sent",C199="Negotiation"),H199="",I199="",K199=""),"Add package or proposed value",""),IF(AND(C199="Won",OR(P199="",V199="")),"Won needs renewal date and closed on",""),IF(AND(C199="Won",G199="Cash",J199=""),"Add agreed value",""),IF(AND(C199="Lost",OR(S199="",V199="")),"Lost needs reason and closed on",""),IF(AND(C199="Nurture",OR(T199="",U199="")),"Nurture needs reason and date","")))</f>
        <v/>
      </c>
      <c r="AB199" s="34" t="str">
        <f aca="false">IF(AND(C199="Won",V199&lt;&gt;"",V199&gt;=S_SemStart,V199&lt;=S_SemEnd),V199+ROW()/100000,"")</f>
        <v/>
      </c>
      <c r="AC199" s="34" t="str">
        <f aca="false">IF(AND(C199="Lost",V199&lt;&gt;"",V199&gt;=S_SemStart,V199&lt;=S_SemEnd),V199+ROW()/100000,"")</f>
        <v/>
      </c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9"/>
      <c r="J200" s="29"/>
      <c r="K200" s="27"/>
      <c r="L200" s="27"/>
      <c r="M200" s="28"/>
      <c r="N200" s="28"/>
      <c r="O200" s="28"/>
      <c r="P200" s="28"/>
      <c r="Q200" s="27"/>
      <c r="R200" s="27"/>
      <c r="S200" s="27"/>
      <c r="T200" s="27"/>
      <c r="U200" s="28"/>
      <c r="V200" s="28"/>
      <c r="W200" s="27"/>
      <c r="X200" s="32" t="str">
        <f aca="false">IF(A200="","",IF(OR(C200="Planned",C200="Contacted",C200="Meeting",C200="Proposal sent",C200="Negotiation"),"Yes","No"))</f>
        <v/>
      </c>
      <c r="Y200" s="32" t="str">
        <f aca="false">IF(A200="","",IF(AND(C200="Won",P200&lt;&gt;"",P200&lt;=S_Today+S_RenewalDays,COUNTIFS($A$3:$A$502,A200,$F$3:$F$502,"Yes",$X$3:$X$502,"Yes")=0),"Renewal due",IF(X200&lt;&gt;"Yes","",IF(OR(L200="",M200=""),"Missing next action",IF(M200&lt;S_Today,"Overdue",IF(AND(C200="Contacted",_xlfn.MAXIFS(Interactions!$A$3:$A$502,Interactions!$B$3:$B$502,A200,Interactions!$F$3:$F$502,"Sent by us")&gt;0,_xlfn.MAXIFS(Interactions!$A$3:$A$502,Interactions!$B$3:$B$502,A200,Interactions!$F$3:$F$502,"Sent by us")&lt;=S_Today-S_NoReplyDays,MAX(_xlfn.MAXIFS(Interactions!$A$3:$A$502,Interactions!$B$3:$B$502,A200,Interactions!$F$3:$F$502,"Received from them"),_xlfn.MAXIFS(Interactions!$A$3:$A$502,Interactions!$B$3:$B$502,A200,Interactions!$F$3:$F$502,"Two-way"))&lt;_xlfn.MAXIFS(Interactions!$A$3:$A$502,Interactions!$B$3:$B$502,A200,Interactions!$F$3:$F$502,"Sent by us")),"No reply",IF(M200&lt;=S_Today+7,"Due this week","")))))))</f>
        <v/>
      </c>
      <c r="Z200" s="34" t="str">
        <f aca="false">IF(OR(A200="",Y200=""),"",IF(Y200="Renewal due",100000,IF(Y200="Overdue",200000,IF(Y200="No reply",300000,IF(Y200="Due this week",400000,500000))))+IF(Y200="Renewal due",P200-40000,IF(Y200="Missing next action",0,M200-40000))+ROW()/100000)</f>
        <v/>
      </c>
      <c r="AA200" s="32" t="str">
        <f aca="false">IF(A200="","",_xlfn.TEXTJOIN(", ",TRUE(),IF(AND(X200="Yes",D200=""),"No owner",IF(AND(D200&lt;&gt;"",COUNTIFS(R_TeamName,D200,R_TeamActive,"No")&gt;0),"Needs new owner","")),IF(AND(OR(C200="Proposal sent",C200="Negotiation"),H200="",I200="",K200=""),"Add package or proposed value",""),IF(AND(C200="Won",OR(P200="",V200="")),"Won needs renewal date and closed on",""),IF(AND(C200="Won",G200="Cash",J200=""),"Add agreed value",""),IF(AND(C200="Lost",OR(S200="",V200="")),"Lost needs reason and closed on",""),IF(AND(C200="Nurture",OR(T200="",U200="")),"Nurture needs reason and date","")))</f>
        <v/>
      </c>
      <c r="AB200" s="34" t="str">
        <f aca="false">IF(AND(C200="Won",V200&lt;&gt;"",V200&gt;=S_SemStart,V200&lt;=S_SemEnd),V200+ROW()/100000,"")</f>
        <v/>
      </c>
      <c r="AC200" s="34" t="str">
        <f aca="false">IF(AND(C200="Lost",V200&lt;&gt;"",V200&gt;=S_SemStart,V200&lt;=S_SemEnd),V200+ROW()/100000,"")</f>
        <v/>
      </c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9"/>
      <c r="J201" s="29"/>
      <c r="K201" s="27"/>
      <c r="L201" s="27"/>
      <c r="M201" s="28"/>
      <c r="N201" s="28"/>
      <c r="O201" s="28"/>
      <c r="P201" s="28"/>
      <c r="Q201" s="27"/>
      <c r="R201" s="27"/>
      <c r="S201" s="27"/>
      <c r="T201" s="27"/>
      <c r="U201" s="28"/>
      <c r="V201" s="28"/>
      <c r="W201" s="27"/>
      <c r="X201" s="32" t="str">
        <f aca="false">IF(A201="","",IF(OR(C201="Planned",C201="Contacted",C201="Meeting",C201="Proposal sent",C201="Negotiation"),"Yes","No"))</f>
        <v/>
      </c>
      <c r="Y201" s="32" t="str">
        <f aca="false">IF(A201="","",IF(AND(C201="Won",P201&lt;&gt;"",P201&lt;=S_Today+S_RenewalDays,COUNTIFS($A$3:$A$502,A201,$F$3:$F$502,"Yes",$X$3:$X$502,"Yes")=0),"Renewal due",IF(X201&lt;&gt;"Yes","",IF(OR(L201="",M201=""),"Missing next action",IF(M201&lt;S_Today,"Overdue",IF(AND(C201="Contacted",_xlfn.MAXIFS(Interactions!$A$3:$A$502,Interactions!$B$3:$B$502,A201,Interactions!$F$3:$F$502,"Sent by us")&gt;0,_xlfn.MAXIFS(Interactions!$A$3:$A$502,Interactions!$B$3:$B$502,A201,Interactions!$F$3:$F$502,"Sent by us")&lt;=S_Today-S_NoReplyDays,MAX(_xlfn.MAXIFS(Interactions!$A$3:$A$502,Interactions!$B$3:$B$502,A201,Interactions!$F$3:$F$502,"Received from them"),_xlfn.MAXIFS(Interactions!$A$3:$A$502,Interactions!$B$3:$B$502,A201,Interactions!$F$3:$F$502,"Two-way"))&lt;_xlfn.MAXIFS(Interactions!$A$3:$A$502,Interactions!$B$3:$B$502,A201,Interactions!$F$3:$F$502,"Sent by us")),"No reply",IF(M201&lt;=S_Today+7,"Due this week","")))))))</f>
        <v/>
      </c>
      <c r="Z201" s="34" t="str">
        <f aca="false">IF(OR(A201="",Y201=""),"",IF(Y201="Renewal due",100000,IF(Y201="Overdue",200000,IF(Y201="No reply",300000,IF(Y201="Due this week",400000,500000))))+IF(Y201="Renewal due",P201-40000,IF(Y201="Missing next action",0,M201-40000))+ROW()/100000)</f>
        <v/>
      </c>
      <c r="AA201" s="32" t="str">
        <f aca="false">IF(A201="","",_xlfn.TEXTJOIN(", ",TRUE(),IF(AND(X201="Yes",D201=""),"No owner",IF(AND(D201&lt;&gt;"",COUNTIFS(R_TeamName,D201,R_TeamActive,"No")&gt;0),"Needs new owner","")),IF(AND(OR(C201="Proposal sent",C201="Negotiation"),H201="",I201="",K201=""),"Add package or proposed value",""),IF(AND(C201="Won",OR(P201="",V201="")),"Won needs renewal date and closed on",""),IF(AND(C201="Won",G201="Cash",J201=""),"Add agreed value",""),IF(AND(C201="Lost",OR(S201="",V201="")),"Lost needs reason and closed on",""),IF(AND(C201="Nurture",OR(T201="",U201="")),"Nurture needs reason and date","")))</f>
        <v/>
      </c>
      <c r="AB201" s="34" t="str">
        <f aca="false">IF(AND(C201="Won",V201&lt;&gt;"",V201&gt;=S_SemStart,V201&lt;=S_SemEnd),V201+ROW()/100000,"")</f>
        <v/>
      </c>
      <c r="AC201" s="34" t="str">
        <f aca="false">IF(AND(C201="Lost",V201&lt;&gt;"",V201&gt;=S_SemStart,V201&lt;=S_SemEnd),V201+ROW()/100000,"")</f>
        <v/>
      </c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9"/>
      <c r="J202" s="29"/>
      <c r="K202" s="27"/>
      <c r="L202" s="27"/>
      <c r="M202" s="28"/>
      <c r="N202" s="28"/>
      <c r="O202" s="28"/>
      <c r="P202" s="28"/>
      <c r="Q202" s="27"/>
      <c r="R202" s="27"/>
      <c r="S202" s="27"/>
      <c r="T202" s="27"/>
      <c r="U202" s="28"/>
      <c r="V202" s="28"/>
      <c r="W202" s="27"/>
      <c r="X202" s="32" t="str">
        <f aca="false">IF(A202="","",IF(OR(C202="Planned",C202="Contacted",C202="Meeting",C202="Proposal sent",C202="Negotiation"),"Yes","No"))</f>
        <v/>
      </c>
      <c r="Y202" s="32" t="str">
        <f aca="false">IF(A202="","",IF(AND(C202="Won",P202&lt;&gt;"",P202&lt;=S_Today+S_RenewalDays,COUNTIFS($A$3:$A$502,A202,$F$3:$F$502,"Yes",$X$3:$X$502,"Yes")=0),"Renewal due",IF(X202&lt;&gt;"Yes","",IF(OR(L202="",M202=""),"Missing next action",IF(M202&lt;S_Today,"Overdue",IF(AND(C202="Contacted",_xlfn.MAXIFS(Interactions!$A$3:$A$502,Interactions!$B$3:$B$502,A202,Interactions!$F$3:$F$502,"Sent by us")&gt;0,_xlfn.MAXIFS(Interactions!$A$3:$A$502,Interactions!$B$3:$B$502,A202,Interactions!$F$3:$F$502,"Sent by us")&lt;=S_Today-S_NoReplyDays,MAX(_xlfn.MAXIFS(Interactions!$A$3:$A$502,Interactions!$B$3:$B$502,A202,Interactions!$F$3:$F$502,"Received from them"),_xlfn.MAXIFS(Interactions!$A$3:$A$502,Interactions!$B$3:$B$502,A202,Interactions!$F$3:$F$502,"Two-way"))&lt;_xlfn.MAXIFS(Interactions!$A$3:$A$502,Interactions!$B$3:$B$502,A202,Interactions!$F$3:$F$502,"Sent by us")),"No reply",IF(M202&lt;=S_Today+7,"Due this week","")))))))</f>
        <v/>
      </c>
      <c r="Z202" s="34" t="str">
        <f aca="false">IF(OR(A202="",Y202=""),"",IF(Y202="Renewal due",100000,IF(Y202="Overdue",200000,IF(Y202="No reply",300000,IF(Y202="Due this week",400000,500000))))+IF(Y202="Renewal due",P202-40000,IF(Y202="Missing next action",0,M202-40000))+ROW()/100000)</f>
        <v/>
      </c>
      <c r="AA202" s="32" t="str">
        <f aca="false">IF(A202="","",_xlfn.TEXTJOIN(", ",TRUE(),IF(AND(X202="Yes",D202=""),"No owner",IF(AND(D202&lt;&gt;"",COUNTIFS(R_TeamName,D202,R_TeamActive,"No")&gt;0),"Needs new owner","")),IF(AND(OR(C202="Proposal sent",C202="Negotiation"),H202="",I202="",K202=""),"Add package or proposed value",""),IF(AND(C202="Won",OR(P202="",V202="")),"Won needs renewal date and closed on",""),IF(AND(C202="Won",G202="Cash",J202=""),"Add agreed value",""),IF(AND(C202="Lost",OR(S202="",V202="")),"Lost needs reason and closed on",""),IF(AND(C202="Nurture",OR(T202="",U202="")),"Nurture needs reason and date","")))</f>
        <v/>
      </c>
      <c r="AB202" s="34" t="str">
        <f aca="false">IF(AND(C202="Won",V202&lt;&gt;"",V202&gt;=S_SemStart,V202&lt;=S_SemEnd),V202+ROW()/100000,"")</f>
        <v/>
      </c>
      <c r="AC202" s="34" t="str">
        <f aca="false">IF(AND(C202="Lost",V202&lt;&gt;"",V202&gt;=S_SemStart,V202&lt;=S_SemEnd),V202+ROW()/100000,"")</f>
        <v/>
      </c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9"/>
      <c r="J203" s="29"/>
      <c r="K203" s="27"/>
      <c r="L203" s="27"/>
      <c r="M203" s="28"/>
      <c r="N203" s="28"/>
      <c r="O203" s="28"/>
      <c r="P203" s="28"/>
      <c r="Q203" s="27"/>
      <c r="R203" s="27"/>
      <c r="S203" s="27"/>
      <c r="T203" s="27"/>
      <c r="U203" s="28"/>
      <c r="V203" s="28"/>
      <c r="W203" s="27"/>
      <c r="X203" s="32" t="str">
        <f aca="false">IF(A203="","",IF(OR(C203="Planned",C203="Contacted",C203="Meeting",C203="Proposal sent",C203="Negotiation"),"Yes","No"))</f>
        <v/>
      </c>
      <c r="Y203" s="32" t="str">
        <f aca="false">IF(A203="","",IF(AND(C203="Won",P203&lt;&gt;"",P203&lt;=S_Today+S_RenewalDays,COUNTIFS($A$3:$A$502,A203,$F$3:$F$502,"Yes",$X$3:$X$502,"Yes")=0),"Renewal due",IF(X203&lt;&gt;"Yes","",IF(OR(L203="",M203=""),"Missing next action",IF(M203&lt;S_Today,"Overdue",IF(AND(C203="Contacted",_xlfn.MAXIFS(Interactions!$A$3:$A$502,Interactions!$B$3:$B$502,A203,Interactions!$F$3:$F$502,"Sent by us")&gt;0,_xlfn.MAXIFS(Interactions!$A$3:$A$502,Interactions!$B$3:$B$502,A203,Interactions!$F$3:$F$502,"Sent by us")&lt;=S_Today-S_NoReplyDays,MAX(_xlfn.MAXIFS(Interactions!$A$3:$A$502,Interactions!$B$3:$B$502,A203,Interactions!$F$3:$F$502,"Received from them"),_xlfn.MAXIFS(Interactions!$A$3:$A$502,Interactions!$B$3:$B$502,A203,Interactions!$F$3:$F$502,"Two-way"))&lt;_xlfn.MAXIFS(Interactions!$A$3:$A$502,Interactions!$B$3:$B$502,A203,Interactions!$F$3:$F$502,"Sent by us")),"No reply",IF(M203&lt;=S_Today+7,"Due this week","")))))))</f>
        <v/>
      </c>
      <c r="Z203" s="34" t="str">
        <f aca="false">IF(OR(A203="",Y203=""),"",IF(Y203="Renewal due",100000,IF(Y203="Overdue",200000,IF(Y203="No reply",300000,IF(Y203="Due this week",400000,500000))))+IF(Y203="Renewal due",P203-40000,IF(Y203="Missing next action",0,M203-40000))+ROW()/100000)</f>
        <v/>
      </c>
      <c r="AA203" s="32" t="str">
        <f aca="false">IF(A203="","",_xlfn.TEXTJOIN(", ",TRUE(),IF(AND(X203="Yes",D203=""),"No owner",IF(AND(D203&lt;&gt;"",COUNTIFS(R_TeamName,D203,R_TeamActive,"No")&gt;0),"Needs new owner","")),IF(AND(OR(C203="Proposal sent",C203="Negotiation"),H203="",I203="",K203=""),"Add package or proposed value",""),IF(AND(C203="Won",OR(P203="",V203="")),"Won needs renewal date and closed on",""),IF(AND(C203="Won",G203="Cash",J203=""),"Add agreed value",""),IF(AND(C203="Lost",OR(S203="",V203="")),"Lost needs reason and closed on",""),IF(AND(C203="Nurture",OR(T203="",U203="")),"Nurture needs reason and date","")))</f>
        <v/>
      </c>
      <c r="AB203" s="34" t="str">
        <f aca="false">IF(AND(C203="Won",V203&lt;&gt;"",V203&gt;=S_SemStart,V203&lt;=S_SemEnd),V203+ROW()/100000,"")</f>
        <v/>
      </c>
      <c r="AC203" s="34" t="str">
        <f aca="false">IF(AND(C203="Lost",V203&lt;&gt;"",V203&gt;=S_SemStart,V203&lt;=S_SemEnd),V203+ROW()/100000,"")</f>
        <v/>
      </c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9"/>
      <c r="J204" s="29"/>
      <c r="K204" s="27"/>
      <c r="L204" s="27"/>
      <c r="M204" s="28"/>
      <c r="N204" s="28"/>
      <c r="O204" s="28"/>
      <c r="P204" s="28"/>
      <c r="Q204" s="27"/>
      <c r="R204" s="27"/>
      <c r="S204" s="27"/>
      <c r="T204" s="27"/>
      <c r="U204" s="28"/>
      <c r="V204" s="28"/>
      <c r="W204" s="27"/>
      <c r="X204" s="32" t="str">
        <f aca="false">IF(A204="","",IF(OR(C204="Planned",C204="Contacted",C204="Meeting",C204="Proposal sent",C204="Negotiation"),"Yes","No"))</f>
        <v/>
      </c>
      <c r="Y204" s="32" t="str">
        <f aca="false">IF(A204="","",IF(AND(C204="Won",P204&lt;&gt;"",P204&lt;=S_Today+S_RenewalDays,COUNTIFS($A$3:$A$502,A204,$F$3:$F$502,"Yes",$X$3:$X$502,"Yes")=0),"Renewal due",IF(X204&lt;&gt;"Yes","",IF(OR(L204="",M204=""),"Missing next action",IF(M204&lt;S_Today,"Overdue",IF(AND(C204="Contacted",_xlfn.MAXIFS(Interactions!$A$3:$A$502,Interactions!$B$3:$B$502,A204,Interactions!$F$3:$F$502,"Sent by us")&gt;0,_xlfn.MAXIFS(Interactions!$A$3:$A$502,Interactions!$B$3:$B$502,A204,Interactions!$F$3:$F$502,"Sent by us")&lt;=S_Today-S_NoReplyDays,MAX(_xlfn.MAXIFS(Interactions!$A$3:$A$502,Interactions!$B$3:$B$502,A204,Interactions!$F$3:$F$502,"Received from them"),_xlfn.MAXIFS(Interactions!$A$3:$A$502,Interactions!$B$3:$B$502,A204,Interactions!$F$3:$F$502,"Two-way"))&lt;_xlfn.MAXIFS(Interactions!$A$3:$A$502,Interactions!$B$3:$B$502,A204,Interactions!$F$3:$F$502,"Sent by us")),"No reply",IF(M204&lt;=S_Today+7,"Due this week","")))))))</f>
        <v/>
      </c>
      <c r="Z204" s="34" t="str">
        <f aca="false">IF(OR(A204="",Y204=""),"",IF(Y204="Renewal due",100000,IF(Y204="Overdue",200000,IF(Y204="No reply",300000,IF(Y204="Due this week",400000,500000))))+IF(Y204="Renewal due",P204-40000,IF(Y204="Missing next action",0,M204-40000))+ROW()/100000)</f>
        <v/>
      </c>
      <c r="AA204" s="32" t="str">
        <f aca="false">IF(A204="","",_xlfn.TEXTJOIN(", ",TRUE(),IF(AND(X204="Yes",D204=""),"No owner",IF(AND(D204&lt;&gt;"",COUNTIFS(R_TeamName,D204,R_TeamActive,"No")&gt;0),"Needs new owner","")),IF(AND(OR(C204="Proposal sent",C204="Negotiation"),H204="",I204="",K204=""),"Add package or proposed value",""),IF(AND(C204="Won",OR(P204="",V204="")),"Won needs renewal date and closed on",""),IF(AND(C204="Won",G204="Cash",J204=""),"Add agreed value",""),IF(AND(C204="Lost",OR(S204="",V204="")),"Lost needs reason and closed on",""),IF(AND(C204="Nurture",OR(T204="",U204="")),"Nurture needs reason and date","")))</f>
        <v/>
      </c>
      <c r="AB204" s="34" t="str">
        <f aca="false">IF(AND(C204="Won",V204&lt;&gt;"",V204&gt;=S_SemStart,V204&lt;=S_SemEnd),V204+ROW()/100000,"")</f>
        <v/>
      </c>
      <c r="AC204" s="34" t="str">
        <f aca="false">IF(AND(C204="Lost",V204&lt;&gt;"",V204&gt;=S_SemStart,V204&lt;=S_SemEnd),V204+ROW()/100000,"")</f>
        <v/>
      </c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9"/>
      <c r="J205" s="29"/>
      <c r="K205" s="27"/>
      <c r="L205" s="27"/>
      <c r="M205" s="28"/>
      <c r="N205" s="28"/>
      <c r="O205" s="28"/>
      <c r="P205" s="28"/>
      <c r="Q205" s="27"/>
      <c r="R205" s="27"/>
      <c r="S205" s="27"/>
      <c r="T205" s="27"/>
      <c r="U205" s="28"/>
      <c r="V205" s="28"/>
      <c r="W205" s="27"/>
      <c r="X205" s="32" t="str">
        <f aca="false">IF(A205="","",IF(OR(C205="Planned",C205="Contacted",C205="Meeting",C205="Proposal sent",C205="Negotiation"),"Yes","No"))</f>
        <v/>
      </c>
      <c r="Y205" s="32" t="str">
        <f aca="false">IF(A205="","",IF(AND(C205="Won",P205&lt;&gt;"",P205&lt;=S_Today+S_RenewalDays,COUNTIFS($A$3:$A$502,A205,$F$3:$F$502,"Yes",$X$3:$X$502,"Yes")=0),"Renewal due",IF(X205&lt;&gt;"Yes","",IF(OR(L205="",M205=""),"Missing next action",IF(M205&lt;S_Today,"Overdue",IF(AND(C205="Contacted",_xlfn.MAXIFS(Interactions!$A$3:$A$502,Interactions!$B$3:$B$502,A205,Interactions!$F$3:$F$502,"Sent by us")&gt;0,_xlfn.MAXIFS(Interactions!$A$3:$A$502,Interactions!$B$3:$B$502,A205,Interactions!$F$3:$F$502,"Sent by us")&lt;=S_Today-S_NoReplyDays,MAX(_xlfn.MAXIFS(Interactions!$A$3:$A$502,Interactions!$B$3:$B$502,A205,Interactions!$F$3:$F$502,"Received from them"),_xlfn.MAXIFS(Interactions!$A$3:$A$502,Interactions!$B$3:$B$502,A205,Interactions!$F$3:$F$502,"Two-way"))&lt;_xlfn.MAXIFS(Interactions!$A$3:$A$502,Interactions!$B$3:$B$502,A205,Interactions!$F$3:$F$502,"Sent by us")),"No reply",IF(M205&lt;=S_Today+7,"Due this week","")))))))</f>
        <v/>
      </c>
      <c r="Z205" s="34" t="str">
        <f aca="false">IF(OR(A205="",Y205=""),"",IF(Y205="Renewal due",100000,IF(Y205="Overdue",200000,IF(Y205="No reply",300000,IF(Y205="Due this week",400000,500000))))+IF(Y205="Renewal due",P205-40000,IF(Y205="Missing next action",0,M205-40000))+ROW()/100000)</f>
        <v/>
      </c>
      <c r="AA205" s="32" t="str">
        <f aca="false">IF(A205="","",_xlfn.TEXTJOIN(", ",TRUE(),IF(AND(X205="Yes",D205=""),"No owner",IF(AND(D205&lt;&gt;"",COUNTIFS(R_TeamName,D205,R_TeamActive,"No")&gt;0),"Needs new owner","")),IF(AND(OR(C205="Proposal sent",C205="Negotiation"),H205="",I205="",K205=""),"Add package or proposed value",""),IF(AND(C205="Won",OR(P205="",V205="")),"Won needs renewal date and closed on",""),IF(AND(C205="Won",G205="Cash",J205=""),"Add agreed value",""),IF(AND(C205="Lost",OR(S205="",V205="")),"Lost needs reason and closed on",""),IF(AND(C205="Nurture",OR(T205="",U205="")),"Nurture needs reason and date","")))</f>
        <v/>
      </c>
      <c r="AB205" s="34" t="str">
        <f aca="false">IF(AND(C205="Won",V205&lt;&gt;"",V205&gt;=S_SemStart,V205&lt;=S_SemEnd),V205+ROW()/100000,"")</f>
        <v/>
      </c>
      <c r="AC205" s="34" t="str">
        <f aca="false">IF(AND(C205="Lost",V205&lt;&gt;"",V205&gt;=S_SemStart,V205&lt;=S_SemEnd),V205+ROW()/100000,"")</f>
        <v/>
      </c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9"/>
      <c r="J206" s="29"/>
      <c r="K206" s="27"/>
      <c r="L206" s="27"/>
      <c r="M206" s="28"/>
      <c r="N206" s="28"/>
      <c r="O206" s="28"/>
      <c r="P206" s="28"/>
      <c r="Q206" s="27"/>
      <c r="R206" s="27"/>
      <c r="S206" s="27"/>
      <c r="T206" s="27"/>
      <c r="U206" s="28"/>
      <c r="V206" s="28"/>
      <c r="W206" s="27"/>
      <c r="X206" s="32" t="str">
        <f aca="false">IF(A206="","",IF(OR(C206="Planned",C206="Contacted",C206="Meeting",C206="Proposal sent",C206="Negotiation"),"Yes","No"))</f>
        <v/>
      </c>
      <c r="Y206" s="32" t="str">
        <f aca="false">IF(A206="","",IF(AND(C206="Won",P206&lt;&gt;"",P206&lt;=S_Today+S_RenewalDays,COUNTIFS($A$3:$A$502,A206,$F$3:$F$502,"Yes",$X$3:$X$502,"Yes")=0),"Renewal due",IF(X206&lt;&gt;"Yes","",IF(OR(L206="",M206=""),"Missing next action",IF(M206&lt;S_Today,"Overdue",IF(AND(C206="Contacted",_xlfn.MAXIFS(Interactions!$A$3:$A$502,Interactions!$B$3:$B$502,A206,Interactions!$F$3:$F$502,"Sent by us")&gt;0,_xlfn.MAXIFS(Interactions!$A$3:$A$502,Interactions!$B$3:$B$502,A206,Interactions!$F$3:$F$502,"Sent by us")&lt;=S_Today-S_NoReplyDays,MAX(_xlfn.MAXIFS(Interactions!$A$3:$A$502,Interactions!$B$3:$B$502,A206,Interactions!$F$3:$F$502,"Received from them"),_xlfn.MAXIFS(Interactions!$A$3:$A$502,Interactions!$B$3:$B$502,A206,Interactions!$F$3:$F$502,"Two-way"))&lt;_xlfn.MAXIFS(Interactions!$A$3:$A$502,Interactions!$B$3:$B$502,A206,Interactions!$F$3:$F$502,"Sent by us")),"No reply",IF(M206&lt;=S_Today+7,"Due this week","")))))))</f>
        <v/>
      </c>
      <c r="Z206" s="34" t="str">
        <f aca="false">IF(OR(A206="",Y206=""),"",IF(Y206="Renewal due",100000,IF(Y206="Overdue",200000,IF(Y206="No reply",300000,IF(Y206="Due this week",400000,500000))))+IF(Y206="Renewal due",P206-40000,IF(Y206="Missing next action",0,M206-40000))+ROW()/100000)</f>
        <v/>
      </c>
      <c r="AA206" s="32" t="str">
        <f aca="false">IF(A206="","",_xlfn.TEXTJOIN(", ",TRUE(),IF(AND(X206="Yes",D206=""),"No owner",IF(AND(D206&lt;&gt;"",COUNTIFS(R_TeamName,D206,R_TeamActive,"No")&gt;0),"Needs new owner","")),IF(AND(OR(C206="Proposal sent",C206="Negotiation"),H206="",I206="",K206=""),"Add package or proposed value",""),IF(AND(C206="Won",OR(P206="",V206="")),"Won needs renewal date and closed on",""),IF(AND(C206="Won",G206="Cash",J206=""),"Add agreed value",""),IF(AND(C206="Lost",OR(S206="",V206="")),"Lost needs reason and closed on",""),IF(AND(C206="Nurture",OR(T206="",U206="")),"Nurture needs reason and date","")))</f>
        <v/>
      </c>
      <c r="AB206" s="34" t="str">
        <f aca="false">IF(AND(C206="Won",V206&lt;&gt;"",V206&gt;=S_SemStart,V206&lt;=S_SemEnd),V206+ROW()/100000,"")</f>
        <v/>
      </c>
      <c r="AC206" s="34" t="str">
        <f aca="false">IF(AND(C206="Lost",V206&lt;&gt;"",V206&gt;=S_SemStart,V206&lt;=S_SemEnd),V206+ROW()/100000,"")</f>
        <v/>
      </c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9"/>
      <c r="J207" s="29"/>
      <c r="K207" s="27"/>
      <c r="L207" s="27"/>
      <c r="M207" s="28"/>
      <c r="N207" s="28"/>
      <c r="O207" s="28"/>
      <c r="P207" s="28"/>
      <c r="Q207" s="27"/>
      <c r="R207" s="27"/>
      <c r="S207" s="27"/>
      <c r="T207" s="27"/>
      <c r="U207" s="28"/>
      <c r="V207" s="28"/>
      <c r="W207" s="27"/>
      <c r="X207" s="32" t="str">
        <f aca="false">IF(A207="","",IF(OR(C207="Planned",C207="Contacted",C207="Meeting",C207="Proposal sent",C207="Negotiation"),"Yes","No"))</f>
        <v/>
      </c>
      <c r="Y207" s="32" t="str">
        <f aca="false">IF(A207="","",IF(AND(C207="Won",P207&lt;&gt;"",P207&lt;=S_Today+S_RenewalDays,COUNTIFS($A$3:$A$502,A207,$F$3:$F$502,"Yes",$X$3:$X$502,"Yes")=0),"Renewal due",IF(X207&lt;&gt;"Yes","",IF(OR(L207="",M207=""),"Missing next action",IF(M207&lt;S_Today,"Overdue",IF(AND(C207="Contacted",_xlfn.MAXIFS(Interactions!$A$3:$A$502,Interactions!$B$3:$B$502,A207,Interactions!$F$3:$F$502,"Sent by us")&gt;0,_xlfn.MAXIFS(Interactions!$A$3:$A$502,Interactions!$B$3:$B$502,A207,Interactions!$F$3:$F$502,"Sent by us")&lt;=S_Today-S_NoReplyDays,MAX(_xlfn.MAXIFS(Interactions!$A$3:$A$502,Interactions!$B$3:$B$502,A207,Interactions!$F$3:$F$502,"Received from them"),_xlfn.MAXIFS(Interactions!$A$3:$A$502,Interactions!$B$3:$B$502,A207,Interactions!$F$3:$F$502,"Two-way"))&lt;_xlfn.MAXIFS(Interactions!$A$3:$A$502,Interactions!$B$3:$B$502,A207,Interactions!$F$3:$F$502,"Sent by us")),"No reply",IF(M207&lt;=S_Today+7,"Due this week","")))))))</f>
        <v/>
      </c>
      <c r="Z207" s="34" t="str">
        <f aca="false">IF(OR(A207="",Y207=""),"",IF(Y207="Renewal due",100000,IF(Y207="Overdue",200000,IF(Y207="No reply",300000,IF(Y207="Due this week",400000,500000))))+IF(Y207="Renewal due",P207-40000,IF(Y207="Missing next action",0,M207-40000))+ROW()/100000)</f>
        <v/>
      </c>
      <c r="AA207" s="32" t="str">
        <f aca="false">IF(A207="","",_xlfn.TEXTJOIN(", ",TRUE(),IF(AND(X207="Yes",D207=""),"No owner",IF(AND(D207&lt;&gt;"",COUNTIFS(R_TeamName,D207,R_TeamActive,"No")&gt;0),"Needs new owner","")),IF(AND(OR(C207="Proposal sent",C207="Negotiation"),H207="",I207="",K207=""),"Add package or proposed value",""),IF(AND(C207="Won",OR(P207="",V207="")),"Won needs renewal date and closed on",""),IF(AND(C207="Won",G207="Cash",J207=""),"Add agreed value",""),IF(AND(C207="Lost",OR(S207="",V207="")),"Lost needs reason and closed on",""),IF(AND(C207="Nurture",OR(T207="",U207="")),"Nurture needs reason and date","")))</f>
        <v/>
      </c>
      <c r="AB207" s="34" t="str">
        <f aca="false">IF(AND(C207="Won",V207&lt;&gt;"",V207&gt;=S_SemStart,V207&lt;=S_SemEnd),V207+ROW()/100000,"")</f>
        <v/>
      </c>
      <c r="AC207" s="34" t="str">
        <f aca="false">IF(AND(C207="Lost",V207&lt;&gt;"",V207&gt;=S_SemStart,V207&lt;=S_SemEnd),V207+ROW()/100000,"")</f>
        <v/>
      </c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9"/>
      <c r="J208" s="29"/>
      <c r="K208" s="27"/>
      <c r="L208" s="27"/>
      <c r="M208" s="28"/>
      <c r="N208" s="28"/>
      <c r="O208" s="28"/>
      <c r="P208" s="28"/>
      <c r="Q208" s="27"/>
      <c r="R208" s="27"/>
      <c r="S208" s="27"/>
      <c r="T208" s="27"/>
      <c r="U208" s="28"/>
      <c r="V208" s="28"/>
      <c r="W208" s="27"/>
      <c r="X208" s="32" t="str">
        <f aca="false">IF(A208="","",IF(OR(C208="Planned",C208="Contacted",C208="Meeting",C208="Proposal sent",C208="Negotiation"),"Yes","No"))</f>
        <v/>
      </c>
      <c r="Y208" s="32" t="str">
        <f aca="false">IF(A208="","",IF(AND(C208="Won",P208&lt;&gt;"",P208&lt;=S_Today+S_RenewalDays,COUNTIFS($A$3:$A$502,A208,$F$3:$F$502,"Yes",$X$3:$X$502,"Yes")=0),"Renewal due",IF(X208&lt;&gt;"Yes","",IF(OR(L208="",M208=""),"Missing next action",IF(M208&lt;S_Today,"Overdue",IF(AND(C208="Contacted",_xlfn.MAXIFS(Interactions!$A$3:$A$502,Interactions!$B$3:$B$502,A208,Interactions!$F$3:$F$502,"Sent by us")&gt;0,_xlfn.MAXIFS(Interactions!$A$3:$A$502,Interactions!$B$3:$B$502,A208,Interactions!$F$3:$F$502,"Sent by us")&lt;=S_Today-S_NoReplyDays,MAX(_xlfn.MAXIFS(Interactions!$A$3:$A$502,Interactions!$B$3:$B$502,A208,Interactions!$F$3:$F$502,"Received from them"),_xlfn.MAXIFS(Interactions!$A$3:$A$502,Interactions!$B$3:$B$502,A208,Interactions!$F$3:$F$502,"Two-way"))&lt;_xlfn.MAXIFS(Interactions!$A$3:$A$502,Interactions!$B$3:$B$502,A208,Interactions!$F$3:$F$502,"Sent by us")),"No reply",IF(M208&lt;=S_Today+7,"Due this week","")))))))</f>
        <v/>
      </c>
      <c r="Z208" s="34" t="str">
        <f aca="false">IF(OR(A208="",Y208=""),"",IF(Y208="Renewal due",100000,IF(Y208="Overdue",200000,IF(Y208="No reply",300000,IF(Y208="Due this week",400000,500000))))+IF(Y208="Renewal due",P208-40000,IF(Y208="Missing next action",0,M208-40000))+ROW()/100000)</f>
        <v/>
      </c>
      <c r="AA208" s="32" t="str">
        <f aca="false">IF(A208="","",_xlfn.TEXTJOIN(", ",TRUE(),IF(AND(X208="Yes",D208=""),"No owner",IF(AND(D208&lt;&gt;"",COUNTIFS(R_TeamName,D208,R_TeamActive,"No")&gt;0),"Needs new owner","")),IF(AND(OR(C208="Proposal sent",C208="Negotiation"),H208="",I208="",K208=""),"Add package or proposed value",""),IF(AND(C208="Won",OR(P208="",V208="")),"Won needs renewal date and closed on",""),IF(AND(C208="Won",G208="Cash",J208=""),"Add agreed value",""),IF(AND(C208="Lost",OR(S208="",V208="")),"Lost needs reason and closed on",""),IF(AND(C208="Nurture",OR(T208="",U208="")),"Nurture needs reason and date","")))</f>
        <v/>
      </c>
      <c r="AB208" s="34" t="str">
        <f aca="false">IF(AND(C208="Won",V208&lt;&gt;"",V208&gt;=S_SemStart,V208&lt;=S_SemEnd),V208+ROW()/100000,"")</f>
        <v/>
      </c>
      <c r="AC208" s="34" t="str">
        <f aca="false">IF(AND(C208="Lost",V208&lt;&gt;"",V208&gt;=S_SemStart,V208&lt;=S_SemEnd),V208+ROW()/100000,"")</f>
        <v/>
      </c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9"/>
      <c r="J209" s="29"/>
      <c r="K209" s="27"/>
      <c r="L209" s="27"/>
      <c r="M209" s="28"/>
      <c r="N209" s="28"/>
      <c r="O209" s="28"/>
      <c r="P209" s="28"/>
      <c r="Q209" s="27"/>
      <c r="R209" s="27"/>
      <c r="S209" s="27"/>
      <c r="T209" s="27"/>
      <c r="U209" s="28"/>
      <c r="V209" s="28"/>
      <c r="W209" s="27"/>
      <c r="X209" s="32" t="str">
        <f aca="false">IF(A209="","",IF(OR(C209="Planned",C209="Contacted",C209="Meeting",C209="Proposal sent",C209="Negotiation"),"Yes","No"))</f>
        <v/>
      </c>
      <c r="Y209" s="32" t="str">
        <f aca="false">IF(A209="","",IF(AND(C209="Won",P209&lt;&gt;"",P209&lt;=S_Today+S_RenewalDays,COUNTIFS($A$3:$A$502,A209,$F$3:$F$502,"Yes",$X$3:$X$502,"Yes")=0),"Renewal due",IF(X209&lt;&gt;"Yes","",IF(OR(L209="",M209=""),"Missing next action",IF(M209&lt;S_Today,"Overdue",IF(AND(C209="Contacted",_xlfn.MAXIFS(Interactions!$A$3:$A$502,Interactions!$B$3:$B$502,A209,Interactions!$F$3:$F$502,"Sent by us")&gt;0,_xlfn.MAXIFS(Interactions!$A$3:$A$502,Interactions!$B$3:$B$502,A209,Interactions!$F$3:$F$502,"Sent by us")&lt;=S_Today-S_NoReplyDays,MAX(_xlfn.MAXIFS(Interactions!$A$3:$A$502,Interactions!$B$3:$B$502,A209,Interactions!$F$3:$F$502,"Received from them"),_xlfn.MAXIFS(Interactions!$A$3:$A$502,Interactions!$B$3:$B$502,A209,Interactions!$F$3:$F$502,"Two-way"))&lt;_xlfn.MAXIFS(Interactions!$A$3:$A$502,Interactions!$B$3:$B$502,A209,Interactions!$F$3:$F$502,"Sent by us")),"No reply",IF(M209&lt;=S_Today+7,"Due this week","")))))))</f>
        <v/>
      </c>
      <c r="Z209" s="34" t="str">
        <f aca="false">IF(OR(A209="",Y209=""),"",IF(Y209="Renewal due",100000,IF(Y209="Overdue",200000,IF(Y209="No reply",300000,IF(Y209="Due this week",400000,500000))))+IF(Y209="Renewal due",P209-40000,IF(Y209="Missing next action",0,M209-40000))+ROW()/100000)</f>
        <v/>
      </c>
      <c r="AA209" s="32" t="str">
        <f aca="false">IF(A209="","",_xlfn.TEXTJOIN(", ",TRUE(),IF(AND(X209="Yes",D209=""),"No owner",IF(AND(D209&lt;&gt;"",COUNTIFS(R_TeamName,D209,R_TeamActive,"No")&gt;0),"Needs new owner","")),IF(AND(OR(C209="Proposal sent",C209="Negotiation"),H209="",I209="",K209=""),"Add package or proposed value",""),IF(AND(C209="Won",OR(P209="",V209="")),"Won needs renewal date and closed on",""),IF(AND(C209="Won",G209="Cash",J209=""),"Add agreed value",""),IF(AND(C209="Lost",OR(S209="",V209="")),"Lost needs reason and closed on",""),IF(AND(C209="Nurture",OR(T209="",U209="")),"Nurture needs reason and date","")))</f>
        <v/>
      </c>
      <c r="AB209" s="34" t="str">
        <f aca="false">IF(AND(C209="Won",V209&lt;&gt;"",V209&gt;=S_SemStart,V209&lt;=S_SemEnd),V209+ROW()/100000,"")</f>
        <v/>
      </c>
      <c r="AC209" s="34" t="str">
        <f aca="false">IF(AND(C209="Lost",V209&lt;&gt;"",V209&gt;=S_SemStart,V209&lt;=S_SemEnd),V209+ROW()/100000,"")</f>
        <v/>
      </c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9"/>
      <c r="J210" s="29"/>
      <c r="K210" s="27"/>
      <c r="L210" s="27"/>
      <c r="M210" s="28"/>
      <c r="N210" s="28"/>
      <c r="O210" s="28"/>
      <c r="P210" s="28"/>
      <c r="Q210" s="27"/>
      <c r="R210" s="27"/>
      <c r="S210" s="27"/>
      <c r="T210" s="27"/>
      <c r="U210" s="28"/>
      <c r="V210" s="28"/>
      <c r="W210" s="27"/>
      <c r="X210" s="32" t="str">
        <f aca="false">IF(A210="","",IF(OR(C210="Planned",C210="Contacted",C210="Meeting",C210="Proposal sent",C210="Negotiation"),"Yes","No"))</f>
        <v/>
      </c>
      <c r="Y210" s="32" t="str">
        <f aca="false">IF(A210="","",IF(AND(C210="Won",P210&lt;&gt;"",P210&lt;=S_Today+S_RenewalDays,COUNTIFS($A$3:$A$502,A210,$F$3:$F$502,"Yes",$X$3:$X$502,"Yes")=0),"Renewal due",IF(X210&lt;&gt;"Yes","",IF(OR(L210="",M210=""),"Missing next action",IF(M210&lt;S_Today,"Overdue",IF(AND(C210="Contacted",_xlfn.MAXIFS(Interactions!$A$3:$A$502,Interactions!$B$3:$B$502,A210,Interactions!$F$3:$F$502,"Sent by us")&gt;0,_xlfn.MAXIFS(Interactions!$A$3:$A$502,Interactions!$B$3:$B$502,A210,Interactions!$F$3:$F$502,"Sent by us")&lt;=S_Today-S_NoReplyDays,MAX(_xlfn.MAXIFS(Interactions!$A$3:$A$502,Interactions!$B$3:$B$502,A210,Interactions!$F$3:$F$502,"Received from them"),_xlfn.MAXIFS(Interactions!$A$3:$A$502,Interactions!$B$3:$B$502,A210,Interactions!$F$3:$F$502,"Two-way"))&lt;_xlfn.MAXIFS(Interactions!$A$3:$A$502,Interactions!$B$3:$B$502,A210,Interactions!$F$3:$F$502,"Sent by us")),"No reply",IF(M210&lt;=S_Today+7,"Due this week","")))))))</f>
        <v/>
      </c>
      <c r="Z210" s="34" t="str">
        <f aca="false">IF(OR(A210="",Y210=""),"",IF(Y210="Renewal due",100000,IF(Y210="Overdue",200000,IF(Y210="No reply",300000,IF(Y210="Due this week",400000,500000))))+IF(Y210="Renewal due",P210-40000,IF(Y210="Missing next action",0,M210-40000))+ROW()/100000)</f>
        <v/>
      </c>
      <c r="AA210" s="32" t="str">
        <f aca="false">IF(A210="","",_xlfn.TEXTJOIN(", ",TRUE(),IF(AND(X210="Yes",D210=""),"No owner",IF(AND(D210&lt;&gt;"",COUNTIFS(R_TeamName,D210,R_TeamActive,"No")&gt;0),"Needs new owner","")),IF(AND(OR(C210="Proposal sent",C210="Negotiation"),H210="",I210="",K210=""),"Add package or proposed value",""),IF(AND(C210="Won",OR(P210="",V210="")),"Won needs renewal date and closed on",""),IF(AND(C210="Won",G210="Cash",J210=""),"Add agreed value",""),IF(AND(C210="Lost",OR(S210="",V210="")),"Lost needs reason and closed on",""),IF(AND(C210="Nurture",OR(T210="",U210="")),"Nurture needs reason and date","")))</f>
        <v/>
      </c>
      <c r="AB210" s="34" t="str">
        <f aca="false">IF(AND(C210="Won",V210&lt;&gt;"",V210&gt;=S_SemStart,V210&lt;=S_SemEnd),V210+ROW()/100000,"")</f>
        <v/>
      </c>
      <c r="AC210" s="34" t="str">
        <f aca="false">IF(AND(C210="Lost",V210&lt;&gt;"",V210&gt;=S_SemStart,V210&lt;=S_SemEnd),V210+ROW()/100000,"")</f>
        <v/>
      </c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9"/>
      <c r="J211" s="29"/>
      <c r="K211" s="27"/>
      <c r="L211" s="27"/>
      <c r="M211" s="28"/>
      <c r="N211" s="28"/>
      <c r="O211" s="28"/>
      <c r="P211" s="28"/>
      <c r="Q211" s="27"/>
      <c r="R211" s="27"/>
      <c r="S211" s="27"/>
      <c r="T211" s="27"/>
      <c r="U211" s="28"/>
      <c r="V211" s="28"/>
      <c r="W211" s="27"/>
      <c r="X211" s="32" t="str">
        <f aca="false">IF(A211="","",IF(OR(C211="Planned",C211="Contacted",C211="Meeting",C211="Proposal sent",C211="Negotiation"),"Yes","No"))</f>
        <v/>
      </c>
      <c r="Y211" s="32" t="str">
        <f aca="false">IF(A211="","",IF(AND(C211="Won",P211&lt;&gt;"",P211&lt;=S_Today+S_RenewalDays,COUNTIFS($A$3:$A$502,A211,$F$3:$F$502,"Yes",$X$3:$X$502,"Yes")=0),"Renewal due",IF(X211&lt;&gt;"Yes","",IF(OR(L211="",M211=""),"Missing next action",IF(M211&lt;S_Today,"Overdue",IF(AND(C211="Contacted",_xlfn.MAXIFS(Interactions!$A$3:$A$502,Interactions!$B$3:$B$502,A211,Interactions!$F$3:$F$502,"Sent by us")&gt;0,_xlfn.MAXIFS(Interactions!$A$3:$A$502,Interactions!$B$3:$B$502,A211,Interactions!$F$3:$F$502,"Sent by us")&lt;=S_Today-S_NoReplyDays,MAX(_xlfn.MAXIFS(Interactions!$A$3:$A$502,Interactions!$B$3:$B$502,A211,Interactions!$F$3:$F$502,"Received from them"),_xlfn.MAXIFS(Interactions!$A$3:$A$502,Interactions!$B$3:$B$502,A211,Interactions!$F$3:$F$502,"Two-way"))&lt;_xlfn.MAXIFS(Interactions!$A$3:$A$502,Interactions!$B$3:$B$502,A211,Interactions!$F$3:$F$502,"Sent by us")),"No reply",IF(M211&lt;=S_Today+7,"Due this week","")))))))</f>
        <v/>
      </c>
      <c r="Z211" s="34" t="str">
        <f aca="false">IF(OR(A211="",Y211=""),"",IF(Y211="Renewal due",100000,IF(Y211="Overdue",200000,IF(Y211="No reply",300000,IF(Y211="Due this week",400000,500000))))+IF(Y211="Renewal due",P211-40000,IF(Y211="Missing next action",0,M211-40000))+ROW()/100000)</f>
        <v/>
      </c>
      <c r="AA211" s="32" t="str">
        <f aca="false">IF(A211="","",_xlfn.TEXTJOIN(", ",TRUE(),IF(AND(X211="Yes",D211=""),"No owner",IF(AND(D211&lt;&gt;"",COUNTIFS(R_TeamName,D211,R_TeamActive,"No")&gt;0),"Needs new owner","")),IF(AND(OR(C211="Proposal sent",C211="Negotiation"),H211="",I211="",K211=""),"Add package or proposed value",""),IF(AND(C211="Won",OR(P211="",V211="")),"Won needs renewal date and closed on",""),IF(AND(C211="Won",G211="Cash",J211=""),"Add agreed value",""),IF(AND(C211="Lost",OR(S211="",V211="")),"Lost needs reason and closed on",""),IF(AND(C211="Nurture",OR(T211="",U211="")),"Nurture needs reason and date","")))</f>
        <v/>
      </c>
      <c r="AB211" s="34" t="str">
        <f aca="false">IF(AND(C211="Won",V211&lt;&gt;"",V211&gt;=S_SemStart,V211&lt;=S_SemEnd),V211+ROW()/100000,"")</f>
        <v/>
      </c>
      <c r="AC211" s="34" t="str">
        <f aca="false">IF(AND(C211="Lost",V211&lt;&gt;"",V211&gt;=S_SemStart,V211&lt;=S_SemEnd),V211+ROW()/100000,"")</f>
        <v/>
      </c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9"/>
      <c r="J212" s="29"/>
      <c r="K212" s="27"/>
      <c r="L212" s="27"/>
      <c r="M212" s="28"/>
      <c r="N212" s="28"/>
      <c r="O212" s="28"/>
      <c r="P212" s="28"/>
      <c r="Q212" s="27"/>
      <c r="R212" s="27"/>
      <c r="S212" s="27"/>
      <c r="T212" s="27"/>
      <c r="U212" s="28"/>
      <c r="V212" s="28"/>
      <c r="W212" s="27"/>
      <c r="X212" s="32" t="str">
        <f aca="false">IF(A212="","",IF(OR(C212="Planned",C212="Contacted",C212="Meeting",C212="Proposal sent",C212="Negotiation"),"Yes","No"))</f>
        <v/>
      </c>
      <c r="Y212" s="32" t="str">
        <f aca="false">IF(A212="","",IF(AND(C212="Won",P212&lt;&gt;"",P212&lt;=S_Today+S_RenewalDays,COUNTIFS($A$3:$A$502,A212,$F$3:$F$502,"Yes",$X$3:$X$502,"Yes")=0),"Renewal due",IF(X212&lt;&gt;"Yes","",IF(OR(L212="",M212=""),"Missing next action",IF(M212&lt;S_Today,"Overdue",IF(AND(C212="Contacted",_xlfn.MAXIFS(Interactions!$A$3:$A$502,Interactions!$B$3:$B$502,A212,Interactions!$F$3:$F$502,"Sent by us")&gt;0,_xlfn.MAXIFS(Interactions!$A$3:$A$502,Interactions!$B$3:$B$502,A212,Interactions!$F$3:$F$502,"Sent by us")&lt;=S_Today-S_NoReplyDays,MAX(_xlfn.MAXIFS(Interactions!$A$3:$A$502,Interactions!$B$3:$B$502,A212,Interactions!$F$3:$F$502,"Received from them"),_xlfn.MAXIFS(Interactions!$A$3:$A$502,Interactions!$B$3:$B$502,A212,Interactions!$F$3:$F$502,"Two-way"))&lt;_xlfn.MAXIFS(Interactions!$A$3:$A$502,Interactions!$B$3:$B$502,A212,Interactions!$F$3:$F$502,"Sent by us")),"No reply",IF(M212&lt;=S_Today+7,"Due this week","")))))))</f>
        <v/>
      </c>
      <c r="Z212" s="34" t="str">
        <f aca="false">IF(OR(A212="",Y212=""),"",IF(Y212="Renewal due",100000,IF(Y212="Overdue",200000,IF(Y212="No reply",300000,IF(Y212="Due this week",400000,500000))))+IF(Y212="Renewal due",P212-40000,IF(Y212="Missing next action",0,M212-40000))+ROW()/100000)</f>
        <v/>
      </c>
      <c r="AA212" s="32" t="str">
        <f aca="false">IF(A212="","",_xlfn.TEXTJOIN(", ",TRUE(),IF(AND(X212="Yes",D212=""),"No owner",IF(AND(D212&lt;&gt;"",COUNTIFS(R_TeamName,D212,R_TeamActive,"No")&gt;0),"Needs new owner","")),IF(AND(OR(C212="Proposal sent",C212="Negotiation"),H212="",I212="",K212=""),"Add package or proposed value",""),IF(AND(C212="Won",OR(P212="",V212="")),"Won needs renewal date and closed on",""),IF(AND(C212="Won",G212="Cash",J212=""),"Add agreed value",""),IF(AND(C212="Lost",OR(S212="",V212="")),"Lost needs reason and closed on",""),IF(AND(C212="Nurture",OR(T212="",U212="")),"Nurture needs reason and date","")))</f>
        <v/>
      </c>
      <c r="AB212" s="34" t="str">
        <f aca="false">IF(AND(C212="Won",V212&lt;&gt;"",V212&gt;=S_SemStart,V212&lt;=S_SemEnd),V212+ROW()/100000,"")</f>
        <v/>
      </c>
      <c r="AC212" s="34" t="str">
        <f aca="false">IF(AND(C212="Lost",V212&lt;&gt;"",V212&gt;=S_SemStart,V212&lt;=S_SemEnd),V212+ROW()/100000,"")</f>
        <v/>
      </c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9"/>
      <c r="J213" s="29"/>
      <c r="K213" s="27"/>
      <c r="L213" s="27"/>
      <c r="M213" s="28"/>
      <c r="N213" s="28"/>
      <c r="O213" s="28"/>
      <c r="P213" s="28"/>
      <c r="Q213" s="27"/>
      <c r="R213" s="27"/>
      <c r="S213" s="27"/>
      <c r="T213" s="27"/>
      <c r="U213" s="28"/>
      <c r="V213" s="28"/>
      <c r="W213" s="27"/>
      <c r="X213" s="32" t="str">
        <f aca="false">IF(A213="","",IF(OR(C213="Planned",C213="Contacted",C213="Meeting",C213="Proposal sent",C213="Negotiation"),"Yes","No"))</f>
        <v/>
      </c>
      <c r="Y213" s="32" t="str">
        <f aca="false">IF(A213="","",IF(AND(C213="Won",P213&lt;&gt;"",P213&lt;=S_Today+S_RenewalDays,COUNTIFS($A$3:$A$502,A213,$F$3:$F$502,"Yes",$X$3:$X$502,"Yes")=0),"Renewal due",IF(X213&lt;&gt;"Yes","",IF(OR(L213="",M213=""),"Missing next action",IF(M213&lt;S_Today,"Overdue",IF(AND(C213="Contacted",_xlfn.MAXIFS(Interactions!$A$3:$A$502,Interactions!$B$3:$B$502,A213,Interactions!$F$3:$F$502,"Sent by us")&gt;0,_xlfn.MAXIFS(Interactions!$A$3:$A$502,Interactions!$B$3:$B$502,A213,Interactions!$F$3:$F$502,"Sent by us")&lt;=S_Today-S_NoReplyDays,MAX(_xlfn.MAXIFS(Interactions!$A$3:$A$502,Interactions!$B$3:$B$502,A213,Interactions!$F$3:$F$502,"Received from them"),_xlfn.MAXIFS(Interactions!$A$3:$A$502,Interactions!$B$3:$B$502,A213,Interactions!$F$3:$F$502,"Two-way"))&lt;_xlfn.MAXIFS(Interactions!$A$3:$A$502,Interactions!$B$3:$B$502,A213,Interactions!$F$3:$F$502,"Sent by us")),"No reply",IF(M213&lt;=S_Today+7,"Due this week","")))))))</f>
        <v/>
      </c>
      <c r="Z213" s="34" t="str">
        <f aca="false">IF(OR(A213="",Y213=""),"",IF(Y213="Renewal due",100000,IF(Y213="Overdue",200000,IF(Y213="No reply",300000,IF(Y213="Due this week",400000,500000))))+IF(Y213="Renewal due",P213-40000,IF(Y213="Missing next action",0,M213-40000))+ROW()/100000)</f>
        <v/>
      </c>
      <c r="AA213" s="32" t="str">
        <f aca="false">IF(A213="","",_xlfn.TEXTJOIN(", ",TRUE(),IF(AND(X213="Yes",D213=""),"No owner",IF(AND(D213&lt;&gt;"",COUNTIFS(R_TeamName,D213,R_TeamActive,"No")&gt;0),"Needs new owner","")),IF(AND(OR(C213="Proposal sent",C213="Negotiation"),H213="",I213="",K213=""),"Add package or proposed value",""),IF(AND(C213="Won",OR(P213="",V213="")),"Won needs renewal date and closed on",""),IF(AND(C213="Won",G213="Cash",J213=""),"Add agreed value",""),IF(AND(C213="Lost",OR(S213="",V213="")),"Lost needs reason and closed on",""),IF(AND(C213="Nurture",OR(T213="",U213="")),"Nurture needs reason and date","")))</f>
        <v/>
      </c>
      <c r="AB213" s="34" t="str">
        <f aca="false">IF(AND(C213="Won",V213&lt;&gt;"",V213&gt;=S_SemStart,V213&lt;=S_SemEnd),V213+ROW()/100000,"")</f>
        <v/>
      </c>
      <c r="AC213" s="34" t="str">
        <f aca="false">IF(AND(C213="Lost",V213&lt;&gt;"",V213&gt;=S_SemStart,V213&lt;=S_SemEnd),V213+ROW()/100000,"")</f>
        <v/>
      </c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9"/>
      <c r="J214" s="29"/>
      <c r="K214" s="27"/>
      <c r="L214" s="27"/>
      <c r="M214" s="28"/>
      <c r="N214" s="28"/>
      <c r="O214" s="28"/>
      <c r="P214" s="28"/>
      <c r="Q214" s="27"/>
      <c r="R214" s="27"/>
      <c r="S214" s="27"/>
      <c r="T214" s="27"/>
      <c r="U214" s="28"/>
      <c r="V214" s="28"/>
      <c r="W214" s="27"/>
      <c r="X214" s="32" t="str">
        <f aca="false">IF(A214="","",IF(OR(C214="Planned",C214="Contacted",C214="Meeting",C214="Proposal sent",C214="Negotiation"),"Yes","No"))</f>
        <v/>
      </c>
      <c r="Y214" s="32" t="str">
        <f aca="false">IF(A214="","",IF(AND(C214="Won",P214&lt;&gt;"",P214&lt;=S_Today+S_RenewalDays,COUNTIFS($A$3:$A$502,A214,$F$3:$F$502,"Yes",$X$3:$X$502,"Yes")=0),"Renewal due",IF(X214&lt;&gt;"Yes","",IF(OR(L214="",M214=""),"Missing next action",IF(M214&lt;S_Today,"Overdue",IF(AND(C214="Contacted",_xlfn.MAXIFS(Interactions!$A$3:$A$502,Interactions!$B$3:$B$502,A214,Interactions!$F$3:$F$502,"Sent by us")&gt;0,_xlfn.MAXIFS(Interactions!$A$3:$A$502,Interactions!$B$3:$B$502,A214,Interactions!$F$3:$F$502,"Sent by us")&lt;=S_Today-S_NoReplyDays,MAX(_xlfn.MAXIFS(Interactions!$A$3:$A$502,Interactions!$B$3:$B$502,A214,Interactions!$F$3:$F$502,"Received from them"),_xlfn.MAXIFS(Interactions!$A$3:$A$502,Interactions!$B$3:$B$502,A214,Interactions!$F$3:$F$502,"Two-way"))&lt;_xlfn.MAXIFS(Interactions!$A$3:$A$502,Interactions!$B$3:$B$502,A214,Interactions!$F$3:$F$502,"Sent by us")),"No reply",IF(M214&lt;=S_Today+7,"Due this week","")))))))</f>
        <v/>
      </c>
      <c r="Z214" s="34" t="str">
        <f aca="false">IF(OR(A214="",Y214=""),"",IF(Y214="Renewal due",100000,IF(Y214="Overdue",200000,IF(Y214="No reply",300000,IF(Y214="Due this week",400000,500000))))+IF(Y214="Renewal due",P214-40000,IF(Y214="Missing next action",0,M214-40000))+ROW()/100000)</f>
        <v/>
      </c>
      <c r="AA214" s="32" t="str">
        <f aca="false">IF(A214="","",_xlfn.TEXTJOIN(", ",TRUE(),IF(AND(X214="Yes",D214=""),"No owner",IF(AND(D214&lt;&gt;"",COUNTIFS(R_TeamName,D214,R_TeamActive,"No")&gt;0),"Needs new owner","")),IF(AND(OR(C214="Proposal sent",C214="Negotiation"),H214="",I214="",K214=""),"Add package or proposed value",""),IF(AND(C214="Won",OR(P214="",V214="")),"Won needs renewal date and closed on",""),IF(AND(C214="Won",G214="Cash",J214=""),"Add agreed value",""),IF(AND(C214="Lost",OR(S214="",V214="")),"Lost needs reason and closed on",""),IF(AND(C214="Nurture",OR(T214="",U214="")),"Nurture needs reason and date","")))</f>
        <v/>
      </c>
      <c r="AB214" s="34" t="str">
        <f aca="false">IF(AND(C214="Won",V214&lt;&gt;"",V214&gt;=S_SemStart,V214&lt;=S_SemEnd),V214+ROW()/100000,"")</f>
        <v/>
      </c>
      <c r="AC214" s="34" t="str">
        <f aca="false">IF(AND(C214="Lost",V214&lt;&gt;"",V214&gt;=S_SemStart,V214&lt;=S_SemEnd),V214+ROW()/100000,"")</f>
        <v/>
      </c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9"/>
      <c r="J215" s="29"/>
      <c r="K215" s="27"/>
      <c r="L215" s="27"/>
      <c r="M215" s="28"/>
      <c r="N215" s="28"/>
      <c r="O215" s="28"/>
      <c r="P215" s="28"/>
      <c r="Q215" s="27"/>
      <c r="R215" s="27"/>
      <c r="S215" s="27"/>
      <c r="T215" s="27"/>
      <c r="U215" s="28"/>
      <c r="V215" s="28"/>
      <c r="W215" s="27"/>
      <c r="X215" s="32" t="str">
        <f aca="false">IF(A215="","",IF(OR(C215="Planned",C215="Contacted",C215="Meeting",C215="Proposal sent",C215="Negotiation"),"Yes","No"))</f>
        <v/>
      </c>
      <c r="Y215" s="32" t="str">
        <f aca="false">IF(A215="","",IF(AND(C215="Won",P215&lt;&gt;"",P215&lt;=S_Today+S_RenewalDays,COUNTIFS($A$3:$A$502,A215,$F$3:$F$502,"Yes",$X$3:$X$502,"Yes")=0),"Renewal due",IF(X215&lt;&gt;"Yes","",IF(OR(L215="",M215=""),"Missing next action",IF(M215&lt;S_Today,"Overdue",IF(AND(C215="Contacted",_xlfn.MAXIFS(Interactions!$A$3:$A$502,Interactions!$B$3:$B$502,A215,Interactions!$F$3:$F$502,"Sent by us")&gt;0,_xlfn.MAXIFS(Interactions!$A$3:$A$502,Interactions!$B$3:$B$502,A215,Interactions!$F$3:$F$502,"Sent by us")&lt;=S_Today-S_NoReplyDays,MAX(_xlfn.MAXIFS(Interactions!$A$3:$A$502,Interactions!$B$3:$B$502,A215,Interactions!$F$3:$F$502,"Received from them"),_xlfn.MAXIFS(Interactions!$A$3:$A$502,Interactions!$B$3:$B$502,A215,Interactions!$F$3:$F$502,"Two-way"))&lt;_xlfn.MAXIFS(Interactions!$A$3:$A$502,Interactions!$B$3:$B$502,A215,Interactions!$F$3:$F$502,"Sent by us")),"No reply",IF(M215&lt;=S_Today+7,"Due this week","")))))))</f>
        <v/>
      </c>
      <c r="Z215" s="34" t="str">
        <f aca="false">IF(OR(A215="",Y215=""),"",IF(Y215="Renewal due",100000,IF(Y215="Overdue",200000,IF(Y215="No reply",300000,IF(Y215="Due this week",400000,500000))))+IF(Y215="Renewal due",P215-40000,IF(Y215="Missing next action",0,M215-40000))+ROW()/100000)</f>
        <v/>
      </c>
      <c r="AA215" s="32" t="str">
        <f aca="false">IF(A215="","",_xlfn.TEXTJOIN(", ",TRUE(),IF(AND(X215="Yes",D215=""),"No owner",IF(AND(D215&lt;&gt;"",COUNTIFS(R_TeamName,D215,R_TeamActive,"No")&gt;0),"Needs new owner","")),IF(AND(OR(C215="Proposal sent",C215="Negotiation"),H215="",I215="",K215=""),"Add package or proposed value",""),IF(AND(C215="Won",OR(P215="",V215="")),"Won needs renewal date and closed on",""),IF(AND(C215="Won",G215="Cash",J215=""),"Add agreed value",""),IF(AND(C215="Lost",OR(S215="",V215="")),"Lost needs reason and closed on",""),IF(AND(C215="Nurture",OR(T215="",U215="")),"Nurture needs reason and date","")))</f>
        <v/>
      </c>
      <c r="AB215" s="34" t="str">
        <f aca="false">IF(AND(C215="Won",V215&lt;&gt;"",V215&gt;=S_SemStart,V215&lt;=S_SemEnd),V215+ROW()/100000,"")</f>
        <v/>
      </c>
      <c r="AC215" s="34" t="str">
        <f aca="false">IF(AND(C215="Lost",V215&lt;&gt;"",V215&gt;=S_SemStart,V215&lt;=S_SemEnd),V215+ROW()/100000,"")</f>
        <v/>
      </c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9"/>
      <c r="J216" s="29"/>
      <c r="K216" s="27"/>
      <c r="L216" s="27"/>
      <c r="M216" s="28"/>
      <c r="N216" s="28"/>
      <c r="O216" s="28"/>
      <c r="P216" s="28"/>
      <c r="Q216" s="27"/>
      <c r="R216" s="27"/>
      <c r="S216" s="27"/>
      <c r="T216" s="27"/>
      <c r="U216" s="28"/>
      <c r="V216" s="28"/>
      <c r="W216" s="27"/>
      <c r="X216" s="32" t="str">
        <f aca="false">IF(A216="","",IF(OR(C216="Planned",C216="Contacted",C216="Meeting",C216="Proposal sent",C216="Negotiation"),"Yes","No"))</f>
        <v/>
      </c>
      <c r="Y216" s="32" t="str">
        <f aca="false">IF(A216="","",IF(AND(C216="Won",P216&lt;&gt;"",P216&lt;=S_Today+S_RenewalDays,COUNTIFS($A$3:$A$502,A216,$F$3:$F$502,"Yes",$X$3:$X$502,"Yes")=0),"Renewal due",IF(X216&lt;&gt;"Yes","",IF(OR(L216="",M216=""),"Missing next action",IF(M216&lt;S_Today,"Overdue",IF(AND(C216="Contacted",_xlfn.MAXIFS(Interactions!$A$3:$A$502,Interactions!$B$3:$B$502,A216,Interactions!$F$3:$F$502,"Sent by us")&gt;0,_xlfn.MAXIFS(Interactions!$A$3:$A$502,Interactions!$B$3:$B$502,A216,Interactions!$F$3:$F$502,"Sent by us")&lt;=S_Today-S_NoReplyDays,MAX(_xlfn.MAXIFS(Interactions!$A$3:$A$502,Interactions!$B$3:$B$502,A216,Interactions!$F$3:$F$502,"Received from them"),_xlfn.MAXIFS(Interactions!$A$3:$A$502,Interactions!$B$3:$B$502,A216,Interactions!$F$3:$F$502,"Two-way"))&lt;_xlfn.MAXIFS(Interactions!$A$3:$A$502,Interactions!$B$3:$B$502,A216,Interactions!$F$3:$F$502,"Sent by us")),"No reply",IF(M216&lt;=S_Today+7,"Due this week","")))))))</f>
        <v/>
      </c>
      <c r="Z216" s="34" t="str">
        <f aca="false">IF(OR(A216="",Y216=""),"",IF(Y216="Renewal due",100000,IF(Y216="Overdue",200000,IF(Y216="No reply",300000,IF(Y216="Due this week",400000,500000))))+IF(Y216="Renewal due",P216-40000,IF(Y216="Missing next action",0,M216-40000))+ROW()/100000)</f>
        <v/>
      </c>
      <c r="AA216" s="32" t="str">
        <f aca="false">IF(A216="","",_xlfn.TEXTJOIN(", ",TRUE(),IF(AND(X216="Yes",D216=""),"No owner",IF(AND(D216&lt;&gt;"",COUNTIFS(R_TeamName,D216,R_TeamActive,"No")&gt;0),"Needs new owner","")),IF(AND(OR(C216="Proposal sent",C216="Negotiation"),H216="",I216="",K216=""),"Add package or proposed value",""),IF(AND(C216="Won",OR(P216="",V216="")),"Won needs renewal date and closed on",""),IF(AND(C216="Won",G216="Cash",J216=""),"Add agreed value",""),IF(AND(C216="Lost",OR(S216="",V216="")),"Lost needs reason and closed on",""),IF(AND(C216="Nurture",OR(T216="",U216="")),"Nurture needs reason and date","")))</f>
        <v/>
      </c>
      <c r="AB216" s="34" t="str">
        <f aca="false">IF(AND(C216="Won",V216&lt;&gt;"",V216&gt;=S_SemStart,V216&lt;=S_SemEnd),V216+ROW()/100000,"")</f>
        <v/>
      </c>
      <c r="AC216" s="34" t="str">
        <f aca="false">IF(AND(C216="Lost",V216&lt;&gt;"",V216&gt;=S_SemStart,V216&lt;=S_SemEnd),V216+ROW()/100000,"")</f>
        <v/>
      </c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9"/>
      <c r="J217" s="29"/>
      <c r="K217" s="27"/>
      <c r="L217" s="27"/>
      <c r="M217" s="28"/>
      <c r="N217" s="28"/>
      <c r="O217" s="28"/>
      <c r="P217" s="28"/>
      <c r="Q217" s="27"/>
      <c r="R217" s="27"/>
      <c r="S217" s="27"/>
      <c r="T217" s="27"/>
      <c r="U217" s="28"/>
      <c r="V217" s="28"/>
      <c r="W217" s="27"/>
      <c r="X217" s="32" t="str">
        <f aca="false">IF(A217="","",IF(OR(C217="Planned",C217="Contacted",C217="Meeting",C217="Proposal sent",C217="Negotiation"),"Yes","No"))</f>
        <v/>
      </c>
      <c r="Y217" s="32" t="str">
        <f aca="false">IF(A217="","",IF(AND(C217="Won",P217&lt;&gt;"",P217&lt;=S_Today+S_RenewalDays,COUNTIFS($A$3:$A$502,A217,$F$3:$F$502,"Yes",$X$3:$X$502,"Yes")=0),"Renewal due",IF(X217&lt;&gt;"Yes","",IF(OR(L217="",M217=""),"Missing next action",IF(M217&lt;S_Today,"Overdue",IF(AND(C217="Contacted",_xlfn.MAXIFS(Interactions!$A$3:$A$502,Interactions!$B$3:$B$502,A217,Interactions!$F$3:$F$502,"Sent by us")&gt;0,_xlfn.MAXIFS(Interactions!$A$3:$A$502,Interactions!$B$3:$B$502,A217,Interactions!$F$3:$F$502,"Sent by us")&lt;=S_Today-S_NoReplyDays,MAX(_xlfn.MAXIFS(Interactions!$A$3:$A$502,Interactions!$B$3:$B$502,A217,Interactions!$F$3:$F$502,"Received from them"),_xlfn.MAXIFS(Interactions!$A$3:$A$502,Interactions!$B$3:$B$502,A217,Interactions!$F$3:$F$502,"Two-way"))&lt;_xlfn.MAXIFS(Interactions!$A$3:$A$502,Interactions!$B$3:$B$502,A217,Interactions!$F$3:$F$502,"Sent by us")),"No reply",IF(M217&lt;=S_Today+7,"Due this week","")))))))</f>
        <v/>
      </c>
      <c r="Z217" s="34" t="str">
        <f aca="false">IF(OR(A217="",Y217=""),"",IF(Y217="Renewal due",100000,IF(Y217="Overdue",200000,IF(Y217="No reply",300000,IF(Y217="Due this week",400000,500000))))+IF(Y217="Renewal due",P217-40000,IF(Y217="Missing next action",0,M217-40000))+ROW()/100000)</f>
        <v/>
      </c>
      <c r="AA217" s="32" t="str">
        <f aca="false">IF(A217="","",_xlfn.TEXTJOIN(", ",TRUE(),IF(AND(X217="Yes",D217=""),"No owner",IF(AND(D217&lt;&gt;"",COUNTIFS(R_TeamName,D217,R_TeamActive,"No")&gt;0),"Needs new owner","")),IF(AND(OR(C217="Proposal sent",C217="Negotiation"),H217="",I217="",K217=""),"Add package or proposed value",""),IF(AND(C217="Won",OR(P217="",V217="")),"Won needs renewal date and closed on",""),IF(AND(C217="Won",G217="Cash",J217=""),"Add agreed value",""),IF(AND(C217="Lost",OR(S217="",V217="")),"Lost needs reason and closed on",""),IF(AND(C217="Nurture",OR(T217="",U217="")),"Nurture needs reason and date","")))</f>
        <v/>
      </c>
      <c r="AB217" s="34" t="str">
        <f aca="false">IF(AND(C217="Won",V217&lt;&gt;"",V217&gt;=S_SemStart,V217&lt;=S_SemEnd),V217+ROW()/100000,"")</f>
        <v/>
      </c>
      <c r="AC217" s="34" t="str">
        <f aca="false">IF(AND(C217="Lost",V217&lt;&gt;"",V217&gt;=S_SemStart,V217&lt;=S_SemEnd),V217+ROW()/100000,"")</f>
        <v/>
      </c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9"/>
      <c r="J218" s="29"/>
      <c r="K218" s="27"/>
      <c r="L218" s="27"/>
      <c r="M218" s="28"/>
      <c r="N218" s="28"/>
      <c r="O218" s="28"/>
      <c r="P218" s="28"/>
      <c r="Q218" s="27"/>
      <c r="R218" s="27"/>
      <c r="S218" s="27"/>
      <c r="T218" s="27"/>
      <c r="U218" s="28"/>
      <c r="V218" s="28"/>
      <c r="W218" s="27"/>
      <c r="X218" s="32" t="str">
        <f aca="false">IF(A218="","",IF(OR(C218="Planned",C218="Contacted",C218="Meeting",C218="Proposal sent",C218="Negotiation"),"Yes","No"))</f>
        <v/>
      </c>
      <c r="Y218" s="32" t="str">
        <f aca="false">IF(A218="","",IF(AND(C218="Won",P218&lt;&gt;"",P218&lt;=S_Today+S_RenewalDays,COUNTIFS($A$3:$A$502,A218,$F$3:$F$502,"Yes",$X$3:$X$502,"Yes")=0),"Renewal due",IF(X218&lt;&gt;"Yes","",IF(OR(L218="",M218=""),"Missing next action",IF(M218&lt;S_Today,"Overdue",IF(AND(C218="Contacted",_xlfn.MAXIFS(Interactions!$A$3:$A$502,Interactions!$B$3:$B$502,A218,Interactions!$F$3:$F$502,"Sent by us")&gt;0,_xlfn.MAXIFS(Interactions!$A$3:$A$502,Interactions!$B$3:$B$502,A218,Interactions!$F$3:$F$502,"Sent by us")&lt;=S_Today-S_NoReplyDays,MAX(_xlfn.MAXIFS(Interactions!$A$3:$A$502,Interactions!$B$3:$B$502,A218,Interactions!$F$3:$F$502,"Received from them"),_xlfn.MAXIFS(Interactions!$A$3:$A$502,Interactions!$B$3:$B$502,A218,Interactions!$F$3:$F$502,"Two-way"))&lt;_xlfn.MAXIFS(Interactions!$A$3:$A$502,Interactions!$B$3:$B$502,A218,Interactions!$F$3:$F$502,"Sent by us")),"No reply",IF(M218&lt;=S_Today+7,"Due this week","")))))))</f>
        <v/>
      </c>
      <c r="Z218" s="34" t="str">
        <f aca="false">IF(OR(A218="",Y218=""),"",IF(Y218="Renewal due",100000,IF(Y218="Overdue",200000,IF(Y218="No reply",300000,IF(Y218="Due this week",400000,500000))))+IF(Y218="Renewal due",P218-40000,IF(Y218="Missing next action",0,M218-40000))+ROW()/100000)</f>
        <v/>
      </c>
      <c r="AA218" s="32" t="str">
        <f aca="false">IF(A218="","",_xlfn.TEXTJOIN(", ",TRUE(),IF(AND(X218="Yes",D218=""),"No owner",IF(AND(D218&lt;&gt;"",COUNTIFS(R_TeamName,D218,R_TeamActive,"No")&gt;0),"Needs new owner","")),IF(AND(OR(C218="Proposal sent",C218="Negotiation"),H218="",I218="",K218=""),"Add package or proposed value",""),IF(AND(C218="Won",OR(P218="",V218="")),"Won needs renewal date and closed on",""),IF(AND(C218="Won",G218="Cash",J218=""),"Add agreed value",""),IF(AND(C218="Lost",OR(S218="",V218="")),"Lost needs reason and closed on",""),IF(AND(C218="Nurture",OR(T218="",U218="")),"Nurture needs reason and date","")))</f>
        <v/>
      </c>
      <c r="AB218" s="34" t="str">
        <f aca="false">IF(AND(C218="Won",V218&lt;&gt;"",V218&gt;=S_SemStart,V218&lt;=S_SemEnd),V218+ROW()/100000,"")</f>
        <v/>
      </c>
      <c r="AC218" s="34" t="str">
        <f aca="false">IF(AND(C218="Lost",V218&lt;&gt;"",V218&gt;=S_SemStart,V218&lt;=S_SemEnd),V218+ROW()/100000,"")</f>
        <v/>
      </c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9"/>
      <c r="J219" s="29"/>
      <c r="K219" s="27"/>
      <c r="L219" s="27"/>
      <c r="M219" s="28"/>
      <c r="N219" s="28"/>
      <c r="O219" s="28"/>
      <c r="P219" s="28"/>
      <c r="Q219" s="27"/>
      <c r="R219" s="27"/>
      <c r="S219" s="27"/>
      <c r="T219" s="27"/>
      <c r="U219" s="28"/>
      <c r="V219" s="28"/>
      <c r="W219" s="27"/>
      <c r="X219" s="32" t="str">
        <f aca="false">IF(A219="","",IF(OR(C219="Planned",C219="Contacted",C219="Meeting",C219="Proposal sent",C219="Negotiation"),"Yes","No"))</f>
        <v/>
      </c>
      <c r="Y219" s="32" t="str">
        <f aca="false">IF(A219="","",IF(AND(C219="Won",P219&lt;&gt;"",P219&lt;=S_Today+S_RenewalDays,COUNTIFS($A$3:$A$502,A219,$F$3:$F$502,"Yes",$X$3:$X$502,"Yes")=0),"Renewal due",IF(X219&lt;&gt;"Yes","",IF(OR(L219="",M219=""),"Missing next action",IF(M219&lt;S_Today,"Overdue",IF(AND(C219="Contacted",_xlfn.MAXIFS(Interactions!$A$3:$A$502,Interactions!$B$3:$B$502,A219,Interactions!$F$3:$F$502,"Sent by us")&gt;0,_xlfn.MAXIFS(Interactions!$A$3:$A$502,Interactions!$B$3:$B$502,A219,Interactions!$F$3:$F$502,"Sent by us")&lt;=S_Today-S_NoReplyDays,MAX(_xlfn.MAXIFS(Interactions!$A$3:$A$502,Interactions!$B$3:$B$502,A219,Interactions!$F$3:$F$502,"Received from them"),_xlfn.MAXIFS(Interactions!$A$3:$A$502,Interactions!$B$3:$B$502,A219,Interactions!$F$3:$F$502,"Two-way"))&lt;_xlfn.MAXIFS(Interactions!$A$3:$A$502,Interactions!$B$3:$B$502,A219,Interactions!$F$3:$F$502,"Sent by us")),"No reply",IF(M219&lt;=S_Today+7,"Due this week","")))))))</f>
        <v/>
      </c>
      <c r="Z219" s="34" t="str">
        <f aca="false">IF(OR(A219="",Y219=""),"",IF(Y219="Renewal due",100000,IF(Y219="Overdue",200000,IF(Y219="No reply",300000,IF(Y219="Due this week",400000,500000))))+IF(Y219="Renewal due",P219-40000,IF(Y219="Missing next action",0,M219-40000))+ROW()/100000)</f>
        <v/>
      </c>
      <c r="AA219" s="32" t="str">
        <f aca="false">IF(A219="","",_xlfn.TEXTJOIN(", ",TRUE(),IF(AND(X219="Yes",D219=""),"No owner",IF(AND(D219&lt;&gt;"",COUNTIFS(R_TeamName,D219,R_TeamActive,"No")&gt;0),"Needs new owner","")),IF(AND(OR(C219="Proposal sent",C219="Negotiation"),H219="",I219="",K219=""),"Add package or proposed value",""),IF(AND(C219="Won",OR(P219="",V219="")),"Won needs renewal date and closed on",""),IF(AND(C219="Won",G219="Cash",J219=""),"Add agreed value",""),IF(AND(C219="Lost",OR(S219="",V219="")),"Lost needs reason and closed on",""),IF(AND(C219="Nurture",OR(T219="",U219="")),"Nurture needs reason and date","")))</f>
        <v/>
      </c>
      <c r="AB219" s="34" t="str">
        <f aca="false">IF(AND(C219="Won",V219&lt;&gt;"",V219&gt;=S_SemStart,V219&lt;=S_SemEnd),V219+ROW()/100000,"")</f>
        <v/>
      </c>
      <c r="AC219" s="34" t="str">
        <f aca="false">IF(AND(C219="Lost",V219&lt;&gt;"",V219&gt;=S_SemStart,V219&lt;=S_SemEnd),V219+ROW()/100000,"")</f>
        <v/>
      </c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9"/>
      <c r="J220" s="29"/>
      <c r="K220" s="27"/>
      <c r="L220" s="27"/>
      <c r="M220" s="28"/>
      <c r="N220" s="28"/>
      <c r="O220" s="28"/>
      <c r="P220" s="28"/>
      <c r="Q220" s="27"/>
      <c r="R220" s="27"/>
      <c r="S220" s="27"/>
      <c r="T220" s="27"/>
      <c r="U220" s="28"/>
      <c r="V220" s="28"/>
      <c r="W220" s="27"/>
      <c r="X220" s="32" t="str">
        <f aca="false">IF(A220="","",IF(OR(C220="Planned",C220="Contacted",C220="Meeting",C220="Proposal sent",C220="Negotiation"),"Yes","No"))</f>
        <v/>
      </c>
      <c r="Y220" s="32" t="str">
        <f aca="false">IF(A220="","",IF(AND(C220="Won",P220&lt;&gt;"",P220&lt;=S_Today+S_RenewalDays,COUNTIFS($A$3:$A$502,A220,$F$3:$F$502,"Yes",$X$3:$X$502,"Yes")=0),"Renewal due",IF(X220&lt;&gt;"Yes","",IF(OR(L220="",M220=""),"Missing next action",IF(M220&lt;S_Today,"Overdue",IF(AND(C220="Contacted",_xlfn.MAXIFS(Interactions!$A$3:$A$502,Interactions!$B$3:$B$502,A220,Interactions!$F$3:$F$502,"Sent by us")&gt;0,_xlfn.MAXIFS(Interactions!$A$3:$A$502,Interactions!$B$3:$B$502,A220,Interactions!$F$3:$F$502,"Sent by us")&lt;=S_Today-S_NoReplyDays,MAX(_xlfn.MAXIFS(Interactions!$A$3:$A$502,Interactions!$B$3:$B$502,A220,Interactions!$F$3:$F$502,"Received from them"),_xlfn.MAXIFS(Interactions!$A$3:$A$502,Interactions!$B$3:$B$502,A220,Interactions!$F$3:$F$502,"Two-way"))&lt;_xlfn.MAXIFS(Interactions!$A$3:$A$502,Interactions!$B$3:$B$502,A220,Interactions!$F$3:$F$502,"Sent by us")),"No reply",IF(M220&lt;=S_Today+7,"Due this week","")))))))</f>
        <v/>
      </c>
      <c r="Z220" s="34" t="str">
        <f aca="false">IF(OR(A220="",Y220=""),"",IF(Y220="Renewal due",100000,IF(Y220="Overdue",200000,IF(Y220="No reply",300000,IF(Y220="Due this week",400000,500000))))+IF(Y220="Renewal due",P220-40000,IF(Y220="Missing next action",0,M220-40000))+ROW()/100000)</f>
        <v/>
      </c>
      <c r="AA220" s="32" t="str">
        <f aca="false">IF(A220="","",_xlfn.TEXTJOIN(", ",TRUE(),IF(AND(X220="Yes",D220=""),"No owner",IF(AND(D220&lt;&gt;"",COUNTIFS(R_TeamName,D220,R_TeamActive,"No")&gt;0),"Needs new owner","")),IF(AND(OR(C220="Proposal sent",C220="Negotiation"),H220="",I220="",K220=""),"Add package or proposed value",""),IF(AND(C220="Won",OR(P220="",V220="")),"Won needs renewal date and closed on",""),IF(AND(C220="Won",G220="Cash",J220=""),"Add agreed value",""),IF(AND(C220="Lost",OR(S220="",V220="")),"Lost needs reason and closed on",""),IF(AND(C220="Nurture",OR(T220="",U220="")),"Nurture needs reason and date","")))</f>
        <v/>
      </c>
      <c r="AB220" s="34" t="str">
        <f aca="false">IF(AND(C220="Won",V220&lt;&gt;"",V220&gt;=S_SemStart,V220&lt;=S_SemEnd),V220+ROW()/100000,"")</f>
        <v/>
      </c>
      <c r="AC220" s="34" t="str">
        <f aca="false">IF(AND(C220="Lost",V220&lt;&gt;"",V220&gt;=S_SemStart,V220&lt;=S_SemEnd),V220+ROW()/100000,"")</f>
        <v/>
      </c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9"/>
      <c r="J221" s="29"/>
      <c r="K221" s="27"/>
      <c r="L221" s="27"/>
      <c r="M221" s="28"/>
      <c r="N221" s="28"/>
      <c r="O221" s="28"/>
      <c r="P221" s="28"/>
      <c r="Q221" s="27"/>
      <c r="R221" s="27"/>
      <c r="S221" s="27"/>
      <c r="T221" s="27"/>
      <c r="U221" s="28"/>
      <c r="V221" s="28"/>
      <c r="W221" s="27"/>
      <c r="X221" s="32" t="str">
        <f aca="false">IF(A221="","",IF(OR(C221="Planned",C221="Contacted",C221="Meeting",C221="Proposal sent",C221="Negotiation"),"Yes","No"))</f>
        <v/>
      </c>
      <c r="Y221" s="32" t="str">
        <f aca="false">IF(A221="","",IF(AND(C221="Won",P221&lt;&gt;"",P221&lt;=S_Today+S_RenewalDays,COUNTIFS($A$3:$A$502,A221,$F$3:$F$502,"Yes",$X$3:$X$502,"Yes")=0),"Renewal due",IF(X221&lt;&gt;"Yes","",IF(OR(L221="",M221=""),"Missing next action",IF(M221&lt;S_Today,"Overdue",IF(AND(C221="Contacted",_xlfn.MAXIFS(Interactions!$A$3:$A$502,Interactions!$B$3:$B$502,A221,Interactions!$F$3:$F$502,"Sent by us")&gt;0,_xlfn.MAXIFS(Interactions!$A$3:$A$502,Interactions!$B$3:$B$502,A221,Interactions!$F$3:$F$502,"Sent by us")&lt;=S_Today-S_NoReplyDays,MAX(_xlfn.MAXIFS(Interactions!$A$3:$A$502,Interactions!$B$3:$B$502,A221,Interactions!$F$3:$F$502,"Received from them"),_xlfn.MAXIFS(Interactions!$A$3:$A$502,Interactions!$B$3:$B$502,A221,Interactions!$F$3:$F$502,"Two-way"))&lt;_xlfn.MAXIFS(Interactions!$A$3:$A$502,Interactions!$B$3:$B$502,A221,Interactions!$F$3:$F$502,"Sent by us")),"No reply",IF(M221&lt;=S_Today+7,"Due this week","")))))))</f>
        <v/>
      </c>
      <c r="Z221" s="34" t="str">
        <f aca="false">IF(OR(A221="",Y221=""),"",IF(Y221="Renewal due",100000,IF(Y221="Overdue",200000,IF(Y221="No reply",300000,IF(Y221="Due this week",400000,500000))))+IF(Y221="Renewal due",P221-40000,IF(Y221="Missing next action",0,M221-40000))+ROW()/100000)</f>
        <v/>
      </c>
      <c r="AA221" s="32" t="str">
        <f aca="false">IF(A221="","",_xlfn.TEXTJOIN(", ",TRUE(),IF(AND(X221="Yes",D221=""),"No owner",IF(AND(D221&lt;&gt;"",COUNTIFS(R_TeamName,D221,R_TeamActive,"No")&gt;0),"Needs new owner","")),IF(AND(OR(C221="Proposal sent",C221="Negotiation"),H221="",I221="",K221=""),"Add package or proposed value",""),IF(AND(C221="Won",OR(P221="",V221="")),"Won needs renewal date and closed on",""),IF(AND(C221="Won",G221="Cash",J221=""),"Add agreed value",""),IF(AND(C221="Lost",OR(S221="",V221="")),"Lost needs reason and closed on",""),IF(AND(C221="Nurture",OR(T221="",U221="")),"Nurture needs reason and date","")))</f>
        <v/>
      </c>
      <c r="AB221" s="34" t="str">
        <f aca="false">IF(AND(C221="Won",V221&lt;&gt;"",V221&gt;=S_SemStart,V221&lt;=S_SemEnd),V221+ROW()/100000,"")</f>
        <v/>
      </c>
      <c r="AC221" s="34" t="str">
        <f aca="false">IF(AND(C221="Lost",V221&lt;&gt;"",V221&gt;=S_SemStart,V221&lt;=S_SemEnd),V221+ROW()/100000,"")</f>
        <v/>
      </c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9"/>
      <c r="J222" s="29"/>
      <c r="K222" s="27"/>
      <c r="L222" s="27"/>
      <c r="M222" s="28"/>
      <c r="N222" s="28"/>
      <c r="O222" s="28"/>
      <c r="P222" s="28"/>
      <c r="Q222" s="27"/>
      <c r="R222" s="27"/>
      <c r="S222" s="27"/>
      <c r="T222" s="27"/>
      <c r="U222" s="28"/>
      <c r="V222" s="28"/>
      <c r="W222" s="27"/>
      <c r="X222" s="32" t="str">
        <f aca="false">IF(A222="","",IF(OR(C222="Planned",C222="Contacted",C222="Meeting",C222="Proposal sent",C222="Negotiation"),"Yes","No"))</f>
        <v/>
      </c>
      <c r="Y222" s="32" t="str">
        <f aca="false">IF(A222="","",IF(AND(C222="Won",P222&lt;&gt;"",P222&lt;=S_Today+S_RenewalDays,COUNTIFS($A$3:$A$502,A222,$F$3:$F$502,"Yes",$X$3:$X$502,"Yes")=0),"Renewal due",IF(X222&lt;&gt;"Yes","",IF(OR(L222="",M222=""),"Missing next action",IF(M222&lt;S_Today,"Overdue",IF(AND(C222="Contacted",_xlfn.MAXIFS(Interactions!$A$3:$A$502,Interactions!$B$3:$B$502,A222,Interactions!$F$3:$F$502,"Sent by us")&gt;0,_xlfn.MAXIFS(Interactions!$A$3:$A$502,Interactions!$B$3:$B$502,A222,Interactions!$F$3:$F$502,"Sent by us")&lt;=S_Today-S_NoReplyDays,MAX(_xlfn.MAXIFS(Interactions!$A$3:$A$502,Interactions!$B$3:$B$502,A222,Interactions!$F$3:$F$502,"Received from them"),_xlfn.MAXIFS(Interactions!$A$3:$A$502,Interactions!$B$3:$B$502,A222,Interactions!$F$3:$F$502,"Two-way"))&lt;_xlfn.MAXIFS(Interactions!$A$3:$A$502,Interactions!$B$3:$B$502,A222,Interactions!$F$3:$F$502,"Sent by us")),"No reply",IF(M222&lt;=S_Today+7,"Due this week","")))))))</f>
        <v/>
      </c>
      <c r="Z222" s="34" t="str">
        <f aca="false">IF(OR(A222="",Y222=""),"",IF(Y222="Renewal due",100000,IF(Y222="Overdue",200000,IF(Y222="No reply",300000,IF(Y222="Due this week",400000,500000))))+IF(Y222="Renewal due",P222-40000,IF(Y222="Missing next action",0,M222-40000))+ROW()/100000)</f>
        <v/>
      </c>
      <c r="AA222" s="32" t="str">
        <f aca="false">IF(A222="","",_xlfn.TEXTJOIN(", ",TRUE(),IF(AND(X222="Yes",D222=""),"No owner",IF(AND(D222&lt;&gt;"",COUNTIFS(R_TeamName,D222,R_TeamActive,"No")&gt;0),"Needs new owner","")),IF(AND(OR(C222="Proposal sent",C222="Negotiation"),H222="",I222="",K222=""),"Add package or proposed value",""),IF(AND(C222="Won",OR(P222="",V222="")),"Won needs renewal date and closed on",""),IF(AND(C222="Won",G222="Cash",J222=""),"Add agreed value",""),IF(AND(C222="Lost",OR(S222="",V222="")),"Lost needs reason and closed on",""),IF(AND(C222="Nurture",OR(T222="",U222="")),"Nurture needs reason and date","")))</f>
        <v/>
      </c>
      <c r="AB222" s="34" t="str">
        <f aca="false">IF(AND(C222="Won",V222&lt;&gt;"",V222&gt;=S_SemStart,V222&lt;=S_SemEnd),V222+ROW()/100000,"")</f>
        <v/>
      </c>
      <c r="AC222" s="34" t="str">
        <f aca="false">IF(AND(C222="Lost",V222&lt;&gt;"",V222&gt;=S_SemStart,V222&lt;=S_SemEnd),V222+ROW()/100000,"")</f>
        <v/>
      </c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9"/>
      <c r="J223" s="29"/>
      <c r="K223" s="27"/>
      <c r="L223" s="27"/>
      <c r="M223" s="28"/>
      <c r="N223" s="28"/>
      <c r="O223" s="28"/>
      <c r="P223" s="28"/>
      <c r="Q223" s="27"/>
      <c r="R223" s="27"/>
      <c r="S223" s="27"/>
      <c r="T223" s="27"/>
      <c r="U223" s="28"/>
      <c r="V223" s="28"/>
      <c r="W223" s="27"/>
      <c r="X223" s="32" t="str">
        <f aca="false">IF(A223="","",IF(OR(C223="Planned",C223="Contacted",C223="Meeting",C223="Proposal sent",C223="Negotiation"),"Yes","No"))</f>
        <v/>
      </c>
      <c r="Y223" s="32" t="str">
        <f aca="false">IF(A223="","",IF(AND(C223="Won",P223&lt;&gt;"",P223&lt;=S_Today+S_RenewalDays,COUNTIFS($A$3:$A$502,A223,$F$3:$F$502,"Yes",$X$3:$X$502,"Yes")=0),"Renewal due",IF(X223&lt;&gt;"Yes","",IF(OR(L223="",M223=""),"Missing next action",IF(M223&lt;S_Today,"Overdue",IF(AND(C223="Contacted",_xlfn.MAXIFS(Interactions!$A$3:$A$502,Interactions!$B$3:$B$502,A223,Interactions!$F$3:$F$502,"Sent by us")&gt;0,_xlfn.MAXIFS(Interactions!$A$3:$A$502,Interactions!$B$3:$B$502,A223,Interactions!$F$3:$F$502,"Sent by us")&lt;=S_Today-S_NoReplyDays,MAX(_xlfn.MAXIFS(Interactions!$A$3:$A$502,Interactions!$B$3:$B$502,A223,Interactions!$F$3:$F$502,"Received from them"),_xlfn.MAXIFS(Interactions!$A$3:$A$502,Interactions!$B$3:$B$502,A223,Interactions!$F$3:$F$502,"Two-way"))&lt;_xlfn.MAXIFS(Interactions!$A$3:$A$502,Interactions!$B$3:$B$502,A223,Interactions!$F$3:$F$502,"Sent by us")),"No reply",IF(M223&lt;=S_Today+7,"Due this week","")))))))</f>
        <v/>
      </c>
      <c r="Z223" s="34" t="str">
        <f aca="false">IF(OR(A223="",Y223=""),"",IF(Y223="Renewal due",100000,IF(Y223="Overdue",200000,IF(Y223="No reply",300000,IF(Y223="Due this week",400000,500000))))+IF(Y223="Renewal due",P223-40000,IF(Y223="Missing next action",0,M223-40000))+ROW()/100000)</f>
        <v/>
      </c>
      <c r="AA223" s="32" t="str">
        <f aca="false">IF(A223="","",_xlfn.TEXTJOIN(", ",TRUE(),IF(AND(X223="Yes",D223=""),"No owner",IF(AND(D223&lt;&gt;"",COUNTIFS(R_TeamName,D223,R_TeamActive,"No")&gt;0),"Needs new owner","")),IF(AND(OR(C223="Proposal sent",C223="Negotiation"),H223="",I223="",K223=""),"Add package or proposed value",""),IF(AND(C223="Won",OR(P223="",V223="")),"Won needs renewal date and closed on",""),IF(AND(C223="Won",G223="Cash",J223=""),"Add agreed value",""),IF(AND(C223="Lost",OR(S223="",V223="")),"Lost needs reason and closed on",""),IF(AND(C223="Nurture",OR(T223="",U223="")),"Nurture needs reason and date","")))</f>
        <v/>
      </c>
      <c r="AB223" s="34" t="str">
        <f aca="false">IF(AND(C223="Won",V223&lt;&gt;"",V223&gt;=S_SemStart,V223&lt;=S_SemEnd),V223+ROW()/100000,"")</f>
        <v/>
      </c>
      <c r="AC223" s="34" t="str">
        <f aca="false">IF(AND(C223="Lost",V223&lt;&gt;"",V223&gt;=S_SemStart,V223&lt;=S_SemEnd),V223+ROW()/100000,"")</f>
        <v/>
      </c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9"/>
      <c r="J224" s="29"/>
      <c r="K224" s="27"/>
      <c r="L224" s="27"/>
      <c r="M224" s="28"/>
      <c r="N224" s="28"/>
      <c r="O224" s="28"/>
      <c r="P224" s="28"/>
      <c r="Q224" s="27"/>
      <c r="R224" s="27"/>
      <c r="S224" s="27"/>
      <c r="T224" s="27"/>
      <c r="U224" s="28"/>
      <c r="V224" s="28"/>
      <c r="W224" s="27"/>
      <c r="X224" s="32" t="str">
        <f aca="false">IF(A224="","",IF(OR(C224="Planned",C224="Contacted",C224="Meeting",C224="Proposal sent",C224="Negotiation"),"Yes","No"))</f>
        <v/>
      </c>
      <c r="Y224" s="32" t="str">
        <f aca="false">IF(A224="","",IF(AND(C224="Won",P224&lt;&gt;"",P224&lt;=S_Today+S_RenewalDays,COUNTIFS($A$3:$A$502,A224,$F$3:$F$502,"Yes",$X$3:$X$502,"Yes")=0),"Renewal due",IF(X224&lt;&gt;"Yes","",IF(OR(L224="",M224=""),"Missing next action",IF(M224&lt;S_Today,"Overdue",IF(AND(C224="Contacted",_xlfn.MAXIFS(Interactions!$A$3:$A$502,Interactions!$B$3:$B$502,A224,Interactions!$F$3:$F$502,"Sent by us")&gt;0,_xlfn.MAXIFS(Interactions!$A$3:$A$502,Interactions!$B$3:$B$502,A224,Interactions!$F$3:$F$502,"Sent by us")&lt;=S_Today-S_NoReplyDays,MAX(_xlfn.MAXIFS(Interactions!$A$3:$A$502,Interactions!$B$3:$B$502,A224,Interactions!$F$3:$F$502,"Received from them"),_xlfn.MAXIFS(Interactions!$A$3:$A$502,Interactions!$B$3:$B$502,A224,Interactions!$F$3:$F$502,"Two-way"))&lt;_xlfn.MAXIFS(Interactions!$A$3:$A$502,Interactions!$B$3:$B$502,A224,Interactions!$F$3:$F$502,"Sent by us")),"No reply",IF(M224&lt;=S_Today+7,"Due this week","")))))))</f>
        <v/>
      </c>
      <c r="Z224" s="34" t="str">
        <f aca="false">IF(OR(A224="",Y224=""),"",IF(Y224="Renewal due",100000,IF(Y224="Overdue",200000,IF(Y224="No reply",300000,IF(Y224="Due this week",400000,500000))))+IF(Y224="Renewal due",P224-40000,IF(Y224="Missing next action",0,M224-40000))+ROW()/100000)</f>
        <v/>
      </c>
      <c r="AA224" s="32" t="str">
        <f aca="false">IF(A224="","",_xlfn.TEXTJOIN(", ",TRUE(),IF(AND(X224="Yes",D224=""),"No owner",IF(AND(D224&lt;&gt;"",COUNTIFS(R_TeamName,D224,R_TeamActive,"No")&gt;0),"Needs new owner","")),IF(AND(OR(C224="Proposal sent",C224="Negotiation"),H224="",I224="",K224=""),"Add package or proposed value",""),IF(AND(C224="Won",OR(P224="",V224="")),"Won needs renewal date and closed on",""),IF(AND(C224="Won",G224="Cash",J224=""),"Add agreed value",""),IF(AND(C224="Lost",OR(S224="",V224="")),"Lost needs reason and closed on",""),IF(AND(C224="Nurture",OR(T224="",U224="")),"Nurture needs reason and date","")))</f>
        <v/>
      </c>
      <c r="AB224" s="34" t="str">
        <f aca="false">IF(AND(C224="Won",V224&lt;&gt;"",V224&gt;=S_SemStart,V224&lt;=S_SemEnd),V224+ROW()/100000,"")</f>
        <v/>
      </c>
      <c r="AC224" s="34" t="str">
        <f aca="false">IF(AND(C224="Lost",V224&lt;&gt;"",V224&gt;=S_SemStart,V224&lt;=S_SemEnd),V224+ROW()/100000,"")</f>
        <v/>
      </c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9"/>
      <c r="J225" s="29"/>
      <c r="K225" s="27"/>
      <c r="L225" s="27"/>
      <c r="M225" s="28"/>
      <c r="N225" s="28"/>
      <c r="O225" s="28"/>
      <c r="P225" s="28"/>
      <c r="Q225" s="27"/>
      <c r="R225" s="27"/>
      <c r="S225" s="27"/>
      <c r="T225" s="27"/>
      <c r="U225" s="28"/>
      <c r="V225" s="28"/>
      <c r="W225" s="27"/>
      <c r="X225" s="32" t="str">
        <f aca="false">IF(A225="","",IF(OR(C225="Planned",C225="Contacted",C225="Meeting",C225="Proposal sent",C225="Negotiation"),"Yes","No"))</f>
        <v/>
      </c>
      <c r="Y225" s="32" t="str">
        <f aca="false">IF(A225="","",IF(AND(C225="Won",P225&lt;&gt;"",P225&lt;=S_Today+S_RenewalDays,COUNTIFS($A$3:$A$502,A225,$F$3:$F$502,"Yes",$X$3:$X$502,"Yes")=0),"Renewal due",IF(X225&lt;&gt;"Yes","",IF(OR(L225="",M225=""),"Missing next action",IF(M225&lt;S_Today,"Overdue",IF(AND(C225="Contacted",_xlfn.MAXIFS(Interactions!$A$3:$A$502,Interactions!$B$3:$B$502,A225,Interactions!$F$3:$F$502,"Sent by us")&gt;0,_xlfn.MAXIFS(Interactions!$A$3:$A$502,Interactions!$B$3:$B$502,A225,Interactions!$F$3:$F$502,"Sent by us")&lt;=S_Today-S_NoReplyDays,MAX(_xlfn.MAXIFS(Interactions!$A$3:$A$502,Interactions!$B$3:$B$502,A225,Interactions!$F$3:$F$502,"Received from them"),_xlfn.MAXIFS(Interactions!$A$3:$A$502,Interactions!$B$3:$B$502,A225,Interactions!$F$3:$F$502,"Two-way"))&lt;_xlfn.MAXIFS(Interactions!$A$3:$A$502,Interactions!$B$3:$B$502,A225,Interactions!$F$3:$F$502,"Sent by us")),"No reply",IF(M225&lt;=S_Today+7,"Due this week","")))))))</f>
        <v/>
      </c>
      <c r="Z225" s="34" t="str">
        <f aca="false">IF(OR(A225="",Y225=""),"",IF(Y225="Renewal due",100000,IF(Y225="Overdue",200000,IF(Y225="No reply",300000,IF(Y225="Due this week",400000,500000))))+IF(Y225="Renewal due",P225-40000,IF(Y225="Missing next action",0,M225-40000))+ROW()/100000)</f>
        <v/>
      </c>
      <c r="AA225" s="32" t="str">
        <f aca="false">IF(A225="","",_xlfn.TEXTJOIN(", ",TRUE(),IF(AND(X225="Yes",D225=""),"No owner",IF(AND(D225&lt;&gt;"",COUNTIFS(R_TeamName,D225,R_TeamActive,"No")&gt;0),"Needs new owner","")),IF(AND(OR(C225="Proposal sent",C225="Negotiation"),H225="",I225="",K225=""),"Add package or proposed value",""),IF(AND(C225="Won",OR(P225="",V225="")),"Won needs renewal date and closed on",""),IF(AND(C225="Won",G225="Cash",J225=""),"Add agreed value",""),IF(AND(C225="Lost",OR(S225="",V225="")),"Lost needs reason and closed on",""),IF(AND(C225="Nurture",OR(T225="",U225="")),"Nurture needs reason and date","")))</f>
        <v/>
      </c>
      <c r="AB225" s="34" t="str">
        <f aca="false">IF(AND(C225="Won",V225&lt;&gt;"",V225&gt;=S_SemStart,V225&lt;=S_SemEnd),V225+ROW()/100000,"")</f>
        <v/>
      </c>
      <c r="AC225" s="34" t="str">
        <f aca="false">IF(AND(C225="Lost",V225&lt;&gt;"",V225&gt;=S_SemStart,V225&lt;=S_SemEnd),V225+ROW()/100000,"")</f>
        <v/>
      </c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9"/>
      <c r="J226" s="29"/>
      <c r="K226" s="27"/>
      <c r="L226" s="27"/>
      <c r="M226" s="28"/>
      <c r="N226" s="28"/>
      <c r="O226" s="28"/>
      <c r="P226" s="28"/>
      <c r="Q226" s="27"/>
      <c r="R226" s="27"/>
      <c r="S226" s="27"/>
      <c r="T226" s="27"/>
      <c r="U226" s="28"/>
      <c r="V226" s="28"/>
      <c r="W226" s="27"/>
      <c r="X226" s="32" t="str">
        <f aca="false">IF(A226="","",IF(OR(C226="Planned",C226="Contacted",C226="Meeting",C226="Proposal sent",C226="Negotiation"),"Yes","No"))</f>
        <v/>
      </c>
      <c r="Y226" s="32" t="str">
        <f aca="false">IF(A226="","",IF(AND(C226="Won",P226&lt;&gt;"",P226&lt;=S_Today+S_RenewalDays,COUNTIFS($A$3:$A$502,A226,$F$3:$F$502,"Yes",$X$3:$X$502,"Yes")=0),"Renewal due",IF(X226&lt;&gt;"Yes","",IF(OR(L226="",M226=""),"Missing next action",IF(M226&lt;S_Today,"Overdue",IF(AND(C226="Contacted",_xlfn.MAXIFS(Interactions!$A$3:$A$502,Interactions!$B$3:$B$502,A226,Interactions!$F$3:$F$502,"Sent by us")&gt;0,_xlfn.MAXIFS(Interactions!$A$3:$A$502,Interactions!$B$3:$B$502,A226,Interactions!$F$3:$F$502,"Sent by us")&lt;=S_Today-S_NoReplyDays,MAX(_xlfn.MAXIFS(Interactions!$A$3:$A$502,Interactions!$B$3:$B$502,A226,Interactions!$F$3:$F$502,"Received from them"),_xlfn.MAXIFS(Interactions!$A$3:$A$502,Interactions!$B$3:$B$502,A226,Interactions!$F$3:$F$502,"Two-way"))&lt;_xlfn.MAXIFS(Interactions!$A$3:$A$502,Interactions!$B$3:$B$502,A226,Interactions!$F$3:$F$502,"Sent by us")),"No reply",IF(M226&lt;=S_Today+7,"Due this week","")))))))</f>
        <v/>
      </c>
      <c r="Z226" s="34" t="str">
        <f aca="false">IF(OR(A226="",Y226=""),"",IF(Y226="Renewal due",100000,IF(Y226="Overdue",200000,IF(Y226="No reply",300000,IF(Y226="Due this week",400000,500000))))+IF(Y226="Renewal due",P226-40000,IF(Y226="Missing next action",0,M226-40000))+ROW()/100000)</f>
        <v/>
      </c>
      <c r="AA226" s="32" t="str">
        <f aca="false">IF(A226="","",_xlfn.TEXTJOIN(", ",TRUE(),IF(AND(X226="Yes",D226=""),"No owner",IF(AND(D226&lt;&gt;"",COUNTIFS(R_TeamName,D226,R_TeamActive,"No")&gt;0),"Needs new owner","")),IF(AND(OR(C226="Proposal sent",C226="Negotiation"),H226="",I226="",K226=""),"Add package or proposed value",""),IF(AND(C226="Won",OR(P226="",V226="")),"Won needs renewal date and closed on",""),IF(AND(C226="Won",G226="Cash",J226=""),"Add agreed value",""),IF(AND(C226="Lost",OR(S226="",V226="")),"Lost needs reason and closed on",""),IF(AND(C226="Nurture",OR(T226="",U226="")),"Nurture needs reason and date","")))</f>
        <v/>
      </c>
      <c r="AB226" s="34" t="str">
        <f aca="false">IF(AND(C226="Won",V226&lt;&gt;"",V226&gt;=S_SemStart,V226&lt;=S_SemEnd),V226+ROW()/100000,"")</f>
        <v/>
      </c>
      <c r="AC226" s="34" t="str">
        <f aca="false">IF(AND(C226="Lost",V226&lt;&gt;"",V226&gt;=S_SemStart,V226&lt;=S_SemEnd),V226+ROW()/100000,"")</f>
        <v/>
      </c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9"/>
      <c r="J227" s="29"/>
      <c r="K227" s="27"/>
      <c r="L227" s="27"/>
      <c r="M227" s="28"/>
      <c r="N227" s="28"/>
      <c r="O227" s="28"/>
      <c r="P227" s="28"/>
      <c r="Q227" s="27"/>
      <c r="R227" s="27"/>
      <c r="S227" s="27"/>
      <c r="T227" s="27"/>
      <c r="U227" s="28"/>
      <c r="V227" s="28"/>
      <c r="W227" s="27"/>
      <c r="X227" s="32" t="str">
        <f aca="false">IF(A227="","",IF(OR(C227="Planned",C227="Contacted",C227="Meeting",C227="Proposal sent",C227="Negotiation"),"Yes","No"))</f>
        <v/>
      </c>
      <c r="Y227" s="32" t="str">
        <f aca="false">IF(A227="","",IF(AND(C227="Won",P227&lt;&gt;"",P227&lt;=S_Today+S_RenewalDays,COUNTIFS($A$3:$A$502,A227,$F$3:$F$502,"Yes",$X$3:$X$502,"Yes")=0),"Renewal due",IF(X227&lt;&gt;"Yes","",IF(OR(L227="",M227=""),"Missing next action",IF(M227&lt;S_Today,"Overdue",IF(AND(C227="Contacted",_xlfn.MAXIFS(Interactions!$A$3:$A$502,Interactions!$B$3:$B$502,A227,Interactions!$F$3:$F$502,"Sent by us")&gt;0,_xlfn.MAXIFS(Interactions!$A$3:$A$502,Interactions!$B$3:$B$502,A227,Interactions!$F$3:$F$502,"Sent by us")&lt;=S_Today-S_NoReplyDays,MAX(_xlfn.MAXIFS(Interactions!$A$3:$A$502,Interactions!$B$3:$B$502,A227,Interactions!$F$3:$F$502,"Received from them"),_xlfn.MAXIFS(Interactions!$A$3:$A$502,Interactions!$B$3:$B$502,A227,Interactions!$F$3:$F$502,"Two-way"))&lt;_xlfn.MAXIFS(Interactions!$A$3:$A$502,Interactions!$B$3:$B$502,A227,Interactions!$F$3:$F$502,"Sent by us")),"No reply",IF(M227&lt;=S_Today+7,"Due this week","")))))))</f>
        <v/>
      </c>
      <c r="Z227" s="34" t="str">
        <f aca="false">IF(OR(A227="",Y227=""),"",IF(Y227="Renewal due",100000,IF(Y227="Overdue",200000,IF(Y227="No reply",300000,IF(Y227="Due this week",400000,500000))))+IF(Y227="Renewal due",P227-40000,IF(Y227="Missing next action",0,M227-40000))+ROW()/100000)</f>
        <v/>
      </c>
      <c r="AA227" s="32" t="str">
        <f aca="false">IF(A227="","",_xlfn.TEXTJOIN(", ",TRUE(),IF(AND(X227="Yes",D227=""),"No owner",IF(AND(D227&lt;&gt;"",COUNTIFS(R_TeamName,D227,R_TeamActive,"No")&gt;0),"Needs new owner","")),IF(AND(OR(C227="Proposal sent",C227="Negotiation"),H227="",I227="",K227=""),"Add package or proposed value",""),IF(AND(C227="Won",OR(P227="",V227="")),"Won needs renewal date and closed on",""),IF(AND(C227="Won",G227="Cash",J227=""),"Add agreed value",""),IF(AND(C227="Lost",OR(S227="",V227="")),"Lost needs reason and closed on",""),IF(AND(C227="Nurture",OR(T227="",U227="")),"Nurture needs reason and date","")))</f>
        <v/>
      </c>
      <c r="AB227" s="34" t="str">
        <f aca="false">IF(AND(C227="Won",V227&lt;&gt;"",V227&gt;=S_SemStart,V227&lt;=S_SemEnd),V227+ROW()/100000,"")</f>
        <v/>
      </c>
      <c r="AC227" s="34" t="str">
        <f aca="false">IF(AND(C227="Lost",V227&lt;&gt;"",V227&gt;=S_SemStart,V227&lt;=S_SemEnd),V227+ROW()/100000,"")</f>
        <v/>
      </c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9"/>
      <c r="J228" s="29"/>
      <c r="K228" s="27"/>
      <c r="L228" s="27"/>
      <c r="M228" s="28"/>
      <c r="N228" s="28"/>
      <c r="O228" s="28"/>
      <c r="P228" s="28"/>
      <c r="Q228" s="27"/>
      <c r="R228" s="27"/>
      <c r="S228" s="27"/>
      <c r="T228" s="27"/>
      <c r="U228" s="28"/>
      <c r="V228" s="28"/>
      <c r="W228" s="27"/>
      <c r="X228" s="32" t="str">
        <f aca="false">IF(A228="","",IF(OR(C228="Planned",C228="Contacted",C228="Meeting",C228="Proposal sent",C228="Negotiation"),"Yes","No"))</f>
        <v/>
      </c>
      <c r="Y228" s="32" t="str">
        <f aca="false">IF(A228="","",IF(AND(C228="Won",P228&lt;&gt;"",P228&lt;=S_Today+S_RenewalDays,COUNTIFS($A$3:$A$502,A228,$F$3:$F$502,"Yes",$X$3:$X$502,"Yes")=0),"Renewal due",IF(X228&lt;&gt;"Yes","",IF(OR(L228="",M228=""),"Missing next action",IF(M228&lt;S_Today,"Overdue",IF(AND(C228="Contacted",_xlfn.MAXIFS(Interactions!$A$3:$A$502,Interactions!$B$3:$B$502,A228,Interactions!$F$3:$F$502,"Sent by us")&gt;0,_xlfn.MAXIFS(Interactions!$A$3:$A$502,Interactions!$B$3:$B$502,A228,Interactions!$F$3:$F$502,"Sent by us")&lt;=S_Today-S_NoReplyDays,MAX(_xlfn.MAXIFS(Interactions!$A$3:$A$502,Interactions!$B$3:$B$502,A228,Interactions!$F$3:$F$502,"Received from them"),_xlfn.MAXIFS(Interactions!$A$3:$A$502,Interactions!$B$3:$B$502,A228,Interactions!$F$3:$F$502,"Two-way"))&lt;_xlfn.MAXIFS(Interactions!$A$3:$A$502,Interactions!$B$3:$B$502,A228,Interactions!$F$3:$F$502,"Sent by us")),"No reply",IF(M228&lt;=S_Today+7,"Due this week","")))))))</f>
        <v/>
      </c>
      <c r="Z228" s="34" t="str">
        <f aca="false">IF(OR(A228="",Y228=""),"",IF(Y228="Renewal due",100000,IF(Y228="Overdue",200000,IF(Y228="No reply",300000,IF(Y228="Due this week",400000,500000))))+IF(Y228="Renewal due",P228-40000,IF(Y228="Missing next action",0,M228-40000))+ROW()/100000)</f>
        <v/>
      </c>
      <c r="AA228" s="32" t="str">
        <f aca="false">IF(A228="","",_xlfn.TEXTJOIN(", ",TRUE(),IF(AND(X228="Yes",D228=""),"No owner",IF(AND(D228&lt;&gt;"",COUNTIFS(R_TeamName,D228,R_TeamActive,"No")&gt;0),"Needs new owner","")),IF(AND(OR(C228="Proposal sent",C228="Negotiation"),H228="",I228="",K228=""),"Add package or proposed value",""),IF(AND(C228="Won",OR(P228="",V228="")),"Won needs renewal date and closed on",""),IF(AND(C228="Won",G228="Cash",J228=""),"Add agreed value",""),IF(AND(C228="Lost",OR(S228="",V228="")),"Lost needs reason and closed on",""),IF(AND(C228="Nurture",OR(T228="",U228="")),"Nurture needs reason and date","")))</f>
        <v/>
      </c>
      <c r="AB228" s="34" t="str">
        <f aca="false">IF(AND(C228="Won",V228&lt;&gt;"",V228&gt;=S_SemStart,V228&lt;=S_SemEnd),V228+ROW()/100000,"")</f>
        <v/>
      </c>
      <c r="AC228" s="34" t="str">
        <f aca="false">IF(AND(C228="Lost",V228&lt;&gt;"",V228&gt;=S_SemStart,V228&lt;=S_SemEnd),V228+ROW()/100000,"")</f>
        <v/>
      </c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9"/>
      <c r="J229" s="29"/>
      <c r="K229" s="27"/>
      <c r="L229" s="27"/>
      <c r="M229" s="28"/>
      <c r="N229" s="28"/>
      <c r="O229" s="28"/>
      <c r="P229" s="28"/>
      <c r="Q229" s="27"/>
      <c r="R229" s="27"/>
      <c r="S229" s="27"/>
      <c r="T229" s="27"/>
      <c r="U229" s="28"/>
      <c r="V229" s="28"/>
      <c r="W229" s="27"/>
      <c r="X229" s="32" t="str">
        <f aca="false">IF(A229="","",IF(OR(C229="Planned",C229="Contacted",C229="Meeting",C229="Proposal sent",C229="Negotiation"),"Yes","No"))</f>
        <v/>
      </c>
      <c r="Y229" s="32" t="str">
        <f aca="false">IF(A229="","",IF(AND(C229="Won",P229&lt;&gt;"",P229&lt;=S_Today+S_RenewalDays,COUNTIFS($A$3:$A$502,A229,$F$3:$F$502,"Yes",$X$3:$X$502,"Yes")=0),"Renewal due",IF(X229&lt;&gt;"Yes","",IF(OR(L229="",M229=""),"Missing next action",IF(M229&lt;S_Today,"Overdue",IF(AND(C229="Contacted",_xlfn.MAXIFS(Interactions!$A$3:$A$502,Interactions!$B$3:$B$502,A229,Interactions!$F$3:$F$502,"Sent by us")&gt;0,_xlfn.MAXIFS(Interactions!$A$3:$A$502,Interactions!$B$3:$B$502,A229,Interactions!$F$3:$F$502,"Sent by us")&lt;=S_Today-S_NoReplyDays,MAX(_xlfn.MAXIFS(Interactions!$A$3:$A$502,Interactions!$B$3:$B$502,A229,Interactions!$F$3:$F$502,"Received from them"),_xlfn.MAXIFS(Interactions!$A$3:$A$502,Interactions!$B$3:$B$502,A229,Interactions!$F$3:$F$502,"Two-way"))&lt;_xlfn.MAXIFS(Interactions!$A$3:$A$502,Interactions!$B$3:$B$502,A229,Interactions!$F$3:$F$502,"Sent by us")),"No reply",IF(M229&lt;=S_Today+7,"Due this week","")))))))</f>
        <v/>
      </c>
      <c r="Z229" s="34" t="str">
        <f aca="false">IF(OR(A229="",Y229=""),"",IF(Y229="Renewal due",100000,IF(Y229="Overdue",200000,IF(Y229="No reply",300000,IF(Y229="Due this week",400000,500000))))+IF(Y229="Renewal due",P229-40000,IF(Y229="Missing next action",0,M229-40000))+ROW()/100000)</f>
        <v/>
      </c>
      <c r="AA229" s="32" t="str">
        <f aca="false">IF(A229="","",_xlfn.TEXTJOIN(", ",TRUE(),IF(AND(X229="Yes",D229=""),"No owner",IF(AND(D229&lt;&gt;"",COUNTIFS(R_TeamName,D229,R_TeamActive,"No")&gt;0),"Needs new owner","")),IF(AND(OR(C229="Proposal sent",C229="Negotiation"),H229="",I229="",K229=""),"Add package or proposed value",""),IF(AND(C229="Won",OR(P229="",V229="")),"Won needs renewal date and closed on",""),IF(AND(C229="Won",G229="Cash",J229=""),"Add agreed value",""),IF(AND(C229="Lost",OR(S229="",V229="")),"Lost needs reason and closed on",""),IF(AND(C229="Nurture",OR(T229="",U229="")),"Nurture needs reason and date","")))</f>
        <v/>
      </c>
      <c r="AB229" s="34" t="str">
        <f aca="false">IF(AND(C229="Won",V229&lt;&gt;"",V229&gt;=S_SemStart,V229&lt;=S_SemEnd),V229+ROW()/100000,"")</f>
        <v/>
      </c>
      <c r="AC229" s="34" t="str">
        <f aca="false">IF(AND(C229="Lost",V229&lt;&gt;"",V229&gt;=S_SemStart,V229&lt;=S_SemEnd),V229+ROW()/100000,"")</f>
        <v/>
      </c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9"/>
      <c r="J230" s="29"/>
      <c r="K230" s="27"/>
      <c r="L230" s="27"/>
      <c r="M230" s="28"/>
      <c r="N230" s="28"/>
      <c r="O230" s="28"/>
      <c r="P230" s="28"/>
      <c r="Q230" s="27"/>
      <c r="R230" s="27"/>
      <c r="S230" s="27"/>
      <c r="T230" s="27"/>
      <c r="U230" s="28"/>
      <c r="V230" s="28"/>
      <c r="W230" s="27"/>
      <c r="X230" s="32" t="str">
        <f aca="false">IF(A230="","",IF(OR(C230="Planned",C230="Contacted",C230="Meeting",C230="Proposal sent",C230="Negotiation"),"Yes","No"))</f>
        <v/>
      </c>
      <c r="Y230" s="32" t="str">
        <f aca="false">IF(A230="","",IF(AND(C230="Won",P230&lt;&gt;"",P230&lt;=S_Today+S_RenewalDays,COUNTIFS($A$3:$A$502,A230,$F$3:$F$502,"Yes",$X$3:$X$502,"Yes")=0),"Renewal due",IF(X230&lt;&gt;"Yes","",IF(OR(L230="",M230=""),"Missing next action",IF(M230&lt;S_Today,"Overdue",IF(AND(C230="Contacted",_xlfn.MAXIFS(Interactions!$A$3:$A$502,Interactions!$B$3:$B$502,A230,Interactions!$F$3:$F$502,"Sent by us")&gt;0,_xlfn.MAXIFS(Interactions!$A$3:$A$502,Interactions!$B$3:$B$502,A230,Interactions!$F$3:$F$502,"Sent by us")&lt;=S_Today-S_NoReplyDays,MAX(_xlfn.MAXIFS(Interactions!$A$3:$A$502,Interactions!$B$3:$B$502,A230,Interactions!$F$3:$F$502,"Received from them"),_xlfn.MAXIFS(Interactions!$A$3:$A$502,Interactions!$B$3:$B$502,A230,Interactions!$F$3:$F$502,"Two-way"))&lt;_xlfn.MAXIFS(Interactions!$A$3:$A$502,Interactions!$B$3:$B$502,A230,Interactions!$F$3:$F$502,"Sent by us")),"No reply",IF(M230&lt;=S_Today+7,"Due this week","")))))))</f>
        <v/>
      </c>
      <c r="Z230" s="34" t="str">
        <f aca="false">IF(OR(A230="",Y230=""),"",IF(Y230="Renewal due",100000,IF(Y230="Overdue",200000,IF(Y230="No reply",300000,IF(Y230="Due this week",400000,500000))))+IF(Y230="Renewal due",P230-40000,IF(Y230="Missing next action",0,M230-40000))+ROW()/100000)</f>
        <v/>
      </c>
      <c r="AA230" s="32" t="str">
        <f aca="false">IF(A230="","",_xlfn.TEXTJOIN(", ",TRUE(),IF(AND(X230="Yes",D230=""),"No owner",IF(AND(D230&lt;&gt;"",COUNTIFS(R_TeamName,D230,R_TeamActive,"No")&gt;0),"Needs new owner","")),IF(AND(OR(C230="Proposal sent",C230="Negotiation"),H230="",I230="",K230=""),"Add package or proposed value",""),IF(AND(C230="Won",OR(P230="",V230="")),"Won needs renewal date and closed on",""),IF(AND(C230="Won",G230="Cash",J230=""),"Add agreed value",""),IF(AND(C230="Lost",OR(S230="",V230="")),"Lost needs reason and closed on",""),IF(AND(C230="Nurture",OR(T230="",U230="")),"Nurture needs reason and date","")))</f>
        <v/>
      </c>
      <c r="AB230" s="34" t="str">
        <f aca="false">IF(AND(C230="Won",V230&lt;&gt;"",V230&gt;=S_SemStart,V230&lt;=S_SemEnd),V230+ROW()/100000,"")</f>
        <v/>
      </c>
      <c r="AC230" s="34" t="str">
        <f aca="false">IF(AND(C230="Lost",V230&lt;&gt;"",V230&gt;=S_SemStart,V230&lt;=S_SemEnd),V230+ROW()/100000,"")</f>
        <v/>
      </c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9"/>
      <c r="J231" s="29"/>
      <c r="K231" s="27"/>
      <c r="L231" s="27"/>
      <c r="M231" s="28"/>
      <c r="N231" s="28"/>
      <c r="O231" s="28"/>
      <c r="P231" s="28"/>
      <c r="Q231" s="27"/>
      <c r="R231" s="27"/>
      <c r="S231" s="27"/>
      <c r="T231" s="27"/>
      <c r="U231" s="28"/>
      <c r="V231" s="28"/>
      <c r="W231" s="27"/>
      <c r="X231" s="32" t="str">
        <f aca="false">IF(A231="","",IF(OR(C231="Planned",C231="Contacted",C231="Meeting",C231="Proposal sent",C231="Negotiation"),"Yes","No"))</f>
        <v/>
      </c>
      <c r="Y231" s="32" t="str">
        <f aca="false">IF(A231="","",IF(AND(C231="Won",P231&lt;&gt;"",P231&lt;=S_Today+S_RenewalDays,COUNTIFS($A$3:$A$502,A231,$F$3:$F$502,"Yes",$X$3:$X$502,"Yes")=0),"Renewal due",IF(X231&lt;&gt;"Yes","",IF(OR(L231="",M231=""),"Missing next action",IF(M231&lt;S_Today,"Overdue",IF(AND(C231="Contacted",_xlfn.MAXIFS(Interactions!$A$3:$A$502,Interactions!$B$3:$B$502,A231,Interactions!$F$3:$F$502,"Sent by us")&gt;0,_xlfn.MAXIFS(Interactions!$A$3:$A$502,Interactions!$B$3:$B$502,A231,Interactions!$F$3:$F$502,"Sent by us")&lt;=S_Today-S_NoReplyDays,MAX(_xlfn.MAXIFS(Interactions!$A$3:$A$502,Interactions!$B$3:$B$502,A231,Interactions!$F$3:$F$502,"Received from them"),_xlfn.MAXIFS(Interactions!$A$3:$A$502,Interactions!$B$3:$B$502,A231,Interactions!$F$3:$F$502,"Two-way"))&lt;_xlfn.MAXIFS(Interactions!$A$3:$A$502,Interactions!$B$3:$B$502,A231,Interactions!$F$3:$F$502,"Sent by us")),"No reply",IF(M231&lt;=S_Today+7,"Due this week","")))))))</f>
        <v/>
      </c>
      <c r="Z231" s="34" t="str">
        <f aca="false">IF(OR(A231="",Y231=""),"",IF(Y231="Renewal due",100000,IF(Y231="Overdue",200000,IF(Y231="No reply",300000,IF(Y231="Due this week",400000,500000))))+IF(Y231="Renewal due",P231-40000,IF(Y231="Missing next action",0,M231-40000))+ROW()/100000)</f>
        <v/>
      </c>
      <c r="AA231" s="32" t="str">
        <f aca="false">IF(A231="","",_xlfn.TEXTJOIN(", ",TRUE(),IF(AND(X231="Yes",D231=""),"No owner",IF(AND(D231&lt;&gt;"",COUNTIFS(R_TeamName,D231,R_TeamActive,"No")&gt;0),"Needs new owner","")),IF(AND(OR(C231="Proposal sent",C231="Negotiation"),H231="",I231="",K231=""),"Add package or proposed value",""),IF(AND(C231="Won",OR(P231="",V231="")),"Won needs renewal date and closed on",""),IF(AND(C231="Won",G231="Cash",J231=""),"Add agreed value",""),IF(AND(C231="Lost",OR(S231="",V231="")),"Lost needs reason and closed on",""),IF(AND(C231="Nurture",OR(T231="",U231="")),"Nurture needs reason and date","")))</f>
        <v/>
      </c>
      <c r="AB231" s="34" t="str">
        <f aca="false">IF(AND(C231="Won",V231&lt;&gt;"",V231&gt;=S_SemStart,V231&lt;=S_SemEnd),V231+ROW()/100000,"")</f>
        <v/>
      </c>
      <c r="AC231" s="34" t="str">
        <f aca="false">IF(AND(C231="Lost",V231&lt;&gt;"",V231&gt;=S_SemStart,V231&lt;=S_SemEnd),V231+ROW()/100000,"")</f>
        <v/>
      </c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9"/>
      <c r="J232" s="29"/>
      <c r="K232" s="27"/>
      <c r="L232" s="27"/>
      <c r="M232" s="28"/>
      <c r="N232" s="28"/>
      <c r="O232" s="28"/>
      <c r="P232" s="28"/>
      <c r="Q232" s="27"/>
      <c r="R232" s="27"/>
      <c r="S232" s="27"/>
      <c r="T232" s="27"/>
      <c r="U232" s="28"/>
      <c r="V232" s="28"/>
      <c r="W232" s="27"/>
      <c r="X232" s="32" t="str">
        <f aca="false">IF(A232="","",IF(OR(C232="Planned",C232="Contacted",C232="Meeting",C232="Proposal sent",C232="Negotiation"),"Yes","No"))</f>
        <v/>
      </c>
      <c r="Y232" s="32" t="str">
        <f aca="false">IF(A232="","",IF(AND(C232="Won",P232&lt;&gt;"",P232&lt;=S_Today+S_RenewalDays,COUNTIFS($A$3:$A$502,A232,$F$3:$F$502,"Yes",$X$3:$X$502,"Yes")=0),"Renewal due",IF(X232&lt;&gt;"Yes","",IF(OR(L232="",M232=""),"Missing next action",IF(M232&lt;S_Today,"Overdue",IF(AND(C232="Contacted",_xlfn.MAXIFS(Interactions!$A$3:$A$502,Interactions!$B$3:$B$502,A232,Interactions!$F$3:$F$502,"Sent by us")&gt;0,_xlfn.MAXIFS(Interactions!$A$3:$A$502,Interactions!$B$3:$B$502,A232,Interactions!$F$3:$F$502,"Sent by us")&lt;=S_Today-S_NoReplyDays,MAX(_xlfn.MAXIFS(Interactions!$A$3:$A$502,Interactions!$B$3:$B$502,A232,Interactions!$F$3:$F$502,"Received from them"),_xlfn.MAXIFS(Interactions!$A$3:$A$502,Interactions!$B$3:$B$502,A232,Interactions!$F$3:$F$502,"Two-way"))&lt;_xlfn.MAXIFS(Interactions!$A$3:$A$502,Interactions!$B$3:$B$502,A232,Interactions!$F$3:$F$502,"Sent by us")),"No reply",IF(M232&lt;=S_Today+7,"Due this week","")))))))</f>
        <v/>
      </c>
      <c r="Z232" s="34" t="str">
        <f aca="false">IF(OR(A232="",Y232=""),"",IF(Y232="Renewal due",100000,IF(Y232="Overdue",200000,IF(Y232="No reply",300000,IF(Y232="Due this week",400000,500000))))+IF(Y232="Renewal due",P232-40000,IF(Y232="Missing next action",0,M232-40000))+ROW()/100000)</f>
        <v/>
      </c>
      <c r="AA232" s="32" t="str">
        <f aca="false">IF(A232="","",_xlfn.TEXTJOIN(", ",TRUE(),IF(AND(X232="Yes",D232=""),"No owner",IF(AND(D232&lt;&gt;"",COUNTIFS(R_TeamName,D232,R_TeamActive,"No")&gt;0),"Needs new owner","")),IF(AND(OR(C232="Proposal sent",C232="Negotiation"),H232="",I232="",K232=""),"Add package or proposed value",""),IF(AND(C232="Won",OR(P232="",V232="")),"Won needs renewal date and closed on",""),IF(AND(C232="Won",G232="Cash",J232=""),"Add agreed value",""),IF(AND(C232="Lost",OR(S232="",V232="")),"Lost needs reason and closed on",""),IF(AND(C232="Nurture",OR(T232="",U232="")),"Nurture needs reason and date","")))</f>
        <v/>
      </c>
      <c r="AB232" s="34" t="str">
        <f aca="false">IF(AND(C232="Won",V232&lt;&gt;"",V232&gt;=S_SemStart,V232&lt;=S_SemEnd),V232+ROW()/100000,"")</f>
        <v/>
      </c>
      <c r="AC232" s="34" t="str">
        <f aca="false">IF(AND(C232="Lost",V232&lt;&gt;"",V232&gt;=S_SemStart,V232&lt;=S_SemEnd),V232+ROW()/100000,"")</f>
        <v/>
      </c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9"/>
      <c r="J233" s="29"/>
      <c r="K233" s="27"/>
      <c r="L233" s="27"/>
      <c r="M233" s="28"/>
      <c r="N233" s="28"/>
      <c r="O233" s="28"/>
      <c r="P233" s="28"/>
      <c r="Q233" s="27"/>
      <c r="R233" s="27"/>
      <c r="S233" s="27"/>
      <c r="T233" s="27"/>
      <c r="U233" s="28"/>
      <c r="V233" s="28"/>
      <c r="W233" s="27"/>
      <c r="X233" s="32" t="str">
        <f aca="false">IF(A233="","",IF(OR(C233="Planned",C233="Contacted",C233="Meeting",C233="Proposal sent",C233="Negotiation"),"Yes","No"))</f>
        <v/>
      </c>
      <c r="Y233" s="32" t="str">
        <f aca="false">IF(A233="","",IF(AND(C233="Won",P233&lt;&gt;"",P233&lt;=S_Today+S_RenewalDays,COUNTIFS($A$3:$A$502,A233,$F$3:$F$502,"Yes",$X$3:$X$502,"Yes")=0),"Renewal due",IF(X233&lt;&gt;"Yes","",IF(OR(L233="",M233=""),"Missing next action",IF(M233&lt;S_Today,"Overdue",IF(AND(C233="Contacted",_xlfn.MAXIFS(Interactions!$A$3:$A$502,Interactions!$B$3:$B$502,A233,Interactions!$F$3:$F$502,"Sent by us")&gt;0,_xlfn.MAXIFS(Interactions!$A$3:$A$502,Interactions!$B$3:$B$502,A233,Interactions!$F$3:$F$502,"Sent by us")&lt;=S_Today-S_NoReplyDays,MAX(_xlfn.MAXIFS(Interactions!$A$3:$A$502,Interactions!$B$3:$B$502,A233,Interactions!$F$3:$F$502,"Received from them"),_xlfn.MAXIFS(Interactions!$A$3:$A$502,Interactions!$B$3:$B$502,A233,Interactions!$F$3:$F$502,"Two-way"))&lt;_xlfn.MAXIFS(Interactions!$A$3:$A$502,Interactions!$B$3:$B$502,A233,Interactions!$F$3:$F$502,"Sent by us")),"No reply",IF(M233&lt;=S_Today+7,"Due this week","")))))))</f>
        <v/>
      </c>
      <c r="Z233" s="34" t="str">
        <f aca="false">IF(OR(A233="",Y233=""),"",IF(Y233="Renewal due",100000,IF(Y233="Overdue",200000,IF(Y233="No reply",300000,IF(Y233="Due this week",400000,500000))))+IF(Y233="Renewal due",P233-40000,IF(Y233="Missing next action",0,M233-40000))+ROW()/100000)</f>
        <v/>
      </c>
      <c r="AA233" s="32" t="str">
        <f aca="false">IF(A233="","",_xlfn.TEXTJOIN(", ",TRUE(),IF(AND(X233="Yes",D233=""),"No owner",IF(AND(D233&lt;&gt;"",COUNTIFS(R_TeamName,D233,R_TeamActive,"No")&gt;0),"Needs new owner","")),IF(AND(OR(C233="Proposal sent",C233="Negotiation"),H233="",I233="",K233=""),"Add package or proposed value",""),IF(AND(C233="Won",OR(P233="",V233="")),"Won needs renewal date and closed on",""),IF(AND(C233="Won",G233="Cash",J233=""),"Add agreed value",""),IF(AND(C233="Lost",OR(S233="",V233="")),"Lost needs reason and closed on",""),IF(AND(C233="Nurture",OR(T233="",U233="")),"Nurture needs reason and date","")))</f>
        <v/>
      </c>
      <c r="AB233" s="34" t="str">
        <f aca="false">IF(AND(C233="Won",V233&lt;&gt;"",V233&gt;=S_SemStart,V233&lt;=S_SemEnd),V233+ROW()/100000,"")</f>
        <v/>
      </c>
      <c r="AC233" s="34" t="str">
        <f aca="false">IF(AND(C233="Lost",V233&lt;&gt;"",V233&gt;=S_SemStart,V233&lt;=S_SemEnd),V233+ROW()/100000,"")</f>
        <v/>
      </c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9"/>
      <c r="J234" s="29"/>
      <c r="K234" s="27"/>
      <c r="L234" s="27"/>
      <c r="M234" s="28"/>
      <c r="N234" s="28"/>
      <c r="O234" s="28"/>
      <c r="P234" s="28"/>
      <c r="Q234" s="27"/>
      <c r="R234" s="27"/>
      <c r="S234" s="27"/>
      <c r="T234" s="27"/>
      <c r="U234" s="28"/>
      <c r="V234" s="28"/>
      <c r="W234" s="27"/>
      <c r="X234" s="32" t="str">
        <f aca="false">IF(A234="","",IF(OR(C234="Planned",C234="Contacted",C234="Meeting",C234="Proposal sent",C234="Negotiation"),"Yes","No"))</f>
        <v/>
      </c>
      <c r="Y234" s="32" t="str">
        <f aca="false">IF(A234="","",IF(AND(C234="Won",P234&lt;&gt;"",P234&lt;=S_Today+S_RenewalDays,COUNTIFS($A$3:$A$502,A234,$F$3:$F$502,"Yes",$X$3:$X$502,"Yes")=0),"Renewal due",IF(X234&lt;&gt;"Yes","",IF(OR(L234="",M234=""),"Missing next action",IF(M234&lt;S_Today,"Overdue",IF(AND(C234="Contacted",_xlfn.MAXIFS(Interactions!$A$3:$A$502,Interactions!$B$3:$B$502,A234,Interactions!$F$3:$F$502,"Sent by us")&gt;0,_xlfn.MAXIFS(Interactions!$A$3:$A$502,Interactions!$B$3:$B$502,A234,Interactions!$F$3:$F$502,"Sent by us")&lt;=S_Today-S_NoReplyDays,MAX(_xlfn.MAXIFS(Interactions!$A$3:$A$502,Interactions!$B$3:$B$502,A234,Interactions!$F$3:$F$502,"Received from them"),_xlfn.MAXIFS(Interactions!$A$3:$A$502,Interactions!$B$3:$B$502,A234,Interactions!$F$3:$F$502,"Two-way"))&lt;_xlfn.MAXIFS(Interactions!$A$3:$A$502,Interactions!$B$3:$B$502,A234,Interactions!$F$3:$F$502,"Sent by us")),"No reply",IF(M234&lt;=S_Today+7,"Due this week","")))))))</f>
        <v/>
      </c>
      <c r="Z234" s="34" t="str">
        <f aca="false">IF(OR(A234="",Y234=""),"",IF(Y234="Renewal due",100000,IF(Y234="Overdue",200000,IF(Y234="No reply",300000,IF(Y234="Due this week",400000,500000))))+IF(Y234="Renewal due",P234-40000,IF(Y234="Missing next action",0,M234-40000))+ROW()/100000)</f>
        <v/>
      </c>
      <c r="AA234" s="32" t="str">
        <f aca="false">IF(A234="","",_xlfn.TEXTJOIN(", ",TRUE(),IF(AND(X234="Yes",D234=""),"No owner",IF(AND(D234&lt;&gt;"",COUNTIFS(R_TeamName,D234,R_TeamActive,"No")&gt;0),"Needs new owner","")),IF(AND(OR(C234="Proposal sent",C234="Negotiation"),H234="",I234="",K234=""),"Add package or proposed value",""),IF(AND(C234="Won",OR(P234="",V234="")),"Won needs renewal date and closed on",""),IF(AND(C234="Won",G234="Cash",J234=""),"Add agreed value",""),IF(AND(C234="Lost",OR(S234="",V234="")),"Lost needs reason and closed on",""),IF(AND(C234="Nurture",OR(T234="",U234="")),"Nurture needs reason and date","")))</f>
        <v/>
      </c>
      <c r="AB234" s="34" t="str">
        <f aca="false">IF(AND(C234="Won",V234&lt;&gt;"",V234&gt;=S_SemStart,V234&lt;=S_SemEnd),V234+ROW()/100000,"")</f>
        <v/>
      </c>
      <c r="AC234" s="34" t="str">
        <f aca="false">IF(AND(C234="Lost",V234&lt;&gt;"",V234&gt;=S_SemStart,V234&lt;=S_SemEnd),V234+ROW()/100000,"")</f>
        <v/>
      </c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9"/>
      <c r="J235" s="29"/>
      <c r="K235" s="27"/>
      <c r="L235" s="27"/>
      <c r="M235" s="28"/>
      <c r="N235" s="28"/>
      <c r="O235" s="28"/>
      <c r="P235" s="28"/>
      <c r="Q235" s="27"/>
      <c r="R235" s="27"/>
      <c r="S235" s="27"/>
      <c r="T235" s="27"/>
      <c r="U235" s="28"/>
      <c r="V235" s="28"/>
      <c r="W235" s="27"/>
      <c r="X235" s="32" t="str">
        <f aca="false">IF(A235="","",IF(OR(C235="Planned",C235="Contacted",C235="Meeting",C235="Proposal sent",C235="Negotiation"),"Yes","No"))</f>
        <v/>
      </c>
      <c r="Y235" s="32" t="str">
        <f aca="false">IF(A235="","",IF(AND(C235="Won",P235&lt;&gt;"",P235&lt;=S_Today+S_RenewalDays,COUNTIFS($A$3:$A$502,A235,$F$3:$F$502,"Yes",$X$3:$X$502,"Yes")=0),"Renewal due",IF(X235&lt;&gt;"Yes","",IF(OR(L235="",M235=""),"Missing next action",IF(M235&lt;S_Today,"Overdue",IF(AND(C235="Contacted",_xlfn.MAXIFS(Interactions!$A$3:$A$502,Interactions!$B$3:$B$502,A235,Interactions!$F$3:$F$502,"Sent by us")&gt;0,_xlfn.MAXIFS(Interactions!$A$3:$A$502,Interactions!$B$3:$B$502,A235,Interactions!$F$3:$F$502,"Sent by us")&lt;=S_Today-S_NoReplyDays,MAX(_xlfn.MAXIFS(Interactions!$A$3:$A$502,Interactions!$B$3:$B$502,A235,Interactions!$F$3:$F$502,"Received from them"),_xlfn.MAXIFS(Interactions!$A$3:$A$502,Interactions!$B$3:$B$502,A235,Interactions!$F$3:$F$502,"Two-way"))&lt;_xlfn.MAXIFS(Interactions!$A$3:$A$502,Interactions!$B$3:$B$502,A235,Interactions!$F$3:$F$502,"Sent by us")),"No reply",IF(M235&lt;=S_Today+7,"Due this week","")))))))</f>
        <v/>
      </c>
      <c r="Z235" s="34" t="str">
        <f aca="false">IF(OR(A235="",Y235=""),"",IF(Y235="Renewal due",100000,IF(Y235="Overdue",200000,IF(Y235="No reply",300000,IF(Y235="Due this week",400000,500000))))+IF(Y235="Renewal due",P235-40000,IF(Y235="Missing next action",0,M235-40000))+ROW()/100000)</f>
        <v/>
      </c>
      <c r="AA235" s="32" t="str">
        <f aca="false">IF(A235="","",_xlfn.TEXTJOIN(", ",TRUE(),IF(AND(X235="Yes",D235=""),"No owner",IF(AND(D235&lt;&gt;"",COUNTIFS(R_TeamName,D235,R_TeamActive,"No")&gt;0),"Needs new owner","")),IF(AND(OR(C235="Proposal sent",C235="Negotiation"),H235="",I235="",K235=""),"Add package or proposed value",""),IF(AND(C235="Won",OR(P235="",V235="")),"Won needs renewal date and closed on",""),IF(AND(C235="Won",G235="Cash",J235=""),"Add agreed value",""),IF(AND(C235="Lost",OR(S235="",V235="")),"Lost needs reason and closed on",""),IF(AND(C235="Nurture",OR(T235="",U235="")),"Nurture needs reason and date","")))</f>
        <v/>
      </c>
      <c r="AB235" s="34" t="str">
        <f aca="false">IF(AND(C235="Won",V235&lt;&gt;"",V235&gt;=S_SemStart,V235&lt;=S_SemEnd),V235+ROW()/100000,"")</f>
        <v/>
      </c>
      <c r="AC235" s="34" t="str">
        <f aca="false">IF(AND(C235="Lost",V235&lt;&gt;"",V235&gt;=S_SemStart,V235&lt;=S_SemEnd),V235+ROW()/100000,"")</f>
        <v/>
      </c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9"/>
      <c r="J236" s="29"/>
      <c r="K236" s="27"/>
      <c r="L236" s="27"/>
      <c r="M236" s="28"/>
      <c r="N236" s="28"/>
      <c r="O236" s="28"/>
      <c r="P236" s="28"/>
      <c r="Q236" s="27"/>
      <c r="R236" s="27"/>
      <c r="S236" s="27"/>
      <c r="T236" s="27"/>
      <c r="U236" s="28"/>
      <c r="V236" s="28"/>
      <c r="W236" s="27"/>
      <c r="X236" s="32" t="str">
        <f aca="false">IF(A236="","",IF(OR(C236="Planned",C236="Contacted",C236="Meeting",C236="Proposal sent",C236="Negotiation"),"Yes","No"))</f>
        <v/>
      </c>
      <c r="Y236" s="32" t="str">
        <f aca="false">IF(A236="","",IF(AND(C236="Won",P236&lt;&gt;"",P236&lt;=S_Today+S_RenewalDays,COUNTIFS($A$3:$A$502,A236,$F$3:$F$502,"Yes",$X$3:$X$502,"Yes")=0),"Renewal due",IF(X236&lt;&gt;"Yes","",IF(OR(L236="",M236=""),"Missing next action",IF(M236&lt;S_Today,"Overdue",IF(AND(C236="Contacted",_xlfn.MAXIFS(Interactions!$A$3:$A$502,Interactions!$B$3:$B$502,A236,Interactions!$F$3:$F$502,"Sent by us")&gt;0,_xlfn.MAXIFS(Interactions!$A$3:$A$502,Interactions!$B$3:$B$502,A236,Interactions!$F$3:$F$502,"Sent by us")&lt;=S_Today-S_NoReplyDays,MAX(_xlfn.MAXIFS(Interactions!$A$3:$A$502,Interactions!$B$3:$B$502,A236,Interactions!$F$3:$F$502,"Received from them"),_xlfn.MAXIFS(Interactions!$A$3:$A$502,Interactions!$B$3:$B$502,A236,Interactions!$F$3:$F$502,"Two-way"))&lt;_xlfn.MAXIFS(Interactions!$A$3:$A$502,Interactions!$B$3:$B$502,A236,Interactions!$F$3:$F$502,"Sent by us")),"No reply",IF(M236&lt;=S_Today+7,"Due this week","")))))))</f>
        <v/>
      </c>
      <c r="Z236" s="34" t="str">
        <f aca="false">IF(OR(A236="",Y236=""),"",IF(Y236="Renewal due",100000,IF(Y236="Overdue",200000,IF(Y236="No reply",300000,IF(Y236="Due this week",400000,500000))))+IF(Y236="Renewal due",P236-40000,IF(Y236="Missing next action",0,M236-40000))+ROW()/100000)</f>
        <v/>
      </c>
      <c r="AA236" s="32" t="str">
        <f aca="false">IF(A236="","",_xlfn.TEXTJOIN(", ",TRUE(),IF(AND(X236="Yes",D236=""),"No owner",IF(AND(D236&lt;&gt;"",COUNTIFS(R_TeamName,D236,R_TeamActive,"No")&gt;0),"Needs new owner","")),IF(AND(OR(C236="Proposal sent",C236="Negotiation"),H236="",I236="",K236=""),"Add package or proposed value",""),IF(AND(C236="Won",OR(P236="",V236="")),"Won needs renewal date and closed on",""),IF(AND(C236="Won",G236="Cash",J236=""),"Add agreed value",""),IF(AND(C236="Lost",OR(S236="",V236="")),"Lost needs reason and closed on",""),IF(AND(C236="Nurture",OR(T236="",U236="")),"Nurture needs reason and date","")))</f>
        <v/>
      </c>
      <c r="AB236" s="34" t="str">
        <f aca="false">IF(AND(C236="Won",V236&lt;&gt;"",V236&gt;=S_SemStart,V236&lt;=S_SemEnd),V236+ROW()/100000,"")</f>
        <v/>
      </c>
      <c r="AC236" s="34" t="str">
        <f aca="false">IF(AND(C236="Lost",V236&lt;&gt;"",V236&gt;=S_SemStart,V236&lt;=S_SemEnd),V236+ROW()/100000,"")</f>
        <v/>
      </c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9"/>
      <c r="J237" s="29"/>
      <c r="K237" s="27"/>
      <c r="L237" s="27"/>
      <c r="M237" s="28"/>
      <c r="N237" s="28"/>
      <c r="O237" s="28"/>
      <c r="P237" s="28"/>
      <c r="Q237" s="27"/>
      <c r="R237" s="27"/>
      <c r="S237" s="27"/>
      <c r="T237" s="27"/>
      <c r="U237" s="28"/>
      <c r="V237" s="28"/>
      <c r="W237" s="27"/>
      <c r="X237" s="32" t="str">
        <f aca="false">IF(A237="","",IF(OR(C237="Planned",C237="Contacted",C237="Meeting",C237="Proposal sent",C237="Negotiation"),"Yes","No"))</f>
        <v/>
      </c>
      <c r="Y237" s="32" t="str">
        <f aca="false">IF(A237="","",IF(AND(C237="Won",P237&lt;&gt;"",P237&lt;=S_Today+S_RenewalDays,COUNTIFS($A$3:$A$502,A237,$F$3:$F$502,"Yes",$X$3:$X$502,"Yes")=0),"Renewal due",IF(X237&lt;&gt;"Yes","",IF(OR(L237="",M237=""),"Missing next action",IF(M237&lt;S_Today,"Overdue",IF(AND(C237="Contacted",_xlfn.MAXIFS(Interactions!$A$3:$A$502,Interactions!$B$3:$B$502,A237,Interactions!$F$3:$F$502,"Sent by us")&gt;0,_xlfn.MAXIFS(Interactions!$A$3:$A$502,Interactions!$B$3:$B$502,A237,Interactions!$F$3:$F$502,"Sent by us")&lt;=S_Today-S_NoReplyDays,MAX(_xlfn.MAXIFS(Interactions!$A$3:$A$502,Interactions!$B$3:$B$502,A237,Interactions!$F$3:$F$502,"Received from them"),_xlfn.MAXIFS(Interactions!$A$3:$A$502,Interactions!$B$3:$B$502,A237,Interactions!$F$3:$F$502,"Two-way"))&lt;_xlfn.MAXIFS(Interactions!$A$3:$A$502,Interactions!$B$3:$B$502,A237,Interactions!$F$3:$F$502,"Sent by us")),"No reply",IF(M237&lt;=S_Today+7,"Due this week","")))))))</f>
        <v/>
      </c>
      <c r="Z237" s="34" t="str">
        <f aca="false">IF(OR(A237="",Y237=""),"",IF(Y237="Renewal due",100000,IF(Y237="Overdue",200000,IF(Y237="No reply",300000,IF(Y237="Due this week",400000,500000))))+IF(Y237="Renewal due",P237-40000,IF(Y237="Missing next action",0,M237-40000))+ROW()/100000)</f>
        <v/>
      </c>
      <c r="AA237" s="32" t="str">
        <f aca="false">IF(A237="","",_xlfn.TEXTJOIN(", ",TRUE(),IF(AND(X237="Yes",D237=""),"No owner",IF(AND(D237&lt;&gt;"",COUNTIFS(R_TeamName,D237,R_TeamActive,"No")&gt;0),"Needs new owner","")),IF(AND(OR(C237="Proposal sent",C237="Negotiation"),H237="",I237="",K237=""),"Add package or proposed value",""),IF(AND(C237="Won",OR(P237="",V237="")),"Won needs renewal date and closed on",""),IF(AND(C237="Won",G237="Cash",J237=""),"Add agreed value",""),IF(AND(C237="Lost",OR(S237="",V237="")),"Lost needs reason and closed on",""),IF(AND(C237="Nurture",OR(T237="",U237="")),"Nurture needs reason and date","")))</f>
        <v/>
      </c>
      <c r="AB237" s="34" t="str">
        <f aca="false">IF(AND(C237="Won",V237&lt;&gt;"",V237&gt;=S_SemStart,V237&lt;=S_SemEnd),V237+ROW()/100000,"")</f>
        <v/>
      </c>
      <c r="AC237" s="34" t="str">
        <f aca="false">IF(AND(C237="Lost",V237&lt;&gt;"",V237&gt;=S_SemStart,V237&lt;=S_SemEnd),V237+ROW()/100000,"")</f>
        <v/>
      </c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9"/>
      <c r="J238" s="29"/>
      <c r="K238" s="27"/>
      <c r="L238" s="27"/>
      <c r="M238" s="28"/>
      <c r="N238" s="28"/>
      <c r="O238" s="28"/>
      <c r="P238" s="28"/>
      <c r="Q238" s="27"/>
      <c r="R238" s="27"/>
      <c r="S238" s="27"/>
      <c r="T238" s="27"/>
      <c r="U238" s="28"/>
      <c r="V238" s="28"/>
      <c r="W238" s="27"/>
      <c r="X238" s="32" t="str">
        <f aca="false">IF(A238="","",IF(OR(C238="Planned",C238="Contacted",C238="Meeting",C238="Proposal sent",C238="Negotiation"),"Yes","No"))</f>
        <v/>
      </c>
      <c r="Y238" s="32" t="str">
        <f aca="false">IF(A238="","",IF(AND(C238="Won",P238&lt;&gt;"",P238&lt;=S_Today+S_RenewalDays,COUNTIFS($A$3:$A$502,A238,$F$3:$F$502,"Yes",$X$3:$X$502,"Yes")=0),"Renewal due",IF(X238&lt;&gt;"Yes","",IF(OR(L238="",M238=""),"Missing next action",IF(M238&lt;S_Today,"Overdue",IF(AND(C238="Contacted",_xlfn.MAXIFS(Interactions!$A$3:$A$502,Interactions!$B$3:$B$502,A238,Interactions!$F$3:$F$502,"Sent by us")&gt;0,_xlfn.MAXIFS(Interactions!$A$3:$A$502,Interactions!$B$3:$B$502,A238,Interactions!$F$3:$F$502,"Sent by us")&lt;=S_Today-S_NoReplyDays,MAX(_xlfn.MAXIFS(Interactions!$A$3:$A$502,Interactions!$B$3:$B$502,A238,Interactions!$F$3:$F$502,"Received from them"),_xlfn.MAXIFS(Interactions!$A$3:$A$502,Interactions!$B$3:$B$502,A238,Interactions!$F$3:$F$502,"Two-way"))&lt;_xlfn.MAXIFS(Interactions!$A$3:$A$502,Interactions!$B$3:$B$502,A238,Interactions!$F$3:$F$502,"Sent by us")),"No reply",IF(M238&lt;=S_Today+7,"Due this week","")))))))</f>
        <v/>
      </c>
      <c r="Z238" s="34" t="str">
        <f aca="false">IF(OR(A238="",Y238=""),"",IF(Y238="Renewal due",100000,IF(Y238="Overdue",200000,IF(Y238="No reply",300000,IF(Y238="Due this week",400000,500000))))+IF(Y238="Renewal due",P238-40000,IF(Y238="Missing next action",0,M238-40000))+ROW()/100000)</f>
        <v/>
      </c>
      <c r="AA238" s="32" t="str">
        <f aca="false">IF(A238="","",_xlfn.TEXTJOIN(", ",TRUE(),IF(AND(X238="Yes",D238=""),"No owner",IF(AND(D238&lt;&gt;"",COUNTIFS(R_TeamName,D238,R_TeamActive,"No")&gt;0),"Needs new owner","")),IF(AND(OR(C238="Proposal sent",C238="Negotiation"),H238="",I238="",K238=""),"Add package or proposed value",""),IF(AND(C238="Won",OR(P238="",V238="")),"Won needs renewal date and closed on",""),IF(AND(C238="Won",G238="Cash",J238=""),"Add agreed value",""),IF(AND(C238="Lost",OR(S238="",V238="")),"Lost needs reason and closed on",""),IF(AND(C238="Nurture",OR(T238="",U238="")),"Nurture needs reason and date","")))</f>
        <v/>
      </c>
      <c r="AB238" s="34" t="str">
        <f aca="false">IF(AND(C238="Won",V238&lt;&gt;"",V238&gt;=S_SemStart,V238&lt;=S_SemEnd),V238+ROW()/100000,"")</f>
        <v/>
      </c>
      <c r="AC238" s="34" t="str">
        <f aca="false">IF(AND(C238="Lost",V238&lt;&gt;"",V238&gt;=S_SemStart,V238&lt;=S_SemEnd),V238+ROW()/100000,"")</f>
        <v/>
      </c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9"/>
      <c r="J239" s="29"/>
      <c r="K239" s="27"/>
      <c r="L239" s="27"/>
      <c r="M239" s="28"/>
      <c r="N239" s="28"/>
      <c r="O239" s="28"/>
      <c r="P239" s="28"/>
      <c r="Q239" s="27"/>
      <c r="R239" s="27"/>
      <c r="S239" s="27"/>
      <c r="T239" s="27"/>
      <c r="U239" s="28"/>
      <c r="V239" s="28"/>
      <c r="W239" s="27"/>
      <c r="X239" s="32" t="str">
        <f aca="false">IF(A239="","",IF(OR(C239="Planned",C239="Contacted",C239="Meeting",C239="Proposal sent",C239="Negotiation"),"Yes","No"))</f>
        <v/>
      </c>
      <c r="Y239" s="32" t="str">
        <f aca="false">IF(A239="","",IF(AND(C239="Won",P239&lt;&gt;"",P239&lt;=S_Today+S_RenewalDays,COUNTIFS($A$3:$A$502,A239,$F$3:$F$502,"Yes",$X$3:$X$502,"Yes")=0),"Renewal due",IF(X239&lt;&gt;"Yes","",IF(OR(L239="",M239=""),"Missing next action",IF(M239&lt;S_Today,"Overdue",IF(AND(C239="Contacted",_xlfn.MAXIFS(Interactions!$A$3:$A$502,Interactions!$B$3:$B$502,A239,Interactions!$F$3:$F$502,"Sent by us")&gt;0,_xlfn.MAXIFS(Interactions!$A$3:$A$502,Interactions!$B$3:$B$502,A239,Interactions!$F$3:$F$502,"Sent by us")&lt;=S_Today-S_NoReplyDays,MAX(_xlfn.MAXIFS(Interactions!$A$3:$A$502,Interactions!$B$3:$B$502,A239,Interactions!$F$3:$F$502,"Received from them"),_xlfn.MAXIFS(Interactions!$A$3:$A$502,Interactions!$B$3:$B$502,A239,Interactions!$F$3:$F$502,"Two-way"))&lt;_xlfn.MAXIFS(Interactions!$A$3:$A$502,Interactions!$B$3:$B$502,A239,Interactions!$F$3:$F$502,"Sent by us")),"No reply",IF(M239&lt;=S_Today+7,"Due this week","")))))))</f>
        <v/>
      </c>
      <c r="Z239" s="34" t="str">
        <f aca="false">IF(OR(A239="",Y239=""),"",IF(Y239="Renewal due",100000,IF(Y239="Overdue",200000,IF(Y239="No reply",300000,IF(Y239="Due this week",400000,500000))))+IF(Y239="Renewal due",P239-40000,IF(Y239="Missing next action",0,M239-40000))+ROW()/100000)</f>
        <v/>
      </c>
      <c r="AA239" s="32" t="str">
        <f aca="false">IF(A239="","",_xlfn.TEXTJOIN(", ",TRUE(),IF(AND(X239="Yes",D239=""),"No owner",IF(AND(D239&lt;&gt;"",COUNTIFS(R_TeamName,D239,R_TeamActive,"No")&gt;0),"Needs new owner","")),IF(AND(OR(C239="Proposal sent",C239="Negotiation"),H239="",I239="",K239=""),"Add package or proposed value",""),IF(AND(C239="Won",OR(P239="",V239="")),"Won needs renewal date and closed on",""),IF(AND(C239="Won",G239="Cash",J239=""),"Add agreed value",""),IF(AND(C239="Lost",OR(S239="",V239="")),"Lost needs reason and closed on",""),IF(AND(C239="Nurture",OR(T239="",U239="")),"Nurture needs reason and date","")))</f>
        <v/>
      </c>
      <c r="AB239" s="34" t="str">
        <f aca="false">IF(AND(C239="Won",V239&lt;&gt;"",V239&gt;=S_SemStart,V239&lt;=S_SemEnd),V239+ROW()/100000,"")</f>
        <v/>
      </c>
      <c r="AC239" s="34" t="str">
        <f aca="false">IF(AND(C239="Lost",V239&lt;&gt;"",V239&gt;=S_SemStart,V239&lt;=S_SemEnd),V239+ROW()/100000,"")</f>
        <v/>
      </c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9"/>
      <c r="J240" s="29"/>
      <c r="K240" s="27"/>
      <c r="L240" s="27"/>
      <c r="M240" s="28"/>
      <c r="N240" s="28"/>
      <c r="O240" s="28"/>
      <c r="P240" s="28"/>
      <c r="Q240" s="27"/>
      <c r="R240" s="27"/>
      <c r="S240" s="27"/>
      <c r="T240" s="27"/>
      <c r="U240" s="28"/>
      <c r="V240" s="28"/>
      <c r="W240" s="27"/>
      <c r="X240" s="32" t="str">
        <f aca="false">IF(A240="","",IF(OR(C240="Planned",C240="Contacted",C240="Meeting",C240="Proposal sent",C240="Negotiation"),"Yes","No"))</f>
        <v/>
      </c>
      <c r="Y240" s="32" t="str">
        <f aca="false">IF(A240="","",IF(AND(C240="Won",P240&lt;&gt;"",P240&lt;=S_Today+S_RenewalDays,COUNTIFS($A$3:$A$502,A240,$F$3:$F$502,"Yes",$X$3:$X$502,"Yes")=0),"Renewal due",IF(X240&lt;&gt;"Yes","",IF(OR(L240="",M240=""),"Missing next action",IF(M240&lt;S_Today,"Overdue",IF(AND(C240="Contacted",_xlfn.MAXIFS(Interactions!$A$3:$A$502,Interactions!$B$3:$B$502,A240,Interactions!$F$3:$F$502,"Sent by us")&gt;0,_xlfn.MAXIFS(Interactions!$A$3:$A$502,Interactions!$B$3:$B$502,A240,Interactions!$F$3:$F$502,"Sent by us")&lt;=S_Today-S_NoReplyDays,MAX(_xlfn.MAXIFS(Interactions!$A$3:$A$502,Interactions!$B$3:$B$502,A240,Interactions!$F$3:$F$502,"Received from them"),_xlfn.MAXIFS(Interactions!$A$3:$A$502,Interactions!$B$3:$B$502,A240,Interactions!$F$3:$F$502,"Two-way"))&lt;_xlfn.MAXIFS(Interactions!$A$3:$A$502,Interactions!$B$3:$B$502,A240,Interactions!$F$3:$F$502,"Sent by us")),"No reply",IF(M240&lt;=S_Today+7,"Due this week","")))))))</f>
        <v/>
      </c>
      <c r="Z240" s="34" t="str">
        <f aca="false">IF(OR(A240="",Y240=""),"",IF(Y240="Renewal due",100000,IF(Y240="Overdue",200000,IF(Y240="No reply",300000,IF(Y240="Due this week",400000,500000))))+IF(Y240="Renewal due",P240-40000,IF(Y240="Missing next action",0,M240-40000))+ROW()/100000)</f>
        <v/>
      </c>
      <c r="AA240" s="32" t="str">
        <f aca="false">IF(A240="","",_xlfn.TEXTJOIN(", ",TRUE(),IF(AND(X240="Yes",D240=""),"No owner",IF(AND(D240&lt;&gt;"",COUNTIFS(R_TeamName,D240,R_TeamActive,"No")&gt;0),"Needs new owner","")),IF(AND(OR(C240="Proposal sent",C240="Negotiation"),H240="",I240="",K240=""),"Add package or proposed value",""),IF(AND(C240="Won",OR(P240="",V240="")),"Won needs renewal date and closed on",""),IF(AND(C240="Won",G240="Cash",J240=""),"Add agreed value",""),IF(AND(C240="Lost",OR(S240="",V240="")),"Lost needs reason and closed on",""),IF(AND(C240="Nurture",OR(T240="",U240="")),"Nurture needs reason and date","")))</f>
        <v/>
      </c>
      <c r="AB240" s="34" t="str">
        <f aca="false">IF(AND(C240="Won",V240&lt;&gt;"",V240&gt;=S_SemStart,V240&lt;=S_SemEnd),V240+ROW()/100000,"")</f>
        <v/>
      </c>
      <c r="AC240" s="34" t="str">
        <f aca="false">IF(AND(C240="Lost",V240&lt;&gt;"",V240&gt;=S_SemStart,V240&lt;=S_SemEnd),V240+ROW()/100000,"")</f>
        <v/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9"/>
      <c r="J241" s="29"/>
      <c r="K241" s="27"/>
      <c r="L241" s="27"/>
      <c r="M241" s="28"/>
      <c r="N241" s="28"/>
      <c r="O241" s="28"/>
      <c r="P241" s="28"/>
      <c r="Q241" s="27"/>
      <c r="R241" s="27"/>
      <c r="S241" s="27"/>
      <c r="T241" s="27"/>
      <c r="U241" s="28"/>
      <c r="V241" s="28"/>
      <c r="W241" s="27"/>
      <c r="X241" s="32" t="str">
        <f aca="false">IF(A241="","",IF(OR(C241="Planned",C241="Contacted",C241="Meeting",C241="Proposal sent",C241="Negotiation"),"Yes","No"))</f>
        <v/>
      </c>
      <c r="Y241" s="32" t="str">
        <f aca="false">IF(A241="","",IF(AND(C241="Won",P241&lt;&gt;"",P241&lt;=S_Today+S_RenewalDays,COUNTIFS($A$3:$A$502,A241,$F$3:$F$502,"Yes",$X$3:$X$502,"Yes")=0),"Renewal due",IF(X241&lt;&gt;"Yes","",IF(OR(L241="",M241=""),"Missing next action",IF(M241&lt;S_Today,"Overdue",IF(AND(C241="Contacted",_xlfn.MAXIFS(Interactions!$A$3:$A$502,Interactions!$B$3:$B$502,A241,Interactions!$F$3:$F$502,"Sent by us")&gt;0,_xlfn.MAXIFS(Interactions!$A$3:$A$502,Interactions!$B$3:$B$502,A241,Interactions!$F$3:$F$502,"Sent by us")&lt;=S_Today-S_NoReplyDays,MAX(_xlfn.MAXIFS(Interactions!$A$3:$A$502,Interactions!$B$3:$B$502,A241,Interactions!$F$3:$F$502,"Received from them"),_xlfn.MAXIFS(Interactions!$A$3:$A$502,Interactions!$B$3:$B$502,A241,Interactions!$F$3:$F$502,"Two-way"))&lt;_xlfn.MAXIFS(Interactions!$A$3:$A$502,Interactions!$B$3:$B$502,A241,Interactions!$F$3:$F$502,"Sent by us")),"No reply",IF(M241&lt;=S_Today+7,"Due this week","")))))))</f>
        <v/>
      </c>
      <c r="Z241" s="34" t="str">
        <f aca="false">IF(OR(A241="",Y241=""),"",IF(Y241="Renewal due",100000,IF(Y241="Overdue",200000,IF(Y241="No reply",300000,IF(Y241="Due this week",400000,500000))))+IF(Y241="Renewal due",P241-40000,IF(Y241="Missing next action",0,M241-40000))+ROW()/100000)</f>
        <v/>
      </c>
      <c r="AA241" s="32" t="str">
        <f aca="false">IF(A241="","",_xlfn.TEXTJOIN(", ",TRUE(),IF(AND(X241="Yes",D241=""),"No owner",IF(AND(D241&lt;&gt;"",COUNTIFS(R_TeamName,D241,R_TeamActive,"No")&gt;0),"Needs new owner","")),IF(AND(OR(C241="Proposal sent",C241="Negotiation"),H241="",I241="",K241=""),"Add package or proposed value",""),IF(AND(C241="Won",OR(P241="",V241="")),"Won needs renewal date and closed on",""),IF(AND(C241="Won",G241="Cash",J241=""),"Add agreed value",""),IF(AND(C241="Lost",OR(S241="",V241="")),"Lost needs reason and closed on",""),IF(AND(C241="Nurture",OR(T241="",U241="")),"Nurture needs reason and date","")))</f>
        <v/>
      </c>
      <c r="AB241" s="34" t="str">
        <f aca="false">IF(AND(C241="Won",V241&lt;&gt;"",V241&gt;=S_SemStart,V241&lt;=S_SemEnd),V241+ROW()/100000,"")</f>
        <v/>
      </c>
      <c r="AC241" s="34" t="str">
        <f aca="false">IF(AND(C241="Lost",V241&lt;&gt;"",V241&gt;=S_SemStart,V241&lt;=S_SemEnd),V241+ROW()/100000,"")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9"/>
      <c r="J242" s="29"/>
      <c r="K242" s="27"/>
      <c r="L242" s="27"/>
      <c r="M242" s="28"/>
      <c r="N242" s="28"/>
      <c r="O242" s="28"/>
      <c r="P242" s="28"/>
      <c r="Q242" s="27"/>
      <c r="R242" s="27"/>
      <c r="S242" s="27"/>
      <c r="T242" s="27"/>
      <c r="U242" s="28"/>
      <c r="V242" s="28"/>
      <c r="W242" s="27"/>
      <c r="X242" s="32" t="str">
        <f aca="false">IF(A242="","",IF(OR(C242="Planned",C242="Contacted",C242="Meeting",C242="Proposal sent",C242="Negotiation"),"Yes","No"))</f>
        <v/>
      </c>
      <c r="Y242" s="32" t="str">
        <f aca="false">IF(A242="","",IF(AND(C242="Won",P242&lt;&gt;"",P242&lt;=S_Today+S_RenewalDays,COUNTIFS($A$3:$A$502,A242,$F$3:$F$502,"Yes",$X$3:$X$502,"Yes")=0),"Renewal due",IF(X242&lt;&gt;"Yes","",IF(OR(L242="",M242=""),"Missing next action",IF(M242&lt;S_Today,"Overdue",IF(AND(C242="Contacted",_xlfn.MAXIFS(Interactions!$A$3:$A$502,Interactions!$B$3:$B$502,A242,Interactions!$F$3:$F$502,"Sent by us")&gt;0,_xlfn.MAXIFS(Interactions!$A$3:$A$502,Interactions!$B$3:$B$502,A242,Interactions!$F$3:$F$502,"Sent by us")&lt;=S_Today-S_NoReplyDays,MAX(_xlfn.MAXIFS(Interactions!$A$3:$A$502,Interactions!$B$3:$B$502,A242,Interactions!$F$3:$F$502,"Received from them"),_xlfn.MAXIFS(Interactions!$A$3:$A$502,Interactions!$B$3:$B$502,A242,Interactions!$F$3:$F$502,"Two-way"))&lt;_xlfn.MAXIFS(Interactions!$A$3:$A$502,Interactions!$B$3:$B$502,A242,Interactions!$F$3:$F$502,"Sent by us")),"No reply",IF(M242&lt;=S_Today+7,"Due this week","")))))))</f>
        <v/>
      </c>
      <c r="Z242" s="34" t="str">
        <f aca="false">IF(OR(A242="",Y242=""),"",IF(Y242="Renewal due",100000,IF(Y242="Overdue",200000,IF(Y242="No reply",300000,IF(Y242="Due this week",400000,500000))))+IF(Y242="Renewal due",P242-40000,IF(Y242="Missing next action",0,M242-40000))+ROW()/100000)</f>
        <v/>
      </c>
      <c r="AA242" s="32" t="str">
        <f aca="false">IF(A242="","",_xlfn.TEXTJOIN(", ",TRUE(),IF(AND(X242="Yes",D242=""),"No owner",IF(AND(D242&lt;&gt;"",COUNTIFS(R_TeamName,D242,R_TeamActive,"No")&gt;0),"Needs new owner","")),IF(AND(OR(C242="Proposal sent",C242="Negotiation"),H242="",I242="",K242=""),"Add package or proposed value",""),IF(AND(C242="Won",OR(P242="",V242="")),"Won needs renewal date and closed on",""),IF(AND(C242="Won",G242="Cash",J242=""),"Add agreed value",""),IF(AND(C242="Lost",OR(S242="",V242="")),"Lost needs reason and closed on",""),IF(AND(C242="Nurture",OR(T242="",U242="")),"Nurture needs reason and date","")))</f>
        <v/>
      </c>
      <c r="AB242" s="34" t="str">
        <f aca="false">IF(AND(C242="Won",V242&lt;&gt;"",V242&gt;=S_SemStart,V242&lt;=S_SemEnd),V242+ROW()/100000,"")</f>
        <v/>
      </c>
      <c r="AC242" s="34" t="str">
        <f aca="false">IF(AND(C242="Lost",V242&lt;&gt;"",V242&gt;=S_SemStart,V242&lt;=S_SemEnd),V242+ROW()/100000,"")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9"/>
      <c r="J243" s="29"/>
      <c r="K243" s="27"/>
      <c r="L243" s="27"/>
      <c r="M243" s="28"/>
      <c r="N243" s="28"/>
      <c r="O243" s="28"/>
      <c r="P243" s="28"/>
      <c r="Q243" s="27"/>
      <c r="R243" s="27"/>
      <c r="S243" s="27"/>
      <c r="T243" s="27"/>
      <c r="U243" s="28"/>
      <c r="V243" s="28"/>
      <c r="W243" s="27"/>
      <c r="X243" s="32" t="str">
        <f aca="false">IF(A243="","",IF(OR(C243="Planned",C243="Contacted",C243="Meeting",C243="Proposal sent",C243="Negotiation"),"Yes","No"))</f>
        <v/>
      </c>
      <c r="Y243" s="32" t="str">
        <f aca="false">IF(A243="","",IF(AND(C243="Won",P243&lt;&gt;"",P243&lt;=S_Today+S_RenewalDays,COUNTIFS($A$3:$A$502,A243,$F$3:$F$502,"Yes",$X$3:$X$502,"Yes")=0),"Renewal due",IF(X243&lt;&gt;"Yes","",IF(OR(L243="",M243=""),"Missing next action",IF(M243&lt;S_Today,"Overdue",IF(AND(C243="Contacted",_xlfn.MAXIFS(Interactions!$A$3:$A$502,Interactions!$B$3:$B$502,A243,Interactions!$F$3:$F$502,"Sent by us")&gt;0,_xlfn.MAXIFS(Interactions!$A$3:$A$502,Interactions!$B$3:$B$502,A243,Interactions!$F$3:$F$502,"Sent by us")&lt;=S_Today-S_NoReplyDays,MAX(_xlfn.MAXIFS(Interactions!$A$3:$A$502,Interactions!$B$3:$B$502,A243,Interactions!$F$3:$F$502,"Received from them"),_xlfn.MAXIFS(Interactions!$A$3:$A$502,Interactions!$B$3:$B$502,A243,Interactions!$F$3:$F$502,"Two-way"))&lt;_xlfn.MAXIFS(Interactions!$A$3:$A$502,Interactions!$B$3:$B$502,A243,Interactions!$F$3:$F$502,"Sent by us")),"No reply",IF(M243&lt;=S_Today+7,"Due this week","")))))))</f>
        <v/>
      </c>
      <c r="Z243" s="34" t="str">
        <f aca="false">IF(OR(A243="",Y243=""),"",IF(Y243="Renewal due",100000,IF(Y243="Overdue",200000,IF(Y243="No reply",300000,IF(Y243="Due this week",400000,500000))))+IF(Y243="Renewal due",P243-40000,IF(Y243="Missing next action",0,M243-40000))+ROW()/100000)</f>
        <v/>
      </c>
      <c r="AA243" s="32" t="str">
        <f aca="false">IF(A243="","",_xlfn.TEXTJOIN(", ",TRUE(),IF(AND(X243="Yes",D243=""),"No owner",IF(AND(D243&lt;&gt;"",COUNTIFS(R_TeamName,D243,R_TeamActive,"No")&gt;0),"Needs new owner","")),IF(AND(OR(C243="Proposal sent",C243="Negotiation"),H243="",I243="",K243=""),"Add package or proposed value",""),IF(AND(C243="Won",OR(P243="",V243="")),"Won needs renewal date and closed on",""),IF(AND(C243="Won",G243="Cash",J243=""),"Add agreed value",""),IF(AND(C243="Lost",OR(S243="",V243="")),"Lost needs reason and closed on",""),IF(AND(C243="Nurture",OR(T243="",U243="")),"Nurture needs reason and date","")))</f>
        <v/>
      </c>
      <c r="AB243" s="34" t="str">
        <f aca="false">IF(AND(C243="Won",V243&lt;&gt;"",V243&gt;=S_SemStart,V243&lt;=S_SemEnd),V243+ROW()/100000,"")</f>
        <v/>
      </c>
      <c r="AC243" s="34" t="str">
        <f aca="false">IF(AND(C243="Lost",V243&lt;&gt;"",V243&gt;=S_SemStart,V243&lt;=S_SemEnd),V243+ROW()/100000,"")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9"/>
      <c r="J244" s="29"/>
      <c r="K244" s="27"/>
      <c r="L244" s="27"/>
      <c r="M244" s="28"/>
      <c r="N244" s="28"/>
      <c r="O244" s="28"/>
      <c r="P244" s="28"/>
      <c r="Q244" s="27"/>
      <c r="R244" s="27"/>
      <c r="S244" s="27"/>
      <c r="T244" s="27"/>
      <c r="U244" s="28"/>
      <c r="V244" s="28"/>
      <c r="W244" s="27"/>
      <c r="X244" s="32" t="str">
        <f aca="false">IF(A244="","",IF(OR(C244="Planned",C244="Contacted",C244="Meeting",C244="Proposal sent",C244="Negotiation"),"Yes","No"))</f>
        <v/>
      </c>
      <c r="Y244" s="32" t="str">
        <f aca="false">IF(A244="","",IF(AND(C244="Won",P244&lt;&gt;"",P244&lt;=S_Today+S_RenewalDays,COUNTIFS($A$3:$A$502,A244,$F$3:$F$502,"Yes",$X$3:$X$502,"Yes")=0),"Renewal due",IF(X244&lt;&gt;"Yes","",IF(OR(L244="",M244=""),"Missing next action",IF(M244&lt;S_Today,"Overdue",IF(AND(C244="Contacted",_xlfn.MAXIFS(Interactions!$A$3:$A$502,Interactions!$B$3:$B$502,A244,Interactions!$F$3:$F$502,"Sent by us")&gt;0,_xlfn.MAXIFS(Interactions!$A$3:$A$502,Interactions!$B$3:$B$502,A244,Interactions!$F$3:$F$502,"Sent by us")&lt;=S_Today-S_NoReplyDays,MAX(_xlfn.MAXIFS(Interactions!$A$3:$A$502,Interactions!$B$3:$B$502,A244,Interactions!$F$3:$F$502,"Received from them"),_xlfn.MAXIFS(Interactions!$A$3:$A$502,Interactions!$B$3:$B$502,A244,Interactions!$F$3:$F$502,"Two-way"))&lt;_xlfn.MAXIFS(Interactions!$A$3:$A$502,Interactions!$B$3:$B$502,A244,Interactions!$F$3:$F$502,"Sent by us")),"No reply",IF(M244&lt;=S_Today+7,"Due this week","")))))))</f>
        <v/>
      </c>
      <c r="Z244" s="34" t="str">
        <f aca="false">IF(OR(A244="",Y244=""),"",IF(Y244="Renewal due",100000,IF(Y244="Overdue",200000,IF(Y244="No reply",300000,IF(Y244="Due this week",400000,500000))))+IF(Y244="Renewal due",P244-40000,IF(Y244="Missing next action",0,M244-40000))+ROW()/100000)</f>
        <v/>
      </c>
      <c r="AA244" s="32" t="str">
        <f aca="false">IF(A244="","",_xlfn.TEXTJOIN(", ",TRUE(),IF(AND(X244="Yes",D244=""),"No owner",IF(AND(D244&lt;&gt;"",COUNTIFS(R_TeamName,D244,R_TeamActive,"No")&gt;0),"Needs new owner","")),IF(AND(OR(C244="Proposal sent",C244="Negotiation"),H244="",I244="",K244=""),"Add package or proposed value",""),IF(AND(C244="Won",OR(P244="",V244="")),"Won needs renewal date and closed on",""),IF(AND(C244="Won",G244="Cash",J244=""),"Add agreed value",""),IF(AND(C244="Lost",OR(S244="",V244="")),"Lost needs reason and closed on",""),IF(AND(C244="Nurture",OR(T244="",U244="")),"Nurture needs reason and date","")))</f>
        <v/>
      </c>
      <c r="AB244" s="34" t="str">
        <f aca="false">IF(AND(C244="Won",V244&lt;&gt;"",V244&gt;=S_SemStart,V244&lt;=S_SemEnd),V244+ROW()/100000,"")</f>
        <v/>
      </c>
      <c r="AC244" s="34" t="str">
        <f aca="false">IF(AND(C244="Lost",V244&lt;&gt;"",V244&gt;=S_SemStart,V244&lt;=S_SemEnd),V244+ROW()/100000,"")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9"/>
      <c r="J245" s="29"/>
      <c r="K245" s="27"/>
      <c r="L245" s="27"/>
      <c r="M245" s="28"/>
      <c r="N245" s="28"/>
      <c r="O245" s="28"/>
      <c r="P245" s="28"/>
      <c r="Q245" s="27"/>
      <c r="R245" s="27"/>
      <c r="S245" s="27"/>
      <c r="T245" s="27"/>
      <c r="U245" s="28"/>
      <c r="V245" s="28"/>
      <c r="W245" s="27"/>
      <c r="X245" s="32" t="str">
        <f aca="false">IF(A245="","",IF(OR(C245="Planned",C245="Contacted",C245="Meeting",C245="Proposal sent",C245="Negotiation"),"Yes","No"))</f>
        <v/>
      </c>
      <c r="Y245" s="32" t="str">
        <f aca="false">IF(A245="","",IF(AND(C245="Won",P245&lt;&gt;"",P245&lt;=S_Today+S_RenewalDays,COUNTIFS($A$3:$A$502,A245,$F$3:$F$502,"Yes",$X$3:$X$502,"Yes")=0),"Renewal due",IF(X245&lt;&gt;"Yes","",IF(OR(L245="",M245=""),"Missing next action",IF(M245&lt;S_Today,"Overdue",IF(AND(C245="Contacted",_xlfn.MAXIFS(Interactions!$A$3:$A$502,Interactions!$B$3:$B$502,A245,Interactions!$F$3:$F$502,"Sent by us")&gt;0,_xlfn.MAXIFS(Interactions!$A$3:$A$502,Interactions!$B$3:$B$502,A245,Interactions!$F$3:$F$502,"Sent by us")&lt;=S_Today-S_NoReplyDays,MAX(_xlfn.MAXIFS(Interactions!$A$3:$A$502,Interactions!$B$3:$B$502,A245,Interactions!$F$3:$F$502,"Received from them"),_xlfn.MAXIFS(Interactions!$A$3:$A$502,Interactions!$B$3:$B$502,A245,Interactions!$F$3:$F$502,"Two-way"))&lt;_xlfn.MAXIFS(Interactions!$A$3:$A$502,Interactions!$B$3:$B$502,A245,Interactions!$F$3:$F$502,"Sent by us")),"No reply",IF(M245&lt;=S_Today+7,"Due this week","")))))))</f>
        <v/>
      </c>
      <c r="Z245" s="34" t="str">
        <f aca="false">IF(OR(A245="",Y245=""),"",IF(Y245="Renewal due",100000,IF(Y245="Overdue",200000,IF(Y245="No reply",300000,IF(Y245="Due this week",400000,500000))))+IF(Y245="Renewal due",P245-40000,IF(Y245="Missing next action",0,M245-40000))+ROW()/100000)</f>
        <v/>
      </c>
      <c r="AA245" s="32" t="str">
        <f aca="false">IF(A245="","",_xlfn.TEXTJOIN(", ",TRUE(),IF(AND(X245="Yes",D245=""),"No owner",IF(AND(D245&lt;&gt;"",COUNTIFS(R_TeamName,D245,R_TeamActive,"No")&gt;0),"Needs new owner","")),IF(AND(OR(C245="Proposal sent",C245="Negotiation"),H245="",I245="",K245=""),"Add package or proposed value",""),IF(AND(C245="Won",OR(P245="",V245="")),"Won needs renewal date and closed on",""),IF(AND(C245="Won",G245="Cash",J245=""),"Add agreed value",""),IF(AND(C245="Lost",OR(S245="",V245="")),"Lost needs reason and closed on",""),IF(AND(C245="Nurture",OR(T245="",U245="")),"Nurture needs reason and date","")))</f>
        <v/>
      </c>
      <c r="AB245" s="34" t="str">
        <f aca="false">IF(AND(C245="Won",V245&lt;&gt;"",V245&gt;=S_SemStart,V245&lt;=S_SemEnd),V245+ROW()/100000,"")</f>
        <v/>
      </c>
      <c r="AC245" s="34" t="str">
        <f aca="false">IF(AND(C245="Lost",V245&lt;&gt;"",V245&gt;=S_SemStart,V245&lt;=S_SemEnd),V245+ROW()/100000,"")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9"/>
      <c r="J246" s="29"/>
      <c r="K246" s="27"/>
      <c r="L246" s="27"/>
      <c r="M246" s="28"/>
      <c r="N246" s="28"/>
      <c r="O246" s="28"/>
      <c r="P246" s="28"/>
      <c r="Q246" s="27"/>
      <c r="R246" s="27"/>
      <c r="S246" s="27"/>
      <c r="T246" s="27"/>
      <c r="U246" s="28"/>
      <c r="V246" s="28"/>
      <c r="W246" s="27"/>
      <c r="X246" s="32" t="str">
        <f aca="false">IF(A246="","",IF(OR(C246="Planned",C246="Contacted",C246="Meeting",C246="Proposal sent",C246="Negotiation"),"Yes","No"))</f>
        <v/>
      </c>
      <c r="Y246" s="32" t="str">
        <f aca="false">IF(A246="","",IF(AND(C246="Won",P246&lt;&gt;"",P246&lt;=S_Today+S_RenewalDays,COUNTIFS($A$3:$A$502,A246,$F$3:$F$502,"Yes",$X$3:$X$502,"Yes")=0),"Renewal due",IF(X246&lt;&gt;"Yes","",IF(OR(L246="",M246=""),"Missing next action",IF(M246&lt;S_Today,"Overdue",IF(AND(C246="Contacted",_xlfn.MAXIFS(Interactions!$A$3:$A$502,Interactions!$B$3:$B$502,A246,Interactions!$F$3:$F$502,"Sent by us")&gt;0,_xlfn.MAXIFS(Interactions!$A$3:$A$502,Interactions!$B$3:$B$502,A246,Interactions!$F$3:$F$502,"Sent by us")&lt;=S_Today-S_NoReplyDays,MAX(_xlfn.MAXIFS(Interactions!$A$3:$A$502,Interactions!$B$3:$B$502,A246,Interactions!$F$3:$F$502,"Received from them"),_xlfn.MAXIFS(Interactions!$A$3:$A$502,Interactions!$B$3:$B$502,A246,Interactions!$F$3:$F$502,"Two-way"))&lt;_xlfn.MAXIFS(Interactions!$A$3:$A$502,Interactions!$B$3:$B$502,A246,Interactions!$F$3:$F$502,"Sent by us")),"No reply",IF(M246&lt;=S_Today+7,"Due this week","")))))))</f>
        <v/>
      </c>
      <c r="Z246" s="34" t="str">
        <f aca="false">IF(OR(A246="",Y246=""),"",IF(Y246="Renewal due",100000,IF(Y246="Overdue",200000,IF(Y246="No reply",300000,IF(Y246="Due this week",400000,500000))))+IF(Y246="Renewal due",P246-40000,IF(Y246="Missing next action",0,M246-40000))+ROW()/100000)</f>
        <v/>
      </c>
      <c r="AA246" s="32" t="str">
        <f aca="false">IF(A246="","",_xlfn.TEXTJOIN(", ",TRUE(),IF(AND(X246="Yes",D246=""),"No owner",IF(AND(D246&lt;&gt;"",COUNTIFS(R_TeamName,D246,R_TeamActive,"No")&gt;0),"Needs new owner","")),IF(AND(OR(C246="Proposal sent",C246="Negotiation"),H246="",I246="",K246=""),"Add package or proposed value",""),IF(AND(C246="Won",OR(P246="",V246="")),"Won needs renewal date and closed on",""),IF(AND(C246="Won",G246="Cash",J246=""),"Add agreed value",""),IF(AND(C246="Lost",OR(S246="",V246="")),"Lost needs reason and closed on",""),IF(AND(C246="Nurture",OR(T246="",U246="")),"Nurture needs reason and date","")))</f>
        <v/>
      </c>
      <c r="AB246" s="34" t="str">
        <f aca="false">IF(AND(C246="Won",V246&lt;&gt;"",V246&gt;=S_SemStart,V246&lt;=S_SemEnd),V246+ROW()/100000,"")</f>
        <v/>
      </c>
      <c r="AC246" s="34" t="str">
        <f aca="false">IF(AND(C246="Lost",V246&lt;&gt;"",V246&gt;=S_SemStart,V246&lt;=S_SemEnd),V246+ROW()/100000,"")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9"/>
      <c r="J247" s="29"/>
      <c r="K247" s="27"/>
      <c r="L247" s="27"/>
      <c r="M247" s="28"/>
      <c r="N247" s="28"/>
      <c r="O247" s="28"/>
      <c r="P247" s="28"/>
      <c r="Q247" s="27"/>
      <c r="R247" s="27"/>
      <c r="S247" s="27"/>
      <c r="T247" s="27"/>
      <c r="U247" s="28"/>
      <c r="V247" s="28"/>
      <c r="W247" s="27"/>
      <c r="X247" s="32" t="str">
        <f aca="false">IF(A247="","",IF(OR(C247="Planned",C247="Contacted",C247="Meeting",C247="Proposal sent",C247="Negotiation"),"Yes","No"))</f>
        <v/>
      </c>
      <c r="Y247" s="32" t="str">
        <f aca="false">IF(A247="","",IF(AND(C247="Won",P247&lt;&gt;"",P247&lt;=S_Today+S_RenewalDays,COUNTIFS($A$3:$A$502,A247,$F$3:$F$502,"Yes",$X$3:$X$502,"Yes")=0),"Renewal due",IF(X247&lt;&gt;"Yes","",IF(OR(L247="",M247=""),"Missing next action",IF(M247&lt;S_Today,"Overdue",IF(AND(C247="Contacted",_xlfn.MAXIFS(Interactions!$A$3:$A$502,Interactions!$B$3:$B$502,A247,Interactions!$F$3:$F$502,"Sent by us")&gt;0,_xlfn.MAXIFS(Interactions!$A$3:$A$502,Interactions!$B$3:$B$502,A247,Interactions!$F$3:$F$502,"Sent by us")&lt;=S_Today-S_NoReplyDays,MAX(_xlfn.MAXIFS(Interactions!$A$3:$A$502,Interactions!$B$3:$B$502,A247,Interactions!$F$3:$F$502,"Received from them"),_xlfn.MAXIFS(Interactions!$A$3:$A$502,Interactions!$B$3:$B$502,A247,Interactions!$F$3:$F$502,"Two-way"))&lt;_xlfn.MAXIFS(Interactions!$A$3:$A$502,Interactions!$B$3:$B$502,A247,Interactions!$F$3:$F$502,"Sent by us")),"No reply",IF(M247&lt;=S_Today+7,"Due this week","")))))))</f>
        <v/>
      </c>
      <c r="Z247" s="34" t="str">
        <f aca="false">IF(OR(A247="",Y247=""),"",IF(Y247="Renewal due",100000,IF(Y247="Overdue",200000,IF(Y247="No reply",300000,IF(Y247="Due this week",400000,500000))))+IF(Y247="Renewal due",P247-40000,IF(Y247="Missing next action",0,M247-40000))+ROW()/100000)</f>
        <v/>
      </c>
      <c r="AA247" s="32" t="str">
        <f aca="false">IF(A247="","",_xlfn.TEXTJOIN(", ",TRUE(),IF(AND(X247="Yes",D247=""),"No owner",IF(AND(D247&lt;&gt;"",COUNTIFS(R_TeamName,D247,R_TeamActive,"No")&gt;0),"Needs new owner","")),IF(AND(OR(C247="Proposal sent",C247="Negotiation"),H247="",I247="",K247=""),"Add package or proposed value",""),IF(AND(C247="Won",OR(P247="",V247="")),"Won needs renewal date and closed on",""),IF(AND(C247="Won",G247="Cash",J247=""),"Add agreed value",""),IF(AND(C247="Lost",OR(S247="",V247="")),"Lost needs reason and closed on",""),IF(AND(C247="Nurture",OR(T247="",U247="")),"Nurture needs reason and date","")))</f>
        <v/>
      </c>
      <c r="AB247" s="34" t="str">
        <f aca="false">IF(AND(C247="Won",V247&lt;&gt;"",V247&gt;=S_SemStart,V247&lt;=S_SemEnd),V247+ROW()/100000,"")</f>
        <v/>
      </c>
      <c r="AC247" s="34" t="str">
        <f aca="false">IF(AND(C247="Lost",V247&lt;&gt;"",V247&gt;=S_SemStart,V247&lt;=S_SemEnd),V247+ROW()/100000,"")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9"/>
      <c r="J248" s="29"/>
      <c r="K248" s="27"/>
      <c r="L248" s="27"/>
      <c r="M248" s="28"/>
      <c r="N248" s="28"/>
      <c r="O248" s="28"/>
      <c r="P248" s="28"/>
      <c r="Q248" s="27"/>
      <c r="R248" s="27"/>
      <c r="S248" s="27"/>
      <c r="T248" s="27"/>
      <c r="U248" s="28"/>
      <c r="V248" s="28"/>
      <c r="W248" s="27"/>
      <c r="X248" s="32" t="str">
        <f aca="false">IF(A248="","",IF(OR(C248="Planned",C248="Contacted",C248="Meeting",C248="Proposal sent",C248="Negotiation"),"Yes","No"))</f>
        <v/>
      </c>
      <c r="Y248" s="32" t="str">
        <f aca="false">IF(A248="","",IF(AND(C248="Won",P248&lt;&gt;"",P248&lt;=S_Today+S_RenewalDays,COUNTIFS($A$3:$A$502,A248,$F$3:$F$502,"Yes",$X$3:$X$502,"Yes")=0),"Renewal due",IF(X248&lt;&gt;"Yes","",IF(OR(L248="",M248=""),"Missing next action",IF(M248&lt;S_Today,"Overdue",IF(AND(C248="Contacted",_xlfn.MAXIFS(Interactions!$A$3:$A$502,Interactions!$B$3:$B$502,A248,Interactions!$F$3:$F$502,"Sent by us")&gt;0,_xlfn.MAXIFS(Interactions!$A$3:$A$502,Interactions!$B$3:$B$502,A248,Interactions!$F$3:$F$502,"Sent by us")&lt;=S_Today-S_NoReplyDays,MAX(_xlfn.MAXIFS(Interactions!$A$3:$A$502,Interactions!$B$3:$B$502,A248,Interactions!$F$3:$F$502,"Received from them"),_xlfn.MAXIFS(Interactions!$A$3:$A$502,Interactions!$B$3:$B$502,A248,Interactions!$F$3:$F$502,"Two-way"))&lt;_xlfn.MAXIFS(Interactions!$A$3:$A$502,Interactions!$B$3:$B$502,A248,Interactions!$F$3:$F$502,"Sent by us")),"No reply",IF(M248&lt;=S_Today+7,"Due this week","")))))))</f>
        <v/>
      </c>
      <c r="Z248" s="34" t="str">
        <f aca="false">IF(OR(A248="",Y248=""),"",IF(Y248="Renewal due",100000,IF(Y248="Overdue",200000,IF(Y248="No reply",300000,IF(Y248="Due this week",400000,500000))))+IF(Y248="Renewal due",P248-40000,IF(Y248="Missing next action",0,M248-40000))+ROW()/100000)</f>
        <v/>
      </c>
      <c r="AA248" s="32" t="str">
        <f aca="false">IF(A248="","",_xlfn.TEXTJOIN(", ",TRUE(),IF(AND(X248="Yes",D248=""),"No owner",IF(AND(D248&lt;&gt;"",COUNTIFS(R_TeamName,D248,R_TeamActive,"No")&gt;0),"Needs new owner","")),IF(AND(OR(C248="Proposal sent",C248="Negotiation"),H248="",I248="",K248=""),"Add package or proposed value",""),IF(AND(C248="Won",OR(P248="",V248="")),"Won needs renewal date and closed on",""),IF(AND(C248="Won",G248="Cash",J248=""),"Add agreed value",""),IF(AND(C248="Lost",OR(S248="",V248="")),"Lost needs reason and closed on",""),IF(AND(C248="Nurture",OR(T248="",U248="")),"Nurture needs reason and date","")))</f>
        <v/>
      </c>
      <c r="AB248" s="34" t="str">
        <f aca="false">IF(AND(C248="Won",V248&lt;&gt;"",V248&gt;=S_SemStart,V248&lt;=S_SemEnd),V248+ROW()/100000,"")</f>
        <v/>
      </c>
      <c r="AC248" s="34" t="str">
        <f aca="false">IF(AND(C248="Lost",V248&lt;&gt;"",V248&gt;=S_SemStart,V248&lt;=S_SemEnd),V248+ROW()/100000,"")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9"/>
      <c r="J249" s="29"/>
      <c r="K249" s="27"/>
      <c r="L249" s="27"/>
      <c r="M249" s="28"/>
      <c r="N249" s="28"/>
      <c r="O249" s="28"/>
      <c r="P249" s="28"/>
      <c r="Q249" s="27"/>
      <c r="R249" s="27"/>
      <c r="S249" s="27"/>
      <c r="T249" s="27"/>
      <c r="U249" s="28"/>
      <c r="V249" s="28"/>
      <c r="W249" s="27"/>
      <c r="X249" s="32" t="str">
        <f aca="false">IF(A249="","",IF(OR(C249="Planned",C249="Contacted",C249="Meeting",C249="Proposal sent",C249="Negotiation"),"Yes","No"))</f>
        <v/>
      </c>
      <c r="Y249" s="32" t="str">
        <f aca="false">IF(A249="","",IF(AND(C249="Won",P249&lt;&gt;"",P249&lt;=S_Today+S_RenewalDays,COUNTIFS($A$3:$A$502,A249,$F$3:$F$502,"Yes",$X$3:$X$502,"Yes")=0),"Renewal due",IF(X249&lt;&gt;"Yes","",IF(OR(L249="",M249=""),"Missing next action",IF(M249&lt;S_Today,"Overdue",IF(AND(C249="Contacted",_xlfn.MAXIFS(Interactions!$A$3:$A$502,Interactions!$B$3:$B$502,A249,Interactions!$F$3:$F$502,"Sent by us")&gt;0,_xlfn.MAXIFS(Interactions!$A$3:$A$502,Interactions!$B$3:$B$502,A249,Interactions!$F$3:$F$502,"Sent by us")&lt;=S_Today-S_NoReplyDays,MAX(_xlfn.MAXIFS(Interactions!$A$3:$A$502,Interactions!$B$3:$B$502,A249,Interactions!$F$3:$F$502,"Received from them"),_xlfn.MAXIFS(Interactions!$A$3:$A$502,Interactions!$B$3:$B$502,A249,Interactions!$F$3:$F$502,"Two-way"))&lt;_xlfn.MAXIFS(Interactions!$A$3:$A$502,Interactions!$B$3:$B$502,A249,Interactions!$F$3:$F$502,"Sent by us")),"No reply",IF(M249&lt;=S_Today+7,"Due this week","")))))))</f>
        <v/>
      </c>
      <c r="Z249" s="34" t="str">
        <f aca="false">IF(OR(A249="",Y249=""),"",IF(Y249="Renewal due",100000,IF(Y249="Overdue",200000,IF(Y249="No reply",300000,IF(Y249="Due this week",400000,500000))))+IF(Y249="Renewal due",P249-40000,IF(Y249="Missing next action",0,M249-40000))+ROW()/100000)</f>
        <v/>
      </c>
      <c r="AA249" s="32" t="str">
        <f aca="false">IF(A249="","",_xlfn.TEXTJOIN(", ",TRUE(),IF(AND(X249="Yes",D249=""),"No owner",IF(AND(D249&lt;&gt;"",COUNTIFS(R_TeamName,D249,R_TeamActive,"No")&gt;0),"Needs new owner","")),IF(AND(OR(C249="Proposal sent",C249="Negotiation"),H249="",I249="",K249=""),"Add package or proposed value",""),IF(AND(C249="Won",OR(P249="",V249="")),"Won needs renewal date and closed on",""),IF(AND(C249="Won",G249="Cash",J249=""),"Add agreed value",""),IF(AND(C249="Lost",OR(S249="",V249="")),"Lost needs reason and closed on",""),IF(AND(C249="Nurture",OR(T249="",U249="")),"Nurture needs reason and date","")))</f>
        <v/>
      </c>
      <c r="AB249" s="34" t="str">
        <f aca="false">IF(AND(C249="Won",V249&lt;&gt;"",V249&gt;=S_SemStart,V249&lt;=S_SemEnd),V249+ROW()/100000,"")</f>
        <v/>
      </c>
      <c r="AC249" s="34" t="str">
        <f aca="false">IF(AND(C249="Lost",V249&lt;&gt;"",V249&gt;=S_SemStart,V249&lt;=S_SemEnd),V249+ROW()/100000,"")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9"/>
      <c r="J250" s="29"/>
      <c r="K250" s="27"/>
      <c r="L250" s="27"/>
      <c r="M250" s="28"/>
      <c r="N250" s="28"/>
      <c r="O250" s="28"/>
      <c r="P250" s="28"/>
      <c r="Q250" s="27"/>
      <c r="R250" s="27"/>
      <c r="S250" s="27"/>
      <c r="T250" s="27"/>
      <c r="U250" s="28"/>
      <c r="V250" s="28"/>
      <c r="W250" s="27"/>
      <c r="X250" s="32" t="str">
        <f aca="false">IF(A250="","",IF(OR(C250="Planned",C250="Contacted",C250="Meeting",C250="Proposal sent",C250="Negotiation"),"Yes","No"))</f>
        <v/>
      </c>
      <c r="Y250" s="32" t="str">
        <f aca="false">IF(A250="","",IF(AND(C250="Won",P250&lt;&gt;"",P250&lt;=S_Today+S_RenewalDays,COUNTIFS($A$3:$A$502,A250,$F$3:$F$502,"Yes",$X$3:$X$502,"Yes")=0),"Renewal due",IF(X250&lt;&gt;"Yes","",IF(OR(L250="",M250=""),"Missing next action",IF(M250&lt;S_Today,"Overdue",IF(AND(C250="Contacted",_xlfn.MAXIFS(Interactions!$A$3:$A$502,Interactions!$B$3:$B$502,A250,Interactions!$F$3:$F$502,"Sent by us")&gt;0,_xlfn.MAXIFS(Interactions!$A$3:$A$502,Interactions!$B$3:$B$502,A250,Interactions!$F$3:$F$502,"Sent by us")&lt;=S_Today-S_NoReplyDays,MAX(_xlfn.MAXIFS(Interactions!$A$3:$A$502,Interactions!$B$3:$B$502,A250,Interactions!$F$3:$F$502,"Received from them"),_xlfn.MAXIFS(Interactions!$A$3:$A$502,Interactions!$B$3:$B$502,A250,Interactions!$F$3:$F$502,"Two-way"))&lt;_xlfn.MAXIFS(Interactions!$A$3:$A$502,Interactions!$B$3:$B$502,A250,Interactions!$F$3:$F$502,"Sent by us")),"No reply",IF(M250&lt;=S_Today+7,"Due this week","")))))))</f>
        <v/>
      </c>
      <c r="Z250" s="34" t="str">
        <f aca="false">IF(OR(A250="",Y250=""),"",IF(Y250="Renewal due",100000,IF(Y250="Overdue",200000,IF(Y250="No reply",300000,IF(Y250="Due this week",400000,500000))))+IF(Y250="Renewal due",P250-40000,IF(Y250="Missing next action",0,M250-40000))+ROW()/100000)</f>
        <v/>
      </c>
      <c r="AA250" s="32" t="str">
        <f aca="false">IF(A250="","",_xlfn.TEXTJOIN(", ",TRUE(),IF(AND(X250="Yes",D250=""),"No owner",IF(AND(D250&lt;&gt;"",COUNTIFS(R_TeamName,D250,R_TeamActive,"No")&gt;0),"Needs new owner","")),IF(AND(OR(C250="Proposal sent",C250="Negotiation"),H250="",I250="",K250=""),"Add package or proposed value",""),IF(AND(C250="Won",OR(P250="",V250="")),"Won needs renewal date and closed on",""),IF(AND(C250="Won",G250="Cash",J250=""),"Add agreed value",""),IF(AND(C250="Lost",OR(S250="",V250="")),"Lost needs reason and closed on",""),IF(AND(C250="Nurture",OR(T250="",U250="")),"Nurture needs reason and date","")))</f>
        <v/>
      </c>
      <c r="AB250" s="34" t="str">
        <f aca="false">IF(AND(C250="Won",V250&lt;&gt;"",V250&gt;=S_SemStart,V250&lt;=S_SemEnd),V250+ROW()/100000,"")</f>
        <v/>
      </c>
      <c r="AC250" s="34" t="str">
        <f aca="false">IF(AND(C250="Lost",V250&lt;&gt;"",V250&gt;=S_SemStart,V250&lt;=S_SemEnd),V250+ROW()/100000,"")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9"/>
      <c r="J251" s="29"/>
      <c r="K251" s="27"/>
      <c r="L251" s="27"/>
      <c r="M251" s="28"/>
      <c r="N251" s="28"/>
      <c r="O251" s="28"/>
      <c r="P251" s="28"/>
      <c r="Q251" s="27"/>
      <c r="R251" s="27"/>
      <c r="S251" s="27"/>
      <c r="T251" s="27"/>
      <c r="U251" s="28"/>
      <c r="V251" s="28"/>
      <c r="W251" s="27"/>
      <c r="X251" s="32" t="str">
        <f aca="false">IF(A251="","",IF(OR(C251="Planned",C251="Contacted",C251="Meeting",C251="Proposal sent",C251="Negotiation"),"Yes","No"))</f>
        <v/>
      </c>
      <c r="Y251" s="32" t="str">
        <f aca="false">IF(A251="","",IF(AND(C251="Won",P251&lt;&gt;"",P251&lt;=S_Today+S_RenewalDays,COUNTIFS($A$3:$A$502,A251,$F$3:$F$502,"Yes",$X$3:$X$502,"Yes")=0),"Renewal due",IF(X251&lt;&gt;"Yes","",IF(OR(L251="",M251=""),"Missing next action",IF(M251&lt;S_Today,"Overdue",IF(AND(C251="Contacted",_xlfn.MAXIFS(Interactions!$A$3:$A$502,Interactions!$B$3:$B$502,A251,Interactions!$F$3:$F$502,"Sent by us")&gt;0,_xlfn.MAXIFS(Interactions!$A$3:$A$502,Interactions!$B$3:$B$502,A251,Interactions!$F$3:$F$502,"Sent by us")&lt;=S_Today-S_NoReplyDays,MAX(_xlfn.MAXIFS(Interactions!$A$3:$A$502,Interactions!$B$3:$B$502,A251,Interactions!$F$3:$F$502,"Received from them"),_xlfn.MAXIFS(Interactions!$A$3:$A$502,Interactions!$B$3:$B$502,A251,Interactions!$F$3:$F$502,"Two-way"))&lt;_xlfn.MAXIFS(Interactions!$A$3:$A$502,Interactions!$B$3:$B$502,A251,Interactions!$F$3:$F$502,"Sent by us")),"No reply",IF(M251&lt;=S_Today+7,"Due this week","")))))))</f>
        <v/>
      </c>
      <c r="Z251" s="34" t="str">
        <f aca="false">IF(OR(A251="",Y251=""),"",IF(Y251="Renewal due",100000,IF(Y251="Overdue",200000,IF(Y251="No reply",300000,IF(Y251="Due this week",400000,500000))))+IF(Y251="Renewal due",P251-40000,IF(Y251="Missing next action",0,M251-40000))+ROW()/100000)</f>
        <v/>
      </c>
      <c r="AA251" s="32" t="str">
        <f aca="false">IF(A251="","",_xlfn.TEXTJOIN(", ",TRUE(),IF(AND(X251="Yes",D251=""),"No owner",IF(AND(D251&lt;&gt;"",COUNTIFS(R_TeamName,D251,R_TeamActive,"No")&gt;0),"Needs new owner","")),IF(AND(OR(C251="Proposal sent",C251="Negotiation"),H251="",I251="",K251=""),"Add package or proposed value",""),IF(AND(C251="Won",OR(P251="",V251="")),"Won needs renewal date and closed on",""),IF(AND(C251="Won",G251="Cash",J251=""),"Add agreed value",""),IF(AND(C251="Lost",OR(S251="",V251="")),"Lost needs reason and closed on",""),IF(AND(C251="Nurture",OR(T251="",U251="")),"Nurture needs reason and date","")))</f>
        <v/>
      </c>
      <c r="AB251" s="34" t="str">
        <f aca="false">IF(AND(C251="Won",V251&lt;&gt;"",V251&gt;=S_SemStart,V251&lt;=S_SemEnd),V251+ROW()/100000,"")</f>
        <v/>
      </c>
      <c r="AC251" s="34" t="str">
        <f aca="false">IF(AND(C251="Lost",V251&lt;&gt;"",V251&gt;=S_SemStart,V251&lt;=S_SemEnd),V251+ROW()/100000,"")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9"/>
      <c r="J252" s="29"/>
      <c r="K252" s="27"/>
      <c r="L252" s="27"/>
      <c r="M252" s="28"/>
      <c r="N252" s="28"/>
      <c r="O252" s="28"/>
      <c r="P252" s="28"/>
      <c r="Q252" s="27"/>
      <c r="R252" s="27"/>
      <c r="S252" s="27"/>
      <c r="T252" s="27"/>
      <c r="U252" s="28"/>
      <c r="V252" s="28"/>
      <c r="W252" s="27"/>
      <c r="X252" s="32" t="str">
        <f aca="false">IF(A252="","",IF(OR(C252="Planned",C252="Contacted",C252="Meeting",C252="Proposal sent",C252="Negotiation"),"Yes","No"))</f>
        <v/>
      </c>
      <c r="Y252" s="32" t="str">
        <f aca="false">IF(A252="","",IF(AND(C252="Won",P252&lt;&gt;"",P252&lt;=S_Today+S_RenewalDays,COUNTIFS($A$3:$A$502,A252,$F$3:$F$502,"Yes",$X$3:$X$502,"Yes")=0),"Renewal due",IF(X252&lt;&gt;"Yes","",IF(OR(L252="",M252=""),"Missing next action",IF(M252&lt;S_Today,"Overdue",IF(AND(C252="Contacted",_xlfn.MAXIFS(Interactions!$A$3:$A$502,Interactions!$B$3:$B$502,A252,Interactions!$F$3:$F$502,"Sent by us")&gt;0,_xlfn.MAXIFS(Interactions!$A$3:$A$502,Interactions!$B$3:$B$502,A252,Interactions!$F$3:$F$502,"Sent by us")&lt;=S_Today-S_NoReplyDays,MAX(_xlfn.MAXIFS(Interactions!$A$3:$A$502,Interactions!$B$3:$B$502,A252,Interactions!$F$3:$F$502,"Received from them"),_xlfn.MAXIFS(Interactions!$A$3:$A$502,Interactions!$B$3:$B$502,A252,Interactions!$F$3:$F$502,"Two-way"))&lt;_xlfn.MAXIFS(Interactions!$A$3:$A$502,Interactions!$B$3:$B$502,A252,Interactions!$F$3:$F$502,"Sent by us")),"No reply",IF(M252&lt;=S_Today+7,"Due this week","")))))))</f>
        <v/>
      </c>
      <c r="Z252" s="34" t="str">
        <f aca="false">IF(OR(A252="",Y252=""),"",IF(Y252="Renewal due",100000,IF(Y252="Overdue",200000,IF(Y252="No reply",300000,IF(Y252="Due this week",400000,500000))))+IF(Y252="Renewal due",P252-40000,IF(Y252="Missing next action",0,M252-40000))+ROW()/100000)</f>
        <v/>
      </c>
      <c r="AA252" s="32" t="str">
        <f aca="false">IF(A252="","",_xlfn.TEXTJOIN(", ",TRUE(),IF(AND(X252="Yes",D252=""),"No owner",IF(AND(D252&lt;&gt;"",COUNTIFS(R_TeamName,D252,R_TeamActive,"No")&gt;0),"Needs new owner","")),IF(AND(OR(C252="Proposal sent",C252="Negotiation"),H252="",I252="",K252=""),"Add package or proposed value",""),IF(AND(C252="Won",OR(P252="",V252="")),"Won needs renewal date and closed on",""),IF(AND(C252="Won",G252="Cash",J252=""),"Add agreed value",""),IF(AND(C252="Lost",OR(S252="",V252="")),"Lost needs reason and closed on",""),IF(AND(C252="Nurture",OR(T252="",U252="")),"Nurture needs reason and date","")))</f>
        <v/>
      </c>
      <c r="AB252" s="34" t="str">
        <f aca="false">IF(AND(C252="Won",V252&lt;&gt;"",V252&gt;=S_SemStart,V252&lt;=S_SemEnd),V252+ROW()/100000,"")</f>
        <v/>
      </c>
      <c r="AC252" s="34" t="str">
        <f aca="false">IF(AND(C252="Lost",V252&lt;&gt;"",V252&gt;=S_SemStart,V252&lt;=S_SemEnd),V252+ROW()/100000,"")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9"/>
      <c r="J253" s="29"/>
      <c r="K253" s="27"/>
      <c r="L253" s="27"/>
      <c r="M253" s="28"/>
      <c r="N253" s="28"/>
      <c r="O253" s="28"/>
      <c r="P253" s="28"/>
      <c r="Q253" s="27"/>
      <c r="R253" s="27"/>
      <c r="S253" s="27"/>
      <c r="T253" s="27"/>
      <c r="U253" s="28"/>
      <c r="V253" s="28"/>
      <c r="W253" s="27"/>
      <c r="X253" s="32" t="str">
        <f aca="false">IF(A253="","",IF(OR(C253="Planned",C253="Contacted",C253="Meeting",C253="Proposal sent",C253="Negotiation"),"Yes","No"))</f>
        <v/>
      </c>
      <c r="Y253" s="32" t="str">
        <f aca="false">IF(A253="","",IF(AND(C253="Won",P253&lt;&gt;"",P253&lt;=S_Today+S_RenewalDays,COUNTIFS($A$3:$A$502,A253,$F$3:$F$502,"Yes",$X$3:$X$502,"Yes")=0),"Renewal due",IF(X253&lt;&gt;"Yes","",IF(OR(L253="",M253=""),"Missing next action",IF(M253&lt;S_Today,"Overdue",IF(AND(C253="Contacted",_xlfn.MAXIFS(Interactions!$A$3:$A$502,Interactions!$B$3:$B$502,A253,Interactions!$F$3:$F$502,"Sent by us")&gt;0,_xlfn.MAXIFS(Interactions!$A$3:$A$502,Interactions!$B$3:$B$502,A253,Interactions!$F$3:$F$502,"Sent by us")&lt;=S_Today-S_NoReplyDays,MAX(_xlfn.MAXIFS(Interactions!$A$3:$A$502,Interactions!$B$3:$B$502,A253,Interactions!$F$3:$F$502,"Received from them"),_xlfn.MAXIFS(Interactions!$A$3:$A$502,Interactions!$B$3:$B$502,A253,Interactions!$F$3:$F$502,"Two-way"))&lt;_xlfn.MAXIFS(Interactions!$A$3:$A$502,Interactions!$B$3:$B$502,A253,Interactions!$F$3:$F$502,"Sent by us")),"No reply",IF(M253&lt;=S_Today+7,"Due this week","")))))))</f>
        <v/>
      </c>
      <c r="Z253" s="34" t="str">
        <f aca="false">IF(OR(A253="",Y253=""),"",IF(Y253="Renewal due",100000,IF(Y253="Overdue",200000,IF(Y253="No reply",300000,IF(Y253="Due this week",400000,500000))))+IF(Y253="Renewal due",P253-40000,IF(Y253="Missing next action",0,M253-40000))+ROW()/100000)</f>
        <v/>
      </c>
      <c r="AA253" s="32" t="str">
        <f aca="false">IF(A253="","",_xlfn.TEXTJOIN(", ",TRUE(),IF(AND(X253="Yes",D253=""),"No owner",IF(AND(D253&lt;&gt;"",COUNTIFS(R_TeamName,D253,R_TeamActive,"No")&gt;0),"Needs new owner","")),IF(AND(OR(C253="Proposal sent",C253="Negotiation"),H253="",I253="",K253=""),"Add package or proposed value",""),IF(AND(C253="Won",OR(P253="",V253="")),"Won needs renewal date and closed on",""),IF(AND(C253="Won",G253="Cash",J253=""),"Add agreed value",""),IF(AND(C253="Lost",OR(S253="",V253="")),"Lost needs reason and closed on",""),IF(AND(C253="Nurture",OR(T253="",U253="")),"Nurture needs reason and date","")))</f>
        <v/>
      </c>
      <c r="AB253" s="34" t="str">
        <f aca="false">IF(AND(C253="Won",V253&lt;&gt;"",V253&gt;=S_SemStart,V253&lt;=S_SemEnd),V253+ROW()/100000,"")</f>
        <v/>
      </c>
      <c r="AC253" s="34" t="str">
        <f aca="false">IF(AND(C253="Lost",V253&lt;&gt;"",V253&gt;=S_SemStart,V253&lt;=S_SemEnd),V253+ROW()/100000,"")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9"/>
      <c r="J254" s="29"/>
      <c r="K254" s="27"/>
      <c r="L254" s="27"/>
      <c r="M254" s="28"/>
      <c r="N254" s="28"/>
      <c r="O254" s="28"/>
      <c r="P254" s="28"/>
      <c r="Q254" s="27"/>
      <c r="R254" s="27"/>
      <c r="S254" s="27"/>
      <c r="T254" s="27"/>
      <c r="U254" s="28"/>
      <c r="V254" s="28"/>
      <c r="W254" s="27"/>
      <c r="X254" s="32" t="str">
        <f aca="false">IF(A254="","",IF(OR(C254="Planned",C254="Contacted",C254="Meeting",C254="Proposal sent",C254="Negotiation"),"Yes","No"))</f>
        <v/>
      </c>
      <c r="Y254" s="32" t="str">
        <f aca="false">IF(A254="","",IF(AND(C254="Won",P254&lt;&gt;"",P254&lt;=S_Today+S_RenewalDays,COUNTIFS($A$3:$A$502,A254,$F$3:$F$502,"Yes",$X$3:$X$502,"Yes")=0),"Renewal due",IF(X254&lt;&gt;"Yes","",IF(OR(L254="",M254=""),"Missing next action",IF(M254&lt;S_Today,"Overdue",IF(AND(C254="Contacted",_xlfn.MAXIFS(Interactions!$A$3:$A$502,Interactions!$B$3:$B$502,A254,Interactions!$F$3:$F$502,"Sent by us")&gt;0,_xlfn.MAXIFS(Interactions!$A$3:$A$502,Interactions!$B$3:$B$502,A254,Interactions!$F$3:$F$502,"Sent by us")&lt;=S_Today-S_NoReplyDays,MAX(_xlfn.MAXIFS(Interactions!$A$3:$A$502,Interactions!$B$3:$B$502,A254,Interactions!$F$3:$F$502,"Received from them"),_xlfn.MAXIFS(Interactions!$A$3:$A$502,Interactions!$B$3:$B$502,A254,Interactions!$F$3:$F$502,"Two-way"))&lt;_xlfn.MAXIFS(Interactions!$A$3:$A$502,Interactions!$B$3:$B$502,A254,Interactions!$F$3:$F$502,"Sent by us")),"No reply",IF(M254&lt;=S_Today+7,"Due this week","")))))))</f>
        <v/>
      </c>
      <c r="Z254" s="34" t="str">
        <f aca="false">IF(OR(A254="",Y254=""),"",IF(Y254="Renewal due",100000,IF(Y254="Overdue",200000,IF(Y254="No reply",300000,IF(Y254="Due this week",400000,500000))))+IF(Y254="Renewal due",P254-40000,IF(Y254="Missing next action",0,M254-40000))+ROW()/100000)</f>
        <v/>
      </c>
      <c r="AA254" s="32" t="str">
        <f aca="false">IF(A254="","",_xlfn.TEXTJOIN(", ",TRUE(),IF(AND(X254="Yes",D254=""),"No owner",IF(AND(D254&lt;&gt;"",COUNTIFS(R_TeamName,D254,R_TeamActive,"No")&gt;0),"Needs new owner","")),IF(AND(OR(C254="Proposal sent",C254="Negotiation"),H254="",I254="",K254=""),"Add package or proposed value",""),IF(AND(C254="Won",OR(P254="",V254="")),"Won needs renewal date and closed on",""),IF(AND(C254="Won",G254="Cash",J254=""),"Add agreed value",""),IF(AND(C254="Lost",OR(S254="",V254="")),"Lost needs reason and closed on",""),IF(AND(C254="Nurture",OR(T254="",U254="")),"Nurture needs reason and date","")))</f>
        <v/>
      </c>
      <c r="AB254" s="34" t="str">
        <f aca="false">IF(AND(C254="Won",V254&lt;&gt;"",V254&gt;=S_SemStart,V254&lt;=S_SemEnd),V254+ROW()/100000,"")</f>
        <v/>
      </c>
      <c r="AC254" s="34" t="str">
        <f aca="false">IF(AND(C254="Lost",V254&lt;&gt;"",V254&gt;=S_SemStart,V254&lt;=S_SemEnd),V254+ROW()/100000,"")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9"/>
      <c r="J255" s="29"/>
      <c r="K255" s="27"/>
      <c r="L255" s="27"/>
      <c r="M255" s="28"/>
      <c r="N255" s="28"/>
      <c r="O255" s="28"/>
      <c r="P255" s="28"/>
      <c r="Q255" s="27"/>
      <c r="R255" s="27"/>
      <c r="S255" s="27"/>
      <c r="T255" s="27"/>
      <c r="U255" s="28"/>
      <c r="V255" s="28"/>
      <c r="W255" s="27"/>
      <c r="X255" s="32" t="str">
        <f aca="false">IF(A255="","",IF(OR(C255="Planned",C255="Contacted",C255="Meeting",C255="Proposal sent",C255="Negotiation"),"Yes","No"))</f>
        <v/>
      </c>
      <c r="Y255" s="32" t="str">
        <f aca="false">IF(A255="","",IF(AND(C255="Won",P255&lt;&gt;"",P255&lt;=S_Today+S_RenewalDays,COUNTIFS($A$3:$A$502,A255,$F$3:$F$502,"Yes",$X$3:$X$502,"Yes")=0),"Renewal due",IF(X255&lt;&gt;"Yes","",IF(OR(L255="",M255=""),"Missing next action",IF(M255&lt;S_Today,"Overdue",IF(AND(C255="Contacted",_xlfn.MAXIFS(Interactions!$A$3:$A$502,Interactions!$B$3:$B$502,A255,Interactions!$F$3:$F$502,"Sent by us")&gt;0,_xlfn.MAXIFS(Interactions!$A$3:$A$502,Interactions!$B$3:$B$502,A255,Interactions!$F$3:$F$502,"Sent by us")&lt;=S_Today-S_NoReplyDays,MAX(_xlfn.MAXIFS(Interactions!$A$3:$A$502,Interactions!$B$3:$B$502,A255,Interactions!$F$3:$F$502,"Received from them"),_xlfn.MAXIFS(Interactions!$A$3:$A$502,Interactions!$B$3:$B$502,A255,Interactions!$F$3:$F$502,"Two-way"))&lt;_xlfn.MAXIFS(Interactions!$A$3:$A$502,Interactions!$B$3:$B$502,A255,Interactions!$F$3:$F$502,"Sent by us")),"No reply",IF(M255&lt;=S_Today+7,"Due this week","")))))))</f>
        <v/>
      </c>
      <c r="Z255" s="34" t="str">
        <f aca="false">IF(OR(A255="",Y255=""),"",IF(Y255="Renewal due",100000,IF(Y255="Overdue",200000,IF(Y255="No reply",300000,IF(Y255="Due this week",400000,500000))))+IF(Y255="Renewal due",P255-40000,IF(Y255="Missing next action",0,M255-40000))+ROW()/100000)</f>
        <v/>
      </c>
      <c r="AA255" s="32" t="str">
        <f aca="false">IF(A255="","",_xlfn.TEXTJOIN(", ",TRUE(),IF(AND(X255="Yes",D255=""),"No owner",IF(AND(D255&lt;&gt;"",COUNTIFS(R_TeamName,D255,R_TeamActive,"No")&gt;0),"Needs new owner","")),IF(AND(OR(C255="Proposal sent",C255="Negotiation"),H255="",I255="",K255=""),"Add package or proposed value",""),IF(AND(C255="Won",OR(P255="",V255="")),"Won needs renewal date and closed on",""),IF(AND(C255="Won",G255="Cash",J255=""),"Add agreed value",""),IF(AND(C255="Lost",OR(S255="",V255="")),"Lost needs reason and closed on",""),IF(AND(C255="Nurture",OR(T255="",U255="")),"Nurture needs reason and date","")))</f>
        <v/>
      </c>
      <c r="AB255" s="34" t="str">
        <f aca="false">IF(AND(C255="Won",V255&lt;&gt;"",V255&gt;=S_SemStart,V255&lt;=S_SemEnd),V255+ROW()/100000,"")</f>
        <v/>
      </c>
      <c r="AC255" s="34" t="str">
        <f aca="false">IF(AND(C255="Lost",V255&lt;&gt;"",V255&gt;=S_SemStart,V255&lt;=S_SemEnd),V255+ROW()/100000,"")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9"/>
      <c r="J256" s="29"/>
      <c r="K256" s="27"/>
      <c r="L256" s="27"/>
      <c r="M256" s="28"/>
      <c r="N256" s="28"/>
      <c r="O256" s="28"/>
      <c r="P256" s="28"/>
      <c r="Q256" s="27"/>
      <c r="R256" s="27"/>
      <c r="S256" s="27"/>
      <c r="T256" s="27"/>
      <c r="U256" s="28"/>
      <c r="V256" s="28"/>
      <c r="W256" s="27"/>
      <c r="X256" s="32" t="str">
        <f aca="false">IF(A256="","",IF(OR(C256="Planned",C256="Contacted",C256="Meeting",C256="Proposal sent",C256="Negotiation"),"Yes","No"))</f>
        <v/>
      </c>
      <c r="Y256" s="32" t="str">
        <f aca="false">IF(A256="","",IF(AND(C256="Won",P256&lt;&gt;"",P256&lt;=S_Today+S_RenewalDays,COUNTIFS($A$3:$A$502,A256,$F$3:$F$502,"Yes",$X$3:$X$502,"Yes")=0),"Renewal due",IF(X256&lt;&gt;"Yes","",IF(OR(L256="",M256=""),"Missing next action",IF(M256&lt;S_Today,"Overdue",IF(AND(C256="Contacted",_xlfn.MAXIFS(Interactions!$A$3:$A$502,Interactions!$B$3:$B$502,A256,Interactions!$F$3:$F$502,"Sent by us")&gt;0,_xlfn.MAXIFS(Interactions!$A$3:$A$502,Interactions!$B$3:$B$502,A256,Interactions!$F$3:$F$502,"Sent by us")&lt;=S_Today-S_NoReplyDays,MAX(_xlfn.MAXIFS(Interactions!$A$3:$A$502,Interactions!$B$3:$B$502,A256,Interactions!$F$3:$F$502,"Received from them"),_xlfn.MAXIFS(Interactions!$A$3:$A$502,Interactions!$B$3:$B$502,A256,Interactions!$F$3:$F$502,"Two-way"))&lt;_xlfn.MAXIFS(Interactions!$A$3:$A$502,Interactions!$B$3:$B$502,A256,Interactions!$F$3:$F$502,"Sent by us")),"No reply",IF(M256&lt;=S_Today+7,"Due this week","")))))))</f>
        <v/>
      </c>
      <c r="Z256" s="34" t="str">
        <f aca="false">IF(OR(A256="",Y256=""),"",IF(Y256="Renewal due",100000,IF(Y256="Overdue",200000,IF(Y256="No reply",300000,IF(Y256="Due this week",400000,500000))))+IF(Y256="Renewal due",P256-40000,IF(Y256="Missing next action",0,M256-40000))+ROW()/100000)</f>
        <v/>
      </c>
      <c r="AA256" s="32" t="str">
        <f aca="false">IF(A256="","",_xlfn.TEXTJOIN(", ",TRUE(),IF(AND(X256="Yes",D256=""),"No owner",IF(AND(D256&lt;&gt;"",COUNTIFS(R_TeamName,D256,R_TeamActive,"No")&gt;0),"Needs new owner","")),IF(AND(OR(C256="Proposal sent",C256="Negotiation"),H256="",I256="",K256=""),"Add package or proposed value",""),IF(AND(C256="Won",OR(P256="",V256="")),"Won needs renewal date and closed on",""),IF(AND(C256="Won",G256="Cash",J256=""),"Add agreed value",""),IF(AND(C256="Lost",OR(S256="",V256="")),"Lost needs reason and closed on",""),IF(AND(C256="Nurture",OR(T256="",U256="")),"Nurture needs reason and date","")))</f>
        <v/>
      </c>
      <c r="AB256" s="34" t="str">
        <f aca="false">IF(AND(C256="Won",V256&lt;&gt;"",V256&gt;=S_SemStart,V256&lt;=S_SemEnd),V256+ROW()/100000,"")</f>
        <v/>
      </c>
      <c r="AC256" s="34" t="str">
        <f aca="false">IF(AND(C256="Lost",V256&lt;&gt;"",V256&gt;=S_SemStart,V256&lt;=S_SemEnd),V256+ROW()/100000,"")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9"/>
      <c r="J257" s="29"/>
      <c r="K257" s="27"/>
      <c r="L257" s="27"/>
      <c r="M257" s="28"/>
      <c r="N257" s="28"/>
      <c r="O257" s="28"/>
      <c r="P257" s="28"/>
      <c r="Q257" s="27"/>
      <c r="R257" s="27"/>
      <c r="S257" s="27"/>
      <c r="T257" s="27"/>
      <c r="U257" s="28"/>
      <c r="V257" s="28"/>
      <c r="W257" s="27"/>
      <c r="X257" s="32" t="str">
        <f aca="false">IF(A257="","",IF(OR(C257="Planned",C257="Contacted",C257="Meeting",C257="Proposal sent",C257="Negotiation"),"Yes","No"))</f>
        <v/>
      </c>
      <c r="Y257" s="32" t="str">
        <f aca="false">IF(A257="","",IF(AND(C257="Won",P257&lt;&gt;"",P257&lt;=S_Today+S_RenewalDays,COUNTIFS($A$3:$A$502,A257,$F$3:$F$502,"Yes",$X$3:$X$502,"Yes")=0),"Renewal due",IF(X257&lt;&gt;"Yes","",IF(OR(L257="",M257=""),"Missing next action",IF(M257&lt;S_Today,"Overdue",IF(AND(C257="Contacted",_xlfn.MAXIFS(Interactions!$A$3:$A$502,Interactions!$B$3:$B$502,A257,Interactions!$F$3:$F$502,"Sent by us")&gt;0,_xlfn.MAXIFS(Interactions!$A$3:$A$502,Interactions!$B$3:$B$502,A257,Interactions!$F$3:$F$502,"Sent by us")&lt;=S_Today-S_NoReplyDays,MAX(_xlfn.MAXIFS(Interactions!$A$3:$A$502,Interactions!$B$3:$B$502,A257,Interactions!$F$3:$F$502,"Received from them"),_xlfn.MAXIFS(Interactions!$A$3:$A$502,Interactions!$B$3:$B$502,A257,Interactions!$F$3:$F$502,"Two-way"))&lt;_xlfn.MAXIFS(Interactions!$A$3:$A$502,Interactions!$B$3:$B$502,A257,Interactions!$F$3:$F$502,"Sent by us")),"No reply",IF(M257&lt;=S_Today+7,"Due this week","")))))))</f>
        <v/>
      </c>
      <c r="Z257" s="34" t="str">
        <f aca="false">IF(OR(A257="",Y257=""),"",IF(Y257="Renewal due",100000,IF(Y257="Overdue",200000,IF(Y257="No reply",300000,IF(Y257="Due this week",400000,500000))))+IF(Y257="Renewal due",P257-40000,IF(Y257="Missing next action",0,M257-40000))+ROW()/100000)</f>
        <v/>
      </c>
      <c r="AA257" s="32" t="str">
        <f aca="false">IF(A257="","",_xlfn.TEXTJOIN(", ",TRUE(),IF(AND(X257="Yes",D257=""),"No owner",IF(AND(D257&lt;&gt;"",COUNTIFS(R_TeamName,D257,R_TeamActive,"No")&gt;0),"Needs new owner","")),IF(AND(OR(C257="Proposal sent",C257="Negotiation"),H257="",I257="",K257=""),"Add package or proposed value",""),IF(AND(C257="Won",OR(P257="",V257="")),"Won needs renewal date and closed on",""),IF(AND(C257="Won",G257="Cash",J257=""),"Add agreed value",""),IF(AND(C257="Lost",OR(S257="",V257="")),"Lost needs reason and closed on",""),IF(AND(C257="Nurture",OR(T257="",U257="")),"Nurture needs reason and date","")))</f>
        <v/>
      </c>
      <c r="AB257" s="34" t="str">
        <f aca="false">IF(AND(C257="Won",V257&lt;&gt;"",V257&gt;=S_SemStart,V257&lt;=S_SemEnd),V257+ROW()/100000,"")</f>
        <v/>
      </c>
      <c r="AC257" s="34" t="str">
        <f aca="false">IF(AND(C257="Lost",V257&lt;&gt;"",V257&gt;=S_SemStart,V257&lt;=S_SemEnd),V257+ROW()/100000,"")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9"/>
      <c r="J258" s="29"/>
      <c r="K258" s="27"/>
      <c r="L258" s="27"/>
      <c r="M258" s="28"/>
      <c r="N258" s="28"/>
      <c r="O258" s="28"/>
      <c r="P258" s="28"/>
      <c r="Q258" s="27"/>
      <c r="R258" s="27"/>
      <c r="S258" s="27"/>
      <c r="T258" s="27"/>
      <c r="U258" s="28"/>
      <c r="V258" s="28"/>
      <c r="W258" s="27"/>
      <c r="X258" s="32" t="str">
        <f aca="false">IF(A258="","",IF(OR(C258="Planned",C258="Contacted",C258="Meeting",C258="Proposal sent",C258="Negotiation"),"Yes","No"))</f>
        <v/>
      </c>
      <c r="Y258" s="32" t="str">
        <f aca="false">IF(A258="","",IF(AND(C258="Won",P258&lt;&gt;"",P258&lt;=S_Today+S_RenewalDays,COUNTIFS($A$3:$A$502,A258,$F$3:$F$502,"Yes",$X$3:$X$502,"Yes")=0),"Renewal due",IF(X258&lt;&gt;"Yes","",IF(OR(L258="",M258=""),"Missing next action",IF(M258&lt;S_Today,"Overdue",IF(AND(C258="Contacted",_xlfn.MAXIFS(Interactions!$A$3:$A$502,Interactions!$B$3:$B$502,A258,Interactions!$F$3:$F$502,"Sent by us")&gt;0,_xlfn.MAXIFS(Interactions!$A$3:$A$502,Interactions!$B$3:$B$502,A258,Interactions!$F$3:$F$502,"Sent by us")&lt;=S_Today-S_NoReplyDays,MAX(_xlfn.MAXIFS(Interactions!$A$3:$A$502,Interactions!$B$3:$B$502,A258,Interactions!$F$3:$F$502,"Received from them"),_xlfn.MAXIFS(Interactions!$A$3:$A$502,Interactions!$B$3:$B$502,A258,Interactions!$F$3:$F$502,"Two-way"))&lt;_xlfn.MAXIFS(Interactions!$A$3:$A$502,Interactions!$B$3:$B$502,A258,Interactions!$F$3:$F$502,"Sent by us")),"No reply",IF(M258&lt;=S_Today+7,"Due this week","")))))))</f>
        <v/>
      </c>
      <c r="Z258" s="34" t="str">
        <f aca="false">IF(OR(A258="",Y258=""),"",IF(Y258="Renewal due",100000,IF(Y258="Overdue",200000,IF(Y258="No reply",300000,IF(Y258="Due this week",400000,500000))))+IF(Y258="Renewal due",P258-40000,IF(Y258="Missing next action",0,M258-40000))+ROW()/100000)</f>
        <v/>
      </c>
      <c r="AA258" s="32" t="str">
        <f aca="false">IF(A258="","",_xlfn.TEXTJOIN(", ",TRUE(),IF(AND(X258="Yes",D258=""),"No owner",IF(AND(D258&lt;&gt;"",COUNTIFS(R_TeamName,D258,R_TeamActive,"No")&gt;0),"Needs new owner","")),IF(AND(OR(C258="Proposal sent",C258="Negotiation"),H258="",I258="",K258=""),"Add package or proposed value",""),IF(AND(C258="Won",OR(P258="",V258="")),"Won needs renewal date and closed on",""),IF(AND(C258="Won",G258="Cash",J258=""),"Add agreed value",""),IF(AND(C258="Lost",OR(S258="",V258="")),"Lost needs reason and closed on",""),IF(AND(C258="Nurture",OR(T258="",U258="")),"Nurture needs reason and date","")))</f>
        <v/>
      </c>
      <c r="AB258" s="34" t="str">
        <f aca="false">IF(AND(C258="Won",V258&lt;&gt;"",V258&gt;=S_SemStart,V258&lt;=S_SemEnd),V258+ROW()/100000,"")</f>
        <v/>
      </c>
      <c r="AC258" s="34" t="str">
        <f aca="false">IF(AND(C258="Lost",V258&lt;&gt;"",V258&gt;=S_SemStart,V258&lt;=S_SemEnd),V258+ROW()/100000,"")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9"/>
      <c r="J259" s="29"/>
      <c r="K259" s="27"/>
      <c r="L259" s="27"/>
      <c r="M259" s="28"/>
      <c r="N259" s="28"/>
      <c r="O259" s="28"/>
      <c r="P259" s="28"/>
      <c r="Q259" s="27"/>
      <c r="R259" s="27"/>
      <c r="S259" s="27"/>
      <c r="T259" s="27"/>
      <c r="U259" s="28"/>
      <c r="V259" s="28"/>
      <c r="W259" s="27"/>
      <c r="X259" s="32" t="str">
        <f aca="false">IF(A259="","",IF(OR(C259="Planned",C259="Contacted",C259="Meeting",C259="Proposal sent",C259="Negotiation"),"Yes","No"))</f>
        <v/>
      </c>
      <c r="Y259" s="32" t="str">
        <f aca="false">IF(A259="","",IF(AND(C259="Won",P259&lt;&gt;"",P259&lt;=S_Today+S_RenewalDays,COUNTIFS($A$3:$A$502,A259,$F$3:$F$502,"Yes",$X$3:$X$502,"Yes")=0),"Renewal due",IF(X259&lt;&gt;"Yes","",IF(OR(L259="",M259=""),"Missing next action",IF(M259&lt;S_Today,"Overdue",IF(AND(C259="Contacted",_xlfn.MAXIFS(Interactions!$A$3:$A$502,Interactions!$B$3:$B$502,A259,Interactions!$F$3:$F$502,"Sent by us")&gt;0,_xlfn.MAXIFS(Interactions!$A$3:$A$502,Interactions!$B$3:$B$502,A259,Interactions!$F$3:$F$502,"Sent by us")&lt;=S_Today-S_NoReplyDays,MAX(_xlfn.MAXIFS(Interactions!$A$3:$A$502,Interactions!$B$3:$B$502,A259,Interactions!$F$3:$F$502,"Received from them"),_xlfn.MAXIFS(Interactions!$A$3:$A$502,Interactions!$B$3:$B$502,A259,Interactions!$F$3:$F$502,"Two-way"))&lt;_xlfn.MAXIFS(Interactions!$A$3:$A$502,Interactions!$B$3:$B$502,A259,Interactions!$F$3:$F$502,"Sent by us")),"No reply",IF(M259&lt;=S_Today+7,"Due this week","")))))))</f>
        <v/>
      </c>
      <c r="Z259" s="34" t="str">
        <f aca="false">IF(OR(A259="",Y259=""),"",IF(Y259="Renewal due",100000,IF(Y259="Overdue",200000,IF(Y259="No reply",300000,IF(Y259="Due this week",400000,500000))))+IF(Y259="Renewal due",P259-40000,IF(Y259="Missing next action",0,M259-40000))+ROW()/100000)</f>
        <v/>
      </c>
      <c r="AA259" s="32" t="str">
        <f aca="false">IF(A259="","",_xlfn.TEXTJOIN(", ",TRUE(),IF(AND(X259="Yes",D259=""),"No owner",IF(AND(D259&lt;&gt;"",COUNTIFS(R_TeamName,D259,R_TeamActive,"No")&gt;0),"Needs new owner","")),IF(AND(OR(C259="Proposal sent",C259="Negotiation"),H259="",I259="",K259=""),"Add package or proposed value",""),IF(AND(C259="Won",OR(P259="",V259="")),"Won needs renewal date and closed on",""),IF(AND(C259="Won",G259="Cash",J259=""),"Add agreed value",""),IF(AND(C259="Lost",OR(S259="",V259="")),"Lost needs reason and closed on",""),IF(AND(C259="Nurture",OR(T259="",U259="")),"Nurture needs reason and date","")))</f>
        <v/>
      </c>
      <c r="AB259" s="34" t="str">
        <f aca="false">IF(AND(C259="Won",V259&lt;&gt;"",V259&gt;=S_SemStart,V259&lt;=S_SemEnd),V259+ROW()/100000,"")</f>
        <v/>
      </c>
      <c r="AC259" s="34" t="str">
        <f aca="false">IF(AND(C259="Lost",V259&lt;&gt;"",V259&gt;=S_SemStart,V259&lt;=S_SemEnd),V259+ROW()/100000,"")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9"/>
      <c r="J260" s="29"/>
      <c r="K260" s="27"/>
      <c r="L260" s="27"/>
      <c r="M260" s="28"/>
      <c r="N260" s="28"/>
      <c r="O260" s="28"/>
      <c r="P260" s="28"/>
      <c r="Q260" s="27"/>
      <c r="R260" s="27"/>
      <c r="S260" s="27"/>
      <c r="T260" s="27"/>
      <c r="U260" s="28"/>
      <c r="V260" s="28"/>
      <c r="W260" s="27"/>
      <c r="X260" s="32" t="str">
        <f aca="false">IF(A260="","",IF(OR(C260="Planned",C260="Contacted",C260="Meeting",C260="Proposal sent",C260="Negotiation"),"Yes","No"))</f>
        <v/>
      </c>
      <c r="Y260" s="32" t="str">
        <f aca="false">IF(A260="","",IF(AND(C260="Won",P260&lt;&gt;"",P260&lt;=S_Today+S_RenewalDays,COUNTIFS($A$3:$A$502,A260,$F$3:$F$502,"Yes",$X$3:$X$502,"Yes")=0),"Renewal due",IF(X260&lt;&gt;"Yes","",IF(OR(L260="",M260=""),"Missing next action",IF(M260&lt;S_Today,"Overdue",IF(AND(C260="Contacted",_xlfn.MAXIFS(Interactions!$A$3:$A$502,Interactions!$B$3:$B$502,A260,Interactions!$F$3:$F$502,"Sent by us")&gt;0,_xlfn.MAXIFS(Interactions!$A$3:$A$502,Interactions!$B$3:$B$502,A260,Interactions!$F$3:$F$502,"Sent by us")&lt;=S_Today-S_NoReplyDays,MAX(_xlfn.MAXIFS(Interactions!$A$3:$A$502,Interactions!$B$3:$B$502,A260,Interactions!$F$3:$F$502,"Received from them"),_xlfn.MAXIFS(Interactions!$A$3:$A$502,Interactions!$B$3:$B$502,A260,Interactions!$F$3:$F$502,"Two-way"))&lt;_xlfn.MAXIFS(Interactions!$A$3:$A$502,Interactions!$B$3:$B$502,A260,Interactions!$F$3:$F$502,"Sent by us")),"No reply",IF(M260&lt;=S_Today+7,"Due this week","")))))))</f>
        <v/>
      </c>
      <c r="Z260" s="34" t="str">
        <f aca="false">IF(OR(A260="",Y260=""),"",IF(Y260="Renewal due",100000,IF(Y260="Overdue",200000,IF(Y260="No reply",300000,IF(Y260="Due this week",400000,500000))))+IF(Y260="Renewal due",P260-40000,IF(Y260="Missing next action",0,M260-40000))+ROW()/100000)</f>
        <v/>
      </c>
      <c r="AA260" s="32" t="str">
        <f aca="false">IF(A260="","",_xlfn.TEXTJOIN(", ",TRUE(),IF(AND(X260="Yes",D260=""),"No owner",IF(AND(D260&lt;&gt;"",COUNTIFS(R_TeamName,D260,R_TeamActive,"No")&gt;0),"Needs new owner","")),IF(AND(OR(C260="Proposal sent",C260="Negotiation"),H260="",I260="",K260=""),"Add package or proposed value",""),IF(AND(C260="Won",OR(P260="",V260="")),"Won needs renewal date and closed on",""),IF(AND(C260="Won",G260="Cash",J260=""),"Add agreed value",""),IF(AND(C260="Lost",OR(S260="",V260="")),"Lost needs reason and closed on",""),IF(AND(C260="Nurture",OR(T260="",U260="")),"Nurture needs reason and date","")))</f>
        <v/>
      </c>
      <c r="AB260" s="34" t="str">
        <f aca="false">IF(AND(C260="Won",V260&lt;&gt;"",V260&gt;=S_SemStart,V260&lt;=S_SemEnd),V260+ROW()/100000,"")</f>
        <v/>
      </c>
      <c r="AC260" s="34" t="str">
        <f aca="false">IF(AND(C260="Lost",V260&lt;&gt;"",V260&gt;=S_SemStart,V260&lt;=S_SemEnd),V260+ROW()/100000,"")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9"/>
      <c r="J261" s="29"/>
      <c r="K261" s="27"/>
      <c r="L261" s="27"/>
      <c r="M261" s="28"/>
      <c r="N261" s="28"/>
      <c r="O261" s="28"/>
      <c r="P261" s="28"/>
      <c r="Q261" s="27"/>
      <c r="R261" s="27"/>
      <c r="S261" s="27"/>
      <c r="T261" s="27"/>
      <c r="U261" s="28"/>
      <c r="V261" s="28"/>
      <c r="W261" s="27"/>
      <c r="X261" s="32" t="str">
        <f aca="false">IF(A261="","",IF(OR(C261="Planned",C261="Contacted",C261="Meeting",C261="Proposal sent",C261="Negotiation"),"Yes","No"))</f>
        <v/>
      </c>
      <c r="Y261" s="32" t="str">
        <f aca="false">IF(A261="","",IF(AND(C261="Won",P261&lt;&gt;"",P261&lt;=S_Today+S_RenewalDays,COUNTIFS($A$3:$A$502,A261,$F$3:$F$502,"Yes",$X$3:$X$502,"Yes")=0),"Renewal due",IF(X261&lt;&gt;"Yes","",IF(OR(L261="",M261=""),"Missing next action",IF(M261&lt;S_Today,"Overdue",IF(AND(C261="Contacted",_xlfn.MAXIFS(Interactions!$A$3:$A$502,Interactions!$B$3:$B$502,A261,Interactions!$F$3:$F$502,"Sent by us")&gt;0,_xlfn.MAXIFS(Interactions!$A$3:$A$502,Interactions!$B$3:$B$502,A261,Interactions!$F$3:$F$502,"Sent by us")&lt;=S_Today-S_NoReplyDays,MAX(_xlfn.MAXIFS(Interactions!$A$3:$A$502,Interactions!$B$3:$B$502,A261,Interactions!$F$3:$F$502,"Received from them"),_xlfn.MAXIFS(Interactions!$A$3:$A$502,Interactions!$B$3:$B$502,A261,Interactions!$F$3:$F$502,"Two-way"))&lt;_xlfn.MAXIFS(Interactions!$A$3:$A$502,Interactions!$B$3:$B$502,A261,Interactions!$F$3:$F$502,"Sent by us")),"No reply",IF(M261&lt;=S_Today+7,"Due this week","")))))))</f>
        <v/>
      </c>
      <c r="Z261" s="34" t="str">
        <f aca="false">IF(OR(A261="",Y261=""),"",IF(Y261="Renewal due",100000,IF(Y261="Overdue",200000,IF(Y261="No reply",300000,IF(Y261="Due this week",400000,500000))))+IF(Y261="Renewal due",P261-40000,IF(Y261="Missing next action",0,M261-40000))+ROW()/100000)</f>
        <v/>
      </c>
      <c r="AA261" s="32" t="str">
        <f aca="false">IF(A261="","",_xlfn.TEXTJOIN(", ",TRUE(),IF(AND(X261="Yes",D261=""),"No owner",IF(AND(D261&lt;&gt;"",COUNTIFS(R_TeamName,D261,R_TeamActive,"No")&gt;0),"Needs new owner","")),IF(AND(OR(C261="Proposal sent",C261="Negotiation"),H261="",I261="",K261=""),"Add package or proposed value",""),IF(AND(C261="Won",OR(P261="",V261="")),"Won needs renewal date and closed on",""),IF(AND(C261="Won",G261="Cash",J261=""),"Add agreed value",""),IF(AND(C261="Lost",OR(S261="",V261="")),"Lost needs reason and closed on",""),IF(AND(C261="Nurture",OR(T261="",U261="")),"Nurture needs reason and date","")))</f>
        <v/>
      </c>
      <c r="AB261" s="34" t="str">
        <f aca="false">IF(AND(C261="Won",V261&lt;&gt;"",V261&gt;=S_SemStart,V261&lt;=S_SemEnd),V261+ROW()/100000,"")</f>
        <v/>
      </c>
      <c r="AC261" s="34" t="str">
        <f aca="false">IF(AND(C261="Lost",V261&lt;&gt;"",V261&gt;=S_SemStart,V261&lt;=S_SemEnd),V261+ROW()/100000,"")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9"/>
      <c r="J262" s="29"/>
      <c r="K262" s="27"/>
      <c r="L262" s="27"/>
      <c r="M262" s="28"/>
      <c r="N262" s="28"/>
      <c r="O262" s="28"/>
      <c r="P262" s="28"/>
      <c r="Q262" s="27"/>
      <c r="R262" s="27"/>
      <c r="S262" s="27"/>
      <c r="T262" s="27"/>
      <c r="U262" s="28"/>
      <c r="V262" s="28"/>
      <c r="W262" s="27"/>
      <c r="X262" s="32" t="str">
        <f aca="false">IF(A262="","",IF(OR(C262="Planned",C262="Contacted",C262="Meeting",C262="Proposal sent",C262="Negotiation"),"Yes","No"))</f>
        <v/>
      </c>
      <c r="Y262" s="32" t="str">
        <f aca="false">IF(A262="","",IF(AND(C262="Won",P262&lt;&gt;"",P262&lt;=S_Today+S_RenewalDays,COUNTIFS($A$3:$A$502,A262,$F$3:$F$502,"Yes",$X$3:$X$502,"Yes")=0),"Renewal due",IF(X262&lt;&gt;"Yes","",IF(OR(L262="",M262=""),"Missing next action",IF(M262&lt;S_Today,"Overdue",IF(AND(C262="Contacted",_xlfn.MAXIFS(Interactions!$A$3:$A$502,Interactions!$B$3:$B$502,A262,Interactions!$F$3:$F$502,"Sent by us")&gt;0,_xlfn.MAXIFS(Interactions!$A$3:$A$502,Interactions!$B$3:$B$502,A262,Interactions!$F$3:$F$502,"Sent by us")&lt;=S_Today-S_NoReplyDays,MAX(_xlfn.MAXIFS(Interactions!$A$3:$A$502,Interactions!$B$3:$B$502,A262,Interactions!$F$3:$F$502,"Received from them"),_xlfn.MAXIFS(Interactions!$A$3:$A$502,Interactions!$B$3:$B$502,A262,Interactions!$F$3:$F$502,"Two-way"))&lt;_xlfn.MAXIFS(Interactions!$A$3:$A$502,Interactions!$B$3:$B$502,A262,Interactions!$F$3:$F$502,"Sent by us")),"No reply",IF(M262&lt;=S_Today+7,"Due this week","")))))))</f>
        <v/>
      </c>
      <c r="Z262" s="34" t="str">
        <f aca="false">IF(OR(A262="",Y262=""),"",IF(Y262="Renewal due",100000,IF(Y262="Overdue",200000,IF(Y262="No reply",300000,IF(Y262="Due this week",400000,500000))))+IF(Y262="Renewal due",P262-40000,IF(Y262="Missing next action",0,M262-40000))+ROW()/100000)</f>
        <v/>
      </c>
      <c r="AA262" s="32" t="str">
        <f aca="false">IF(A262="","",_xlfn.TEXTJOIN(", ",TRUE(),IF(AND(X262="Yes",D262=""),"No owner",IF(AND(D262&lt;&gt;"",COUNTIFS(R_TeamName,D262,R_TeamActive,"No")&gt;0),"Needs new owner","")),IF(AND(OR(C262="Proposal sent",C262="Negotiation"),H262="",I262="",K262=""),"Add package or proposed value",""),IF(AND(C262="Won",OR(P262="",V262="")),"Won needs renewal date and closed on",""),IF(AND(C262="Won",G262="Cash",J262=""),"Add agreed value",""),IF(AND(C262="Lost",OR(S262="",V262="")),"Lost needs reason and closed on",""),IF(AND(C262="Nurture",OR(T262="",U262="")),"Nurture needs reason and date","")))</f>
        <v/>
      </c>
      <c r="AB262" s="34" t="str">
        <f aca="false">IF(AND(C262="Won",V262&lt;&gt;"",V262&gt;=S_SemStart,V262&lt;=S_SemEnd),V262+ROW()/100000,"")</f>
        <v/>
      </c>
      <c r="AC262" s="34" t="str">
        <f aca="false">IF(AND(C262="Lost",V262&lt;&gt;"",V262&gt;=S_SemStart,V262&lt;=S_SemEnd),V262+ROW()/100000,"")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9"/>
      <c r="J263" s="29"/>
      <c r="K263" s="27"/>
      <c r="L263" s="27"/>
      <c r="M263" s="28"/>
      <c r="N263" s="28"/>
      <c r="O263" s="28"/>
      <c r="P263" s="28"/>
      <c r="Q263" s="27"/>
      <c r="R263" s="27"/>
      <c r="S263" s="27"/>
      <c r="T263" s="27"/>
      <c r="U263" s="28"/>
      <c r="V263" s="28"/>
      <c r="W263" s="27"/>
      <c r="X263" s="32" t="str">
        <f aca="false">IF(A263="","",IF(OR(C263="Planned",C263="Contacted",C263="Meeting",C263="Proposal sent",C263="Negotiation"),"Yes","No"))</f>
        <v/>
      </c>
      <c r="Y263" s="32" t="str">
        <f aca="false">IF(A263="","",IF(AND(C263="Won",P263&lt;&gt;"",P263&lt;=S_Today+S_RenewalDays,COUNTIFS($A$3:$A$502,A263,$F$3:$F$502,"Yes",$X$3:$X$502,"Yes")=0),"Renewal due",IF(X263&lt;&gt;"Yes","",IF(OR(L263="",M263=""),"Missing next action",IF(M263&lt;S_Today,"Overdue",IF(AND(C263="Contacted",_xlfn.MAXIFS(Interactions!$A$3:$A$502,Interactions!$B$3:$B$502,A263,Interactions!$F$3:$F$502,"Sent by us")&gt;0,_xlfn.MAXIFS(Interactions!$A$3:$A$502,Interactions!$B$3:$B$502,A263,Interactions!$F$3:$F$502,"Sent by us")&lt;=S_Today-S_NoReplyDays,MAX(_xlfn.MAXIFS(Interactions!$A$3:$A$502,Interactions!$B$3:$B$502,A263,Interactions!$F$3:$F$502,"Received from them"),_xlfn.MAXIFS(Interactions!$A$3:$A$502,Interactions!$B$3:$B$502,A263,Interactions!$F$3:$F$502,"Two-way"))&lt;_xlfn.MAXIFS(Interactions!$A$3:$A$502,Interactions!$B$3:$B$502,A263,Interactions!$F$3:$F$502,"Sent by us")),"No reply",IF(M263&lt;=S_Today+7,"Due this week","")))))))</f>
        <v/>
      </c>
      <c r="Z263" s="34" t="str">
        <f aca="false">IF(OR(A263="",Y263=""),"",IF(Y263="Renewal due",100000,IF(Y263="Overdue",200000,IF(Y263="No reply",300000,IF(Y263="Due this week",400000,500000))))+IF(Y263="Renewal due",P263-40000,IF(Y263="Missing next action",0,M263-40000))+ROW()/100000)</f>
        <v/>
      </c>
      <c r="AA263" s="32" t="str">
        <f aca="false">IF(A263="","",_xlfn.TEXTJOIN(", ",TRUE(),IF(AND(X263="Yes",D263=""),"No owner",IF(AND(D263&lt;&gt;"",COUNTIFS(R_TeamName,D263,R_TeamActive,"No")&gt;0),"Needs new owner","")),IF(AND(OR(C263="Proposal sent",C263="Negotiation"),H263="",I263="",K263=""),"Add package or proposed value",""),IF(AND(C263="Won",OR(P263="",V263="")),"Won needs renewal date and closed on",""),IF(AND(C263="Won",G263="Cash",J263=""),"Add agreed value",""),IF(AND(C263="Lost",OR(S263="",V263="")),"Lost needs reason and closed on",""),IF(AND(C263="Nurture",OR(T263="",U263="")),"Nurture needs reason and date","")))</f>
        <v/>
      </c>
      <c r="AB263" s="34" t="str">
        <f aca="false">IF(AND(C263="Won",V263&lt;&gt;"",V263&gt;=S_SemStart,V263&lt;=S_SemEnd),V263+ROW()/100000,"")</f>
        <v/>
      </c>
      <c r="AC263" s="34" t="str">
        <f aca="false">IF(AND(C263="Lost",V263&lt;&gt;"",V263&gt;=S_SemStart,V263&lt;=S_SemEnd),V263+ROW()/100000,"")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9"/>
      <c r="J264" s="29"/>
      <c r="K264" s="27"/>
      <c r="L264" s="27"/>
      <c r="M264" s="28"/>
      <c r="N264" s="28"/>
      <c r="O264" s="28"/>
      <c r="P264" s="28"/>
      <c r="Q264" s="27"/>
      <c r="R264" s="27"/>
      <c r="S264" s="27"/>
      <c r="T264" s="27"/>
      <c r="U264" s="28"/>
      <c r="V264" s="28"/>
      <c r="W264" s="27"/>
      <c r="X264" s="32" t="str">
        <f aca="false">IF(A264="","",IF(OR(C264="Planned",C264="Contacted",C264="Meeting",C264="Proposal sent",C264="Negotiation"),"Yes","No"))</f>
        <v/>
      </c>
      <c r="Y264" s="32" t="str">
        <f aca="false">IF(A264="","",IF(AND(C264="Won",P264&lt;&gt;"",P264&lt;=S_Today+S_RenewalDays,COUNTIFS($A$3:$A$502,A264,$F$3:$F$502,"Yes",$X$3:$X$502,"Yes")=0),"Renewal due",IF(X264&lt;&gt;"Yes","",IF(OR(L264="",M264=""),"Missing next action",IF(M264&lt;S_Today,"Overdue",IF(AND(C264="Contacted",_xlfn.MAXIFS(Interactions!$A$3:$A$502,Interactions!$B$3:$B$502,A264,Interactions!$F$3:$F$502,"Sent by us")&gt;0,_xlfn.MAXIFS(Interactions!$A$3:$A$502,Interactions!$B$3:$B$502,A264,Interactions!$F$3:$F$502,"Sent by us")&lt;=S_Today-S_NoReplyDays,MAX(_xlfn.MAXIFS(Interactions!$A$3:$A$502,Interactions!$B$3:$B$502,A264,Interactions!$F$3:$F$502,"Received from them"),_xlfn.MAXIFS(Interactions!$A$3:$A$502,Interactions!$B$3:$B$502,A264,Interactions!$F$3:$F$502,"Two-way"))&lt;_xlfn.MAXIFS(Interactions!$A$3:$A$502,Interactions!$B$3:$B$502,A264,Interactions!$F$3:$F$502,"Sent by us")),"No reply",IF(M264&lt;=S_Today+7,"Due this week","")))))))</f>
        <v/>
      </c>
      <c r="Z264" s="34" t="str">
        <f aca="false">IF(OR(A264="",Y264=""),"",IF(Y264="Renewal due",100000,IF(Y264="Overdue",200000,IF(Y264="No reply",300000,IF(Y264="Due this week",400000,500000))))+IF(Y264="Renewal due",P264-40000,IF(Y264="Missing next action",0,M264-40000))+ROW()/100000)</f>
        <v/>
      </c>
      <c r="AA264" s="32" t="str">
        <f aca="false">IF(A264="","",_xlfn.TEXTJOIN(", ",TRUE(),IF(AND(X264="Yes",D264=""),"No owner",IF(AND(D264&lt;&gt;"",COUNTIFS(R_TeamName,D264,R_TeamActive,"No")&gt;0),"Needs new owner","")),IF(AND(OR(C264="Proposal sent",C264="Negotiation"),H264="",I264="",K264=""),"Add package or proposed value",""),IF(AND(C264="Won",OR(P264="",V264="")),"Won needs renewal date and closed on",""),IF(AND(C264="Won",G264="Cash",J264=""),"Add agreed value",""),IF(AND(C264="Lost",OR(S264="",V264="")),"Lost needs reason and closed on",""),IF(AND(C264="Nurture",OR(T264="",U264="")),"Nurture needs reason and date","")))</f>
        <v/>
      </c>
      <c r="AB264" s="34" t="str">
        <f aca="false">IF(AND(C264="Won",V264&lt;&gt;"",V264&gt;=S_SemStart,V264&lt;=S_SemEnd),V264+ROW()/100000,"")</f>
        <v/>
      </c>
      <c r="AC264" s="34" t="str">
        <f aca="false">IF(AND(C264="Lost",V264&lt;&gt;"",V264&gt;=S_SemStart,V264&lt;=S_SemEnd),V264+ROW()/100000,"")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9"/>
      <c r="J265" s="29"/>
      <c r="K265" s="27"/>
      <c r="L265" s="27"/>
      <c r="M265" s="28"/>
      <c r="N265" s="28"/>
      <c r="O265" s="28"/>
      <c r="P265" s="28"/>
      <c r="Q265" s="27"/>
      <c r="R265" s="27"/>
      <c r="S265" s="27"/>
      <c r="T265" s="27"/>
      <c r="U265" s="28"/>
      <c r="V265" s="28"/>
      <c r="W265" s="27"/>
      <c r="X265" s="32" t="str">
        <f aca="false">IF(A265="","",IF(OR(C265="Planned",C265="Contacted",C265="Meeting",C265="Proposal sent",C265="Negotiation"),"Yes","No"))</f>
        <v/>
      </c>
      <c r="Y265" s="32" t="str">
        <f aca="false">IF(A265="","",IF(AND(C265="Won",P265&lt;&gt;"",P265&lt;=S_Today+S_RenewalDays,COUNTIFS($A$3:$A$502,A265,$F$3:$F$502,"Yes",$X$3:$X$502,"Yes")=0),"Renewal due",IF(X265&lt;&gt;"Yes","",IF(OR(L265="",M265=""),"Missing next action",IF(M265&lt;S_Today,"Overdue",IF(AND(C265="Contacted",_xlfn.MAXIFS(Interactions!$A$3:$A$502,Interactions!$B$3:$B$502,A265,Interactions!$F$3:$F$502,"Sent by us")&gt;0,_xlfn.MAXIFS(Interactions!$A$3:$A$502,Interactions!$B$3:$B$502,A265,Interactions!$F$3:$F$502,"Sent by us")&lt;=S_Today-S_NoReplyDays,MAX(_xlfn.MAXIFS(Interactions!$A$3:$A$502,Interactions!$B$3:$B$502,A265,Interactions!$F$3:$F$502,"Received from them"),_xlfn.MAXIFS(Interactions!$A$3:$A$502,Interactions!$B$3:$B$502,A265,Interactions!$F$3:$F$502,"Two-way"))&lt;_xlfn.MAXIFS(Interactions!$A$3:$A$502,Interactions!$B$3:$B$502,A265,Interactions!$F$3:$F$502,"Sent by us")),"No reply",IF(M265&lt;=S_Today+7,"Due this week","")))))))</f>
        <v/>
      </c>
      <c r="Z265" s="34" t="str">
        <f aca="false">IF(OR(A265="",Y265=""),"",IF(Y265="Renewal due",100000,IF(Y265="Overdue",200000,IF(Y265="No reply",300000,IF(Y265="Due this week",400000,500000))))+IF(Y265="Renewal due",P265-40000,IF(Y265="Missing next action",0,M265-40000))+ROW()/100000)</f>
        <v/>
      </c>
      <c r="AA265" s="32" t="str">
        <f aca="false">IF(A265="","",_xlfn.TEXTJOIN(", ",TRUE(),IF(AND(X265="Yes",D265=""),"No owner",IF(AND(D265&lt;&gt;"",COUNTIFS(R_TeamName,D265,R_TeamActive,"No")&gt;0),"Needs new owner","")),IF(AND(OR(C265="Proposal sent",C265="Negotiation"),H265="",I265="",K265=""),"Add package or proposed value",""),IF(AND(C265="Won",OR(P265="",V265="")),"Won needs renewal date and closed on",""),IF(AND(C265="Won",G265="Cash",J265=""),"Add agreed value",""),IF(AND(C265="Lost",OR(S265="",V265="")),"Lost needs reason and closed on",""),IF(AND(C265="Nurture",OR(T265="",U265="")),"Nurture needs reason and date","")))</f>
        <v/>
      </c>
      <c r="AB265" s="34" t="str">
        <f aca="false">IF(AND(C265="Won",V265&lt;&gt;"",V265&gt;=S_SemStart,V265&lt;=S_SemEnd),V265+ROW()/100000,"")</f>
        <v/>
      </c>
      <c r="AC265" s="34" t="str">
        <f aca="false">IF(AND(C265="Lost",V265&lt;&gt;"",V265&gt;=S_SemStart,V265&lt;=S_SemEnd),V265+ROW()/100000,"")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9"/>
      <c r="J266" s="29"/>
      <c r="K266" s="27"/>
      <c r="L266" s="27"/>
      <c r="M266" s="28"/>
      <c r="N266" s="28"/>
      <c r="O266" s="28"/>
      <c r="P266" s="28"/>
      <c r="Q266" s="27"/>
      <c r="R266" s="27"/>
      <c r="S266" s="27"/>
      <c r="T266" s="27"/>
      <c r="U266" s="28"/>
      <c r="V266" s="28"/>
      <c r="W266" s="27"/>
      <c r="X266" s="32" t="str">
        <f aca="false">IF(A266="","",IF(OR(C266="Planned",C266="Contacted",C266="Meeting",C266="Proposal sent",C266="Negotiation"),"Yes","No"))</f>
        <v/>
      </c>
      <c r="Y266" s="32" t="str">
        <f aca="false">IF(A266="","",IF(AND(C266="Won",P266&lt;&gt;"",P266&lt;=S_Today+S_RenewalDays,COUNTIFS($A$3:$A$502,A266,$F$3:$F$502,"Yes",$X$3:$X$502,"Yes")=0),"Renewal due",IF(X266&lt;&gt;"Yes","",IF(OR(L266="",M266=""),"Missing next action",IF(M266&lt;S_Today,"Overdue",IF(AND(C266="Contacted",_xlfn.MAXIFS(Interactions!$A$3:$A$502,Interactions!$B$3:$B$502,A266,Interactions!$F$3:$F$502,"Sent by us")&gt;0,_xlfn.MAXIFS(Interactions!$A$3:$A$502,Interactions!$B$3:$B$502,A266,Interactions!$F$3:$F$502,"Sent by us")&lt;=S_Today-S_NoReplyDays,MAX(_xlfn.MAXIFS(Interactions!$A$3:$A$502,Interactions!$B$3:$B$502,A266,Interactions!$F$3:$F$502,"Received from them"),_xlfn.MAXIFS(Interactions!$A$3:$A$502,Interactions!$B$3:$B$502,A266,Interactions!$F$3:$F$502,"Two-way"))&lt;_xlfn.MAXIFS(Interactions!$A$3:$A$502,Interactions!$B$3:$B$502,A266,Interactions!$F$3:$F$502,"Sent by us")),"No reply",IF(M266&lt;=S_Today+7,"Due this week","")))))))</f>
        <v/>
      </c>
      <c r="Z266" s="34" t="str">
        <f aca="false">IF(OR(A266="",Y266=""),"",IF(Y266="Renewal due",100000,IF(Y266="Overdue",200000,IF(Y266="No reply",300000,IF(Y266="Due this week",400000,500000))))+IF(Y266="Renewal due",P266-40000,IF(Y266="Missing next action",0,M266-40000))+ROW()/100000)</f>
        <v/>
      </c>
      <c r="AA266" s="32" t="str">
        <f aca="false">IF(A266="","",_xlfn.TEXTJOIN(", ",TRUE(),IF(AND(X266="Yes",D266=""),"No owner",IF(AND(D266&lt;&gt;"",COUNTIFS(R_TeamName,D266,R_TeamActive,"No")&gt;0),"Needs new owner","")),IF(AND(OR(C266="Proposal sent",C266="Negotiation"),H266="",I266="",K266=""),"Add package or proposed value",""),IF(AND(C266="Won",OR(P266="",V266="")),"Won needs renewal date and closed on",""),IF(AND(C266="Won",G266="Cash",J266=""),"Add agreed value",""),IF(AND(C266="Lost",OR(S266="",V266="")),"Lost needs reason and closed on",""),IF(AND(C266="Nurture",OR(T266="",U266="")),"Nurture needs reason and date","")))</f>
        <v/>
      </c>
      <c r="AB266" s="34" t="str">
        <f aca="false">IF(AND(C266="Won",V266&lt;&gt;"",V266&gt;=S_SemStart,V266&lt;=S_SemEnd),V266+ROW()/100000,"")</f>
        <v/>
      </c>
      <c r="AC266" s="34" t="str">
        <f aca="false">IF(AND(C266="Lost",V266&lt;&gt;"",V266&gt;=S_SemStart,V266&lt;=S_SemEnd),V266+ROW()/100000,"")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9"/>
      <c r="J267" s="29"/>
      <c r="K267" s="27"/>
      <c r="L267" s="27"/>
      <c r="M267" s="28"/>
      <c r="N267" s="28"/>
      <c r="O267" s="28"/>
      <c r="P267" s="28"/>
      <c r="Q267" s="27"/>
      <c r="R267" s="27"/>
      <c r="S267" s="27"/>
      <c r="T267" s="27"/>
      <c r="U267" s="28"/>
      <c r="V267" s="28"/>
      <c r="W267" s="27"/>
      <c r="X267" s="32" t="str">
        <f aca="false">IF(A267="","",IF(OR(C267="Planned",C267="Contacted",C267="Meeting",C267="Proposal sent",C267="Negotiation"),"Yes","No"))</f>
        <v/>
      </c>
      <c r="Y267" s="32" t="str">
        <f aca="false">IF(A267="","",IF(AND(C267="Won",P267&lt;&gt;"",P267&lt;=S_Today+S_RenewalDays,COUNTIFS($A$3:$A$502,A267,$F$3:$F$502,"Yes",$X$3:$X$502,"Yes")=0),"Renewal due",IF(X267&lt;&gt;"Yes","",IF(OR(L267="",M267=""),"Missing next action",IF(M267&lt;S_Today,"Overdue",IF(AND(C267="Contacted",_xlfn.MAXIFS(Interactions!$A$3:$A$502,Interactions!$B$3:$B$502,A267,Interactions!$F$3:$F$502,"Sent by us")&gt;0,_xlfn.MAXIFS(Interactions!$A$3:$A$502,Interactions!$B$3:$B$502,A267,Interactions!$F$3:$F$502,"Sent by us")&lt;=S_Today-S_NoReplyDays,MAX(_xlfn.MAXIFS(Interactions!$A$3:$A$502,Interactions!$B$3:$B$502,A267,Interactions!$F$3:$F$502,"Received from them"),_xlfn.MAXIFS(Interactions!$A$3:$A$502,Interactions!$B$3:$B$502,A267,Interactions!$F$3:$F$502,"Two-way"))&lt;_xlfn.MAXIFS(Interactions!$A$3:$A$502,Interactions!$B$3:$B$502,A267,Interactions!$F$3:$F$502,"Sent by us")),"No reply",IF(M267&lt;=S_Today+7,"Due this week","")))))))</f>
        <v/>
      </c>
      <c r="Z267" s="34" t="str">
        <f aca="false">IF(OR(A267="",Y267=""),"",IF(Y267="Renewal due",100000,IF(Y267="Overdue",200000,IF(Y267="No reply",300000,IF(Y267="Due this week",400000,500000))))+IF(Y267="Renewal due",P267-40000,IF(Y267="Missing next action",0,M267-40000))+ROW()/100000)</f>
        <v/>
      </c>
      <c r="AA267" s="32" t="str">
        <f aca="false">IF(A267="","",_xlfn.TEXTJOIN(", ",TRUE(),IF(AND(X267="Yes",D267=""),"No owner",IF(AND(D267&lt;&gt;"",COUNTIFS(R_TeamName,D267,R_TeamActive,"No")&gt;0),"Needs new owner","")),IF(AND(OR(C267="Proposal sent",C267="Negotiation"),H267="",I267="",K267=""),"Add package or proposed value",""),IF(AND(C267="Won",OR(P267="",V267="")),"Won needs renewal date and closed on",""),IF(AND(C267="Won",G267="Cash",J267=""),"Add agreed value",""),IF(AND(C267="Lost",OR(S267="",V267="")),"Lost needs reason and closed on",""),IF(AND(C267="Nurture",OR(T267="",U267="")),"Nurture needs reason and date","")))</f>
        <v/>
      </c>
      <c r="AB267" s="34" t="str">
        <f aca="false">IF(AND(C267="Won",V267&lt;&gt;"",V267&gt;=S_SemStart,V267&lt;=S_SemEnd),V267+ROW()/100000,"")</f>
        <v/>
      </c>
      <c r="AC267" s="34" t="str">
        <f aca="false">IF(AND(C267="Lost",V267&lt;&gt;"",V267&gt;=S_SemStart,V267&lt;=S_SemEnd),V267+ROW()/100000,"")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9"/>
      <c r="J268" s="29"/>
      <c r="K268" s="27"/>
      <c r="L268" s="27"/>
      <c r="M268" s="28"/>
      <c r="N268" s="28"/>
      <c r="O268" s="28"/>
      <c r="P268" s="28"/>
      <c r="Q268" s="27"/>
      <c r="R268" s="27"/>
      <c r="S268" s="27"/>
      <c r="T268" s="27"/>
      <c r="U268" s="28"/>
      <c r="V268" s="28"/>
      <c r="W268" s="27"/>
      <c r="X268" s="32" t="str">
        <f aca="false">IF(A268="","",IF(OR(C268="Planned",C268="Contacted",C268="Meeting",C268="Proposal sent",C268="Negotiation"),"Yes","No"))</f>
        <v/>
      </c>
      <c r="Y268" s="32" t="str">
        <f aca="false">IF(A268="","",IF(AND(C268="Won",P268&lt;&gt;"",P268&lt;=S_Today+S_RenewalDays,COUNTIFS($A$3:$A$502,A268,$F$3:$F$502,"Yes",$X$3:$X$502,"Yes")=0),"Renewal due",IF(X268&lt;&gt;"Yes","",IF(OR(L268="",M268=""),"Missing next action",IF(M268&lt;S_Today,"Overdue",IF(AND(C268="Contacted",_xlfn.MAXIFS(Interactions!$A$3:$A$502,Interactions!$B$3:$B$502,A268,Interactions!$F$3:$F$502,"Sent by us")&gt;0,_xlfn.MAXIFS(Interactions!$A$3:$A$502,Interactions!$B$3:$B$502,A268,Interactions!$F$3:$F$502,"Sent by us")&lt;=S_Today-S_NoReplyDays,MAX(_xlfn.MAXIFS(Interactions!$A$3:$A$502,Interactions!$B$3:$B$502,A268,Interactions!$F$3:$F$502,"Received from them"),_xlfn.MAXIFS(Interactions!$A$3:$A$502,Interactions!$B$3:$B$502,A268,Interactions!$F$3:$F$502,"Two-way"))&lt;_xlfn.MAXIFS(Interactions!$A$3:$A$502,Interactions!$B$3:$B$502,A268,Interactions!$F$3:$F$502,"Sent by us")),"No reply",IF(M268&lt;=S_Today+7,"Due this week","")))))))</f>
        <v/>
      </c>
      <c r="Z268" s="34" t="str">
        <f aca="false">IF(OR(A268="",Y268=""),"",IF(Y268="Renewal due",100000,IF(Y268="Overdue",200000,IF(Y268="No reply",300000,IF(Y268="Due this week",400000,500000))))+IF(Y268="Renewal due",P268-40000,IF(Y268="Missing next action",0,M268-40000))+ROW()/100000)</f>
        <v/>
      </c>
      <c r="AA268" s="32" t="str">
        <f aca="false">IF(A268="","",_xlfn.TEXTJOIN(", ",TRUE(),IF(AND(X268="Yes",D268=""),"No owner",IF(AND(D268&lt;&gt;"",COUNTIFS(R_TeamName,D268,R_TeamActive,"No")&gt;0),"Needs new owner","")),IF(AND(OR(C268="Proposal sent",C268="Negotiation"),H268="",I268="",K268=""),"Add package or proposed value",""),IF(AND(C268="Won",OR(P268="",V268="")),"Won needs renewal date and closed on",""),IF(AND(C268="Won",G268="Cash",J268=""),"Add agreed value",""),IF(AND(C268="Lost",OR(S268="",V268="")),"Lost needs reason and closed on",""),IF(AND(C268="Nurture",OR(T268="",U268="")),"Nurture needs reason and date","")))</f>
        <v/>
      </c>
      <c r="AB268" s="34" t="str">
        <f aca="false">IF(AND(C268="Won",V268&lt;&gt;"",V268&gt;=S_SemStart,V268&lt;=S_SemEnd),V268+ROW()/100000,"")</f>
        <v/>
      </c>
      <c r="AC268" s="34" t="str">
        <f aca="false">IF(AND(C268="Lost",V268&lt;&gt;"",V268&gt;=S_SemStart,V268&lt;=S_SemEnd),V268+ROW()/100000,"")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9"/>
      <c r="J269" s="29"/>
      <c r="K269" s="27"/>
      <c r="L269" s="27"/>
      <c r="M269" s="28"/>
      <c r="N269" s="28"/>
      <c r="O269" s="28"/>
      <c r="P269" s="28"/>
      <c r="Q269" s="27"/>
      <c r="R269" s="27"/>
      <c r="S269" s="27"/>
      <c r="T269" s="27"/>
      <c r="U269" s="28"/>
      <c r="V269" s="28"/>
      <c r="W269" s="27"/>
      <c r="X269" s="32" t="str">
        <f aca="false">IF(A269="","",IF(OR(C269="Planned",C269="Contacted",C269="Meeting",C269="Proposal sent",C269="Negotiation"),"Yes","No"))</f>
        <v/>
      </c>
      <c r="Y269" s="32" t="str">
        <f aca="false">IF(A269="","",IF(AND(C269="Won",P269&lt;&gt;"",P269&lt;=S_Today+S_RenewalDays,COUNTIFS($A$3:$A$502,A269,$F$3:$F$502,"Yes",$X$3:$X$502,"Yes")=0),"Renewal due",IF(X269&lt;&gt;"Yes","",IF(OR(L269="",M269=""),"Missing next action",IF(M269&lt;S_Today,"Overdue",IF(AND(C269="Contacted",_xlfn.MAXIFS(Interactions!$A$3:$A$502,Interactions!$B$3:$B$502,A269,Interactions!$F$3:$F$502,"Sent by us")&gt;0,_xlfn.MAXIFS(Interactions!$A$3:$A$502,Interactions!$B$3:$B$502,A269,Interactions!$F$3:$F$502,"Sent by us")&lt;=S_Today-S_NoReplyDays,MAX(_xlfn.MAXIFS(Interactions!$A$3:$A$502,Interactions!$B$3:$B$502,A269,Interactions!$F$3:$F$502,"Received from them"),_xlfn.MAXIFS(Interactions!$A$3:$A$502,Interactions!$B$3:$B$502,A269,Interactions!$F$3:$F$502,"Two-way"))&lt;_xlfn.MAXIFS(Interactions!$A$3:$A$502,Interactions!$B$3:$B$502,A269,Interactions!$F$3:$F$502,"Sent by us")),"No reply",IF(M269&lt;=S_Today+7,"Due this week","")))))))</f>
        <v/>
      </c>
      <c r="Z269" s="34" t="str">
        <f aca="false">IF(OR(A269="",Y269=""),"",IF(Y269="Renewal due",100000,IF(Y269="Overdue",200000,IF(Y269="No reply",300000,IF(Y269="Due this week",400000,500000))))+IF(Y269="Renewal due",P269-40000,IF(Y269="Missing next action",0,M269-40000))+ROW()/100000)</f>
        <v/>
      </c>
      <c r="AA269" s="32" t="str">
        <f aca="false">IF(A269="","",_xlfn.TEXTJOIN(", ",TRUE(),IF(AND(X269="Yes",D269=""),"No owner",IF(AND(D269&lt;&gt;"",COUNTIFS(R_TeamName,D269,R_TeamActive,"No")&gt;0),"Needs new owner","")),IF(AND(OR(C269="Proposal sent",C269="Negotiation"),H269="",I269="",K269=""),"Add package or proposed value",""),IF(AND(C269="Won",OR(P269="",V269="")),"Won needs renewal date and closed on",""),IF(AND(C269="Won",G269="Cash",J269=""),"Add agreed value",""),IF(AND(C269="Lost",OR(S269="",V269="")),"Lost needs reason and closed on",""),IF(AND(C269="Nurture",OR(T269="",U269="")),"Nurture needs reason and date","")))</f>
        <v/>
      </c>
      <c r="AB269" s="34" t="str">
        <f aca="false">IF(AND(C269="Won",V269&lt;&gt;"",V269&gt;=S_SemStart,V269&lt;=S_SemEnd),V269+ROW()/100000,"")</f>
        <v/>
      </c>
      <c r="AC269" s="34" t="str">
        <f aca="false">IF(AND(C269="Lost",V269&lt;&gt;"",V269&gt;=S_SemStart,V269&lt;=S_SemEnd),V269+ROW()/100000,"")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9"/>
      <c r="J270" s="29"/>
      <c r="K270" s="27"/>
      <c r="L270" s="27"/>
      <c r="M270" s="28"/>
      <c r="N270" s="28"/>
      <c r="O270" s="28"/>
      <c r="P270" s="28"/>
      <c r="Q270" s="27"/>
      <c r="R270" s="27"/>
      <c r="S270" s="27"/>
      <c r="T270" s="27"/>
      <c r="U270" s="28"/>
      <c r="V270" s="28"/>
      <c r="W270" s="27"/>
      <c r="X270" s="32" t="str">
        <f aca="false">IF(A270="","",IF(OR(C270="Planned",C270="Contacted",C270="Meeting",C270="Proposal sent",C270="Negotiation"),"Yes","No"))</f>
        <v/>
      </c>
      <c r="Y270" s="32" t="str">
        <f aca="false">IF(A270="","",IF(AND(C270="Won",P270&lt;&gt;"",P270&lt;=S_Today+S_RenewalDays,COUNTIFS($A$3:$A$502,A270,$F$3:$F$502,"Yes",$X$3:$X$502,"Yes")=0),"Renewal due",IF(X270&lt;&gt;"Yes","",IF(OR(L270="",M270=""),"Missing next action",IF(M270&lt;S_Today,"Overdue",IF(AND(C270="Contacted",_xlfn.MAXIFS(Interactions!$A$3:$A$502,Interactions!$B$3:$B$502,A270,Interactions!$F$3:$F$502,"Sent by us")&gt;0,_xlfn.MAXIFS(Interactions!$A$3:$A$502,Interactions!$B$3:$B$502,A270,Interactions!$F$3:$F$502,"Sent by us")&lt;=S_Today-S_NoReplyDays,MAX(_xlfn.MAXIFS(Interactions!$A$3:$A$502,Interactions!$B$3:$B$502,A270,Interactions!$F$3:$F$502,"Received from them"),_xlfn.MAXIFS(Interactions!$A$3:$A$502,Interactions!$B$3:$B$502,A270,Interactions!$F$3:$F$502,"Two-way"))&lt;_xlfn.MAXIFS(Interactions!$A$3:$A$502,Interactions!$B$3:$B$502,A270,Interactions!$F$3:$F$502,"Sent by us")),"No reply",IF(M270&lt;=S_Today+7,"Due this week","")))))))</f>
        <v/>
      </c>
      <c r="Z270" s="34" t="str">
        <f aca="false">IF(OR(A270="",Y270=""),"",IF(Y270="Renewal due",100000,IF(Y270="Overdue",200000,IF(Y270="No reply",300000,IF(Y270="Due this week",400000,500000))))+IF(Y270="Renewal due",P270-40000,IF(Y270="Missing next action",0,M270-40000))+ROW()/100000)</f>
        <v/>
      </c>
      <c r="AA270" s="32" t="str">
        <f aca="false">IF(A270="","",_xlfn.TEXTJOIN(", ",TRUE(),IF(AND(X270="Yes",D270=""),"No owner",IF(AND(D270&lt;&gt;"",COUNTIFS(R_TeamName,D270,R_TeamActive,"No")&gt;0),"Needs new owner","")),IF(AND(OR(C270="Proposal sent",C270="Negotiation"),H270="",I270="",K270=""),"Add package or proposed value",""),IF(AND(C270="Won",OR(P270="",V270="")),"Won needs renewal date and closed on",""),IF(AND(C270="Won",G270="Cash",J270=""),"Add agreed value",""),IF(AND(C270="Lost",OR(S270="",V270="")),"Lost needs reason and closed on",""),IF(AND(C270="Nurture",OR(T270="",U270="")),"Nurture needs reason and date","")))</f>
        <v/>
      </c>
      <c r="AB270" s="34" t="str">
        <f aca="false">IF(AND(C270="Won",V270&lt;&gt;"",V270&gt;=S_SemStart,V270&lt;=S_SemEnd),V270+ROW()/100000,"")</f>
        <v/>
      </c>
      <c r="AC270" s="34" t="str">
        <f aca="false">IF(AND(C270="Lost",V270&lt;&gt;"",V270&gt;=S_SemStart,V270&lt;=S_SemEnd),V270+ROW()/100000,"")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9"/>
      <c r="J271" s="29"/>
      <c r="K271" s="27"/>
      <c r="L271" s="27"/>
      <c r="M271" s="28"/>
      <c r="N271" s="28"/>
      <c r="O271" s="28"/>
      <c r="P271" s="28"/>
      <c r="Q271" s="27"/>
      <c r="R271" s="27"/>
      <c r="S271" s="27"/>
      <c r="T271" s="27"/>
      <c r="U271" s="28"/>
      <c r="V271" s="28"/>
      <c r="W271" s="27"/>
      <c r="X271" s="32" t="str">
        <f aca="false">IF(A271="","",IF(OR(C271="Planned",C271="Contacted",C271="Meeting",C271="Proposal sent",C271="Negotiation"),"Yes","No"))</f>
        <v/>
      </c>
      <c r="Y271" s="32" t="str">
        <f aca="false">IF(A271="","",IF(AND(C271="Won",P271&lt;&gt;"",P271&lt;=S_Today+S_RenewalDays,COUNTIFS($A$3:$A$502,A271,$F$3:$F$502,"Yes",$X$3:$X$502,"Yes")=0),"Renewal due",IF(X271&lt;&gt;"Yes","",IF(OR(L271="",M271=""),"Missing next action",IF(M271&lt;S_Today,"Overdue",IF(AND(C271="Contacted",_xlfn.MAXIFS(Interactions!$A$3:$A$502,Interactions!$B$3:$B$502,A271,Interactions!$F$3:$F$502,"Sent by us")&gt;0,_xlfn.MAXIFS(Interactions!$A$3:$A$502,Interactions!$B$3:$B$502,A271,Interactions!$F$3:$F$502,"Sent by us")&lt;=S_Today-S_NoReplyDays,MAX(_xlfn.MAXIFS(Interactions!$A$3:$A$502,Interactions!$B$3:$B$502,A271,Interactions!$F$3:$F$502,"Received from them"),_xlfn.MAXIFS(Interactions!$A$3:$A$502,Interactions!$B$3:$B$502,A271,Interactions!$F$3:$F$502,"Two-way"))&lt;_xlfn.MAXIFS(Interactions!$A$3:$A$502,Interactions!$B$3:$B$502,A271,Interactions!$F$3:$F$502,"Sent by us")),"No reply",IF(M271&lt;=S_Today+7,"Due this week","")))))))</f>
        <v/>
      </c>
      <c r="Z271" s="34" t="str">
        <f aca="false">IF(OR(A271="",Y271=""),"",IF(Y271="Renewal due",100000,IF(Y271="Overdue",200000,IF(Y271="No reply",300000,IF(Y271="Due this week",400000,500000))))+IF(Y271="Renewal due",P271-40000,IF(Y271="Missing next action",0,M271-40000))+ROW()/100000)</f>
        <v/>
      </c>
      <c r="AA271" s="32" t="str">
        <f aca="false">IF(A271="","",_xlfn.TEXTJOIN(", ",TRUE(),IF(AND(X271="Yes",D271=""),"No owner",IF(AND(D271&lt;&gt;"",COUNTIFS(R_TeamName,D271,R_TeamActive,"No")&gt;0),"Needs new owner","")),IF(AND(OR(C271="Proposal sent",C271="Negotiation"),H271="",I271="",K271=""),"Add package or proposed value",""),IF(AND(C271="Won",OR(P271="",V271="")),"Won needs renewal date and closed on",""),IF(AND(C271="Won",G271="Cash",J271=""),"Add agreed value",""),IF(AND(C271="Lost",OR(S271="",V271="")),"Lost needs reason and closed on",""),IF(AND(C271="Nurture",OR(T271="",U271="")),"Nurture needs reason and date","")))</f>
        <v/>
      </c>
      <c r="AB271" s="34" t="str">
        <f aca="false">IF(AND(C271="Won",V271&lt;&gt;"",V271&gt;=S_SemStart,V271&lt;=S_SemEnd),V271+ROW()/100000,"")</f>
        <v/>
      </c>
      <c r="AC271" s="34" t="str">
        <f aca="false">IF(AND(C271="Lost",V271&lt;&gt;"",V271&gt;=S_SemStart,V271&lt;=S_SemEnd),V271+ROW()/100000,"")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9"/>
      <c r="J272" s="29"/>
      <c r="K272" s="27"/>
      <c r="L272" s="27"/>
      <c r="M272" s="28"/>
      <c r="N272" s="28"/>
      <c r="O272" s="28"/>
      <c r="P272" s="28"/>
      <c r="Q272" s="27"/>
      <c r="R272" s="27"/>
      <c r="S272" s="27"/>
      <c r="T272" s="27"/>
      <c r="U272" s="28"/>
      <c r="V272" s="28"/>
      <c r="W272" s="27"/>
      <c r="X272" s="32" t="str">
        <f aca="false">IF(A272="","",IF(OR(C272="Planned",C272="Contacted",C272="Meeting",C272="Proposal sent",C272="Negotiation"),"Yes","No"))</f>
        <v/>
      </c>
      <c r="Y272" s="32" t="str">
        <f aca="false">IF(A272="","",IF(AND(C272="Won",P272&lt;&gt;"",P272&lt;=S_Today+S_RenewalDays,COUNTIFS($A$3:$A$502,A272,$F$3:$F$502,"Yes",$X$3:$X$502,"Yes")=0),"Renewal due",IF(X272&lt;&gt;"Yes","",IF(OR(L272="",M272=""),"Missing next action",IF(M272&lt;S_Today,"Overdue",IF(AND(C272="Contacted",_xlfn.MAXIFS(Interactions!$A$3:$A$502,Interactions!$B$3:$B$502,A272,Interactions!$F$3:$F$502,"Sent by us")&gt;0,_xlfn.MAXIFS(Interactions!$A$3:$A$502,Interactions!$B$3:$B$502,A272,Interactions!$F$3:$F$502,"Sent by us")&lt;=S_Today-S_NoReplyDays,MAX(_xlfn.MAXIFS(Interactions!$A$3:$A$502,Interactions!$B$3:$B$502,A272,Interactions!$F$3:$F$502,"Received from them"),_xlfn.MAXIFS(Interactions!$A$3:$A$502,Interactions!$B$3:$B$502,A272,Interactions!$F$3:$F$502,"Two-way"))&lt;_xlfn.MAXIFS(Interactions!$A$3:$A$502,Interactions!$B$3:$B$502,A272,Interactions!$F$3:$F$502,"Sent by us")),"No reply",IF(M272&lt;=S_Today+7,"Due this week","")))))))</f>
        <v/>
      </c>
      <c r="Z272" s="34" t="str">
        <f aca="false">IF(OR(A272="",Y272=""),"",IF(Y272="Renewal due",100000,IF(Y272="Overdue",200000,IF(Y272="No reply",300000,IF(Y272="Due this week",400000,500000))))+IF(Y272="Renewal due",P272-40000,IF(Y272="Missing next action",0,M272-40000))+ROW()/100000)</f>
        <v/>
      </c>
      <c r="AA272" s="32" t="str">
        <f aca="false">IF(A272="","",_xlfn.TEXTJOIN(", ",TRUE(),IF(AND(X272="Yes",D272=""),"No owner",IF(AND(D272&lt;&gt;"",COUNTIFS(R_TeamName,D272,R_TeamActive,"No")&gt;0),"Needs new owner","")),IF(AND(OR(C272="Proposal sent",C272="Negotiation"),H272="",I272="",K272=""),"Add package or proposed value",""),IF(AND(C272="Won",OR(P272="",V272="")),"Won needs renewal date and closed on",""),IF(AND(C272="Won",G272="Cash",J272=""),"Add agreed value",""),IF(AND(C272="Lost",OR(S272="",V272="")),"Lost needs reason and closed on",""),IF(AND(C272="Nurture",OR(T272="",U272="")),"Nurture needs reason and date","")))</f>
        <v/>
      </c>
      <c r="AB272" s="34" t="str">
        <f aca="false">IF(AND(C272="Won",V272&lt;&gt;"",V272&gt;=S_SemStart,V272&lt;=S_SemEnd),V272+ROW()/100000,"")</f>
        <v/>
      </c>
      <c r="AC272" s="34" t="str">
        <f aca="false">IF(AND(C272="Lost",V272&lt;&gt;"",V272&gt;=S_SemStart,V272&lt;=S_SemEnd),V272+ROW()/100000,"")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9"/>
      <c r="J273" s="29"/>
      <c r="K273" s="27"/>
      <c r="L273" s="27"/>
      <c r="M273" s="28"/>
      <c r="N273" s="28"/>
      <c r="O273" s="28"/>
      <c r="P273" s="28"/>
      <c r="Q273" s="27"/>
      <c r="R273" s="27"/>
      <c r="S273" s="27"/>
      <c r="T273" s="27"/>
      <c r="U273" s="28"/>
      <c r="V273" s="28"/>
      <c r="W273" s="27"/>
      <c r="X273" s="32" t="str">
        <f aca="false">IF(A273="","",IF(OR(C273="Planned",C273="Contacted",C273="Meeting",C273="Proposal sent",C273="Negotiation"),"Yes","No"))</f>
        <v/>
      </c>
      <c r="Y273" s="32" t="str">
        <f aca="false">IF(A273="","",IF(AND(C273="Won",P273&lt;&gt;"",P273&lt;=S_Today+S_RenewalDays,COUNTIFS($A$3:$A$502,A273,$F$3:$F$502,"Yes",$X$3:$X$502,"Yes")=0),"Renewal due",IF(X273&lt;&gt;"Yes","",IF(OR(L273="",M273=""),"Missing next action",IF(M273&lt;S_Today,"Overdue",IF(AND(C273="Contacted",_xlfn.MAXIFS(Interactions!$A$3:$A$502,Interactions!$B$3:$B$502,A273,Interactions!$F$3:$F$502,"Sent by us")&gt;0,_xlfn.MAXIFS(Interactions!$A$3:$A$502,Interactions!$B$3:$B$502,A273,Interactions!$F$3:$F$502,"Sent by us")&lt;=S_Today-S_NoReplyDays,MAX(_xlfn.MAXIFS(Interactions!$A$3:$A$502,Interactions!$B$3:$B$502,A273,Interactions!$F$3:$F$502,"Received from them"),_xlfn.MAXIFS(Interactions!$A$3:$A$502,Interactions!$B$3:$B$502,A273,Interactions!$F$3:$F$502,"Two-way"))&lt;_xlfn.MAXIFS(Interactions!$A$3:$A$502,Interactions!$B$3:$B$502,A273,Interactions!$F$3:$F$502,"Sent by us")),"No reply",IF(M273&lt;=S_Today+7,"Due this week","")))))))</f>
        <v/>
      </c>
      <c r="Z273" s="34" t="str">
        <f aca="false">IF(OR(A273="",Y273=""),"",IF(Y273="Renewal due",100000,IF(Y273="Overdue",200000,IF(Y273="No reply",300000,IF(Y273="Due this week",400000,500000))))+IF(Y273="Renewal due",P273-40000,IF(Y273="Missing next action",0,M273-40000))+ROW()/100000)</f>
        <v/>
      </c>
      <c r="AA273" s="32" t="str">
        <f aca="false">IF(A273="","",_xlfn.TEXTJOIN(", ",TRUE(),IF(AND(X273="Yes",D273=""),"No owner",IF(AND(D273&lt;&gt;"",COUNTIFS(R_TeamName,D273,R_TeamActive,"No")&gt;0),"Needs new owner","")),IF(AND(OR(C273="Proposal sent",C273="Negotiation"),H273="",I273="",K273=""),"Add package or proposed value",""),IF(AND(C273="Won",OR(P273="",V273="")),"Won needs renewal date and closed on",""),IF(AND(C273="Won",G273="Cash",J273=""),"Add agreed value",""),IF(AND(C273="Lost",OR(S273="",V273="")),"Lost needs reason and closed on",""),IF(AND(C273="Nurture",OR(T273="",U273="")),"Nurture needs reason and date","")))</f>
        <v/>
      </c>
      <c r="AB273" s="34" t="str">
        <f aca="false">IF(AND(C273="Won",V273&lt;&gt;"",V273&gt;=S_SemStart,V273&lt;=S_SemEnd),V273+ROW()/100000,"")</f>
        <v/>
      </c>
      <c r="AC273" s="34" t="str">
        <f aca="false">IF(AND(C273="Lost",V273&lt;&gt;"",V273&gt;=S_SemStart,V273&lt;=S_SemEnd),V273+ROW()/100000,"")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9"/>
      <c r="J274" s="29"/>
      <c r="K274" s="27"/>
      <c r="L274" s="27"/>
      <c r="M274" s="28"/>
      <c r="N274" s="28"/>
      <c r="O274" s="28"/>
      <c r="P274" s="28"/>
      <c r="Q274" s="27"/>
      <c r="R274" s="27"/>
      <c r="S274" s="27"/>
      <c r="T274" s="27"/>
      <c r="U274" s="28"/>
      <c r="V274" s="28"/>
      <c r="W274" s="27"/>
      <c r="X274" s="32" t="str">
        <f aca="false">IF(A274="","",IF(OR(C274="Planned",C274="Contacted",C274="Meeting",C274="Proposal sent",C274="Negotiation"),"Yes","No"))</f>
        <v/>
      </c>
      <c r="Y274" s="32" t="str">
        <f aca="false">IF(A274="","",IF(AND(C274="Won",P274&lt;&gt;"",P274&lt;=S_Today+S_RenewalDays,COUNTIFS($A$3:$A$502,A274,$F$3:$F$502,"Yes",$X$3:$X$502,"Yes")=0),"Renewal due",IF(X274&lt;&gt;"Yes","",IF(OR(L274="",M274=""),"Missing next action",IF(M274&lt;S_Today,"Overdue",IF(AND(C274="Contacted",_xlfn.MAXIFS(Interactions!$A$3:$A$502,Interactions!$B$3:$B$502,A274,Interactions!$F$3:$F$502,"Sent by us")&gt;0,_xlfn.MAXIFS(Interactions!$A$3:$A$502,Interactions!$B$3:$B$502,A274,Interactions!$F$3:$F$502,"Sent by us")&lt;=S_Today-S_NoReplyDays,MAX(_xlfn.MAXIFS(Interactions!$A$3:$A$502,Interactions!$B$3:$B$502,A274,Interactions!$F$3:$F$502,"Received from them"),_xlfn.MAXIFS(Interactions!$A$3:$A$502,Interactions!$B$3:$B$502,A274,Interactions!$F$3:$F$502,"Two-way"))&lt;_xlfn.MAXIFS(Interactions!$A$3:$A$502,Interactions!$B$3:$B$502,A274,Interactions!$F$3:$F$502,"Sent by us")),"No reply",IF(M274&lt;=S_Today+7,"Due this week","")))))))</f>
        <v/>
      </c>
      <c r="Z274" s="34" t="str">
        <f aca="false">IF(OR(A274="",Y274=""),"",IF(Y274="Renewal due",100000,IF(Y274="Overdue",200000,IF(Y274="No reply",300000,IF(Y274="Due this week",400000,500000))))+IF(Y274="Renewal due",P274-40000,IF(Y274="Missing next action",0,M274-40000))+ROW()/100000)</f>
        <v/>
      </c>
      <c r="AA274" s="32" t="str">
        <f aca="false">IF(A274="","",_xlfn.TEXTJOIN(", ",TRUE(),IF(AND(X274="Yes",D274=""),"No owner",IF(AND(D274&lt;&gt;"",COUNTIFS(R_TeamName,D274,R_TeamActive,"No")&gt;0),"Needs new owner","")),IF(AND(OR(C274="Proposal sent",C274="Negotiation"),H274="",I274="",K274=""),"Add package or proposed value",""),IF(AND(C274="Won",OR(P274="",V274="")),"Won needs renewal date and closed on",""),IF(AND(C274="Won",G274="Cash",J274=""),"Add agreed value",""),IF(AND(C274="Lost",OR(S274="",V274="")),"Lost needs reason and closed on",""),IF(AND(C274="Nurture",OR(T274="",U274="")),"Nurture needs reason and date","")))</f>
        <v/>
      </c>
      <c r="AB274" s="34" t="str">
        <f aca="false">IF(AND(C274="Won",V274&lt;&gt;"",V274&gt;=S_SemStart,V274&lt;=S_SemEnd),V274+ROW()/100000,"")</f>
        <v/>
      </c>
      <c r="AC274" s="34" t="str">
        <f aca="false">IF(AND(C274="Lost",V274&lt;&gt;"",V274&gt;=S_SemStart,V274&lt;=S_SemEnd),V274+ROW()/100000,"")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9"/>
      <c r="J275" s="29"/>
      <c r="K275" s="27"/>
      <c r="L275" s="27"/>
      <c r="M275" s="28"/>
      <c r="N275" s="28"/>
      <c r="O275" s="28"/>
      <c r="P275" s="28"/>
      <c r="Q275" s="27"/>
      <c r="R275" s="27"/>
      <c r="S275" s="27"/>
      <c r="T275" s="27"/>
      <c r="U275" s="28"/>
      <c r="V275" s="28"/>
      <c r="W275" s="27"/>
      <c r="X275" s="32" t="str">
        <f aca="false">IF(A275="","",IF(OR(C275="Planned",C275="Contacted",C275="Meeting",C275="Proposal sent",C275="Negotiation"),"Yes","No"))</f>
        <v/>
      </c>
      <c r="Y275" s="32" t="str">
        <f aca="false">IF(A275="","",IF(AND(C275="Won",P275&lt;&gt;"",P275&lt;=S_Today+S_RenewalDays,COUNTIFS($A$3:$A$502,A275,$F$3:$F$502,"Yes",$X$3:$X$502,"Yes")=0),"Renewal due",IF(X275&lt;&gt;"Yes","",IF(OR(L275="",M275=""),"Missing next action",IF(M275&lt;S_Today,"Overdue",IF(AND(C275="Contacted",_xlfn.MAXIFS(Interactions!$A$3:$A$502,Interactions!$B$3:$B$502,A275,Interactions!$F$3:$F$502,"Sent by us")&gt;0,_xlfn.MAXIFS(Interactions!$A$3:$A$502,Interactions!$B$3:$B$502,A275,Interactions!$F$3:$F$502,"Sent by us")&lt;=S_Today-S_NoReplyDays,MAX(_xlfn.MAXIFS(Interactions!$A$3:$A$502,Interactions!$B$3:$B$502,A275,Interactions!$F$3:$F$502,"Received from them"),_xlfn.MAXIFS(Interactions!$A$3:$A$502,Interactions!$B$3:$B$502,A275,Interactions!$F$3:$F$502,"Two-way"))&lt;_xlfn.MAXIFS(Interactions!$A$3:$A$502,Interactions!$B$3:$B$502,A275,Interactions!$F$3:$F$502,"Sent by us")),"No reply",IF(M275&lt;=S_Today+7,"Due this week","")))))))</f>
        <v/>
      </c>
      <c r="Z275" s="34" t="str">
        <f aca="false">IF(OR(A275="",Y275=""),"",IF(Y275="Renewal due",100000,IF(Y275="Overdue",200000,IF(Y275="No reply",300000,IF(Y275="Due this week",400000,500000))))+IF(Y275="Renewal due",P275-40000,IF(Y275="Missing next action",0,M275-40000))+ROW()/100000)</f>
        <v/>
      </c>
      <c r="AA275" s="32" t="str">
        <f aca="false">IF(A275="","",_xlfn.TEXTJOIN(", ",TRUE(),IF(AND(X275="Yes",D275=""),"No owner",IF(AND(D275&lt;&gt;"",COUNTIFS(R_TeamName,D275,R_TeamActive,"No")&gt;0),"Needs new owner","")),IF(AND(OR(C275="Proposal sent",C275="Negotiation"),H275="",I275="",K275=""),"Add package or proposed value",""),IF(AND(C275="Won",OR(P275="",V275="")),"Won needs renewal date and closed on",""),IF(AND(C275="Won",G275="Cash",J275=""),"Add agreed value",""),IF(AND(C275="Lost",OR(S275="",V275="")),"Lost needs reason and closed on",""),IF(AND(C275="Nurture",OR(T275="",U275="")),"Nurture needs reason and date","")))</f>
        <v/>
      </c>
      <c r="AB275" s="34" t="str">
        <f aca="false">IF(AND(C275="Won",V275&lt;&gt;"",V275&gt;=S_SemStart,V275&lt;=S_SemEnd),V275+ROW()/100000,"")</f>
        <v/>
      </c>
      <c r="AC275" s="34" t="str">
        <f aca="false">IF(AND(C275="Lost",V275&lt;&gt;"",V275&gt;=S_SemStart,V275&lt;=S_SemEnd),V275+ROW()/100000,"")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9"/>
      <c r="J276" s="29"/>
      <c r="K276" s="27"/>
      <c r="L276" s="27"/>
      <c r="M276" s="28"/>
      <c r="N276" s="28"/>
      <c r="O276" s="28"/>
      <c r="P276" s="28"/>
      <c r="Q276" s="27"/>
      <c r="R276" s="27"/>
      <c r="S276" s="27"/>
      <c r="T276" s="27"/>
      <c r="U276" s="28"/>
      <c r="V276" s="28"/>
      <c r="W276" s="27"/>
      <c r="X276" s="32" t="str">
        <f aca="false">IF(A276="","",IF(OR(C276="Planned",C276="Contacted",C276="Meeting",C276="Proposal sent",C276="Negotiation"),"Yes","No"))</f>
        <v/>
      </c>
      <c r="Y276" s="32" t="str">
        <f aca="false">IF(A276="","",IF(AND(C276="Won",P276&lt;&gt;"",P276&lt;=S_Today+S_RenewalDays,COUNTIFS($A$3:$A$502,A276,$F$3:$F$502,"Yes",$X$3:$X$502,"Yes")=0),"Renewal due",IF(X276&lt;&gt;"Yes","",IF(OR(L276="",M276=""),"Missing next action",IF(M276&lt;S_Today,"Overdue",IF(AND(C276="Contacted",_xlfn.MAXIFS(Interactions!$A$3:$A$502,Interactions!$B$3:$B$502,A276,Interactions!$F$3:$F$502,"Sent by us")&gt;0,_xlfn.MAXIFS(Interactions!$A$3:$A$502,Interactions!$B$3:$B$502,A276,Interactions!$F$3:$F$502,"Sent by us")&lt;=S_Today-S_NoReplyDays,MAX(_xlfn.MAXIFS(Interactions!$A$3:$A$502,Interactions!$B$3:$B$502,A276,Interactions!$F$3:$F$502,"Received from them"),_xlfn.MAXIFS(Interactions!$A$3:$A$502,Interactions!$B$3:$B$502,A276,Interactions!$F$3:$F$502,"Two-way"))&lt;_xlfn.MAXIFS(Interactions!$A$3:$A$502,Interactions!$B$3:$B$502,A276,Interactions!$F$3:$F$502,"Sent by us")),"No reply",IF(M276&lt;=S_Today+7,"Due this week","")))))))</f>
        <v/>
      </c>
      <c r="Z276" s="34" t="str">
        <f aca="false">IF(OR(A276="",Y276=""),"",IF(Y276="Renewal due",100000,IF(Y276="Overdue",200000,IF(Y276="No reply",300000,IF(Y276="Due this week",400000,500000))))+IF(Y276="Renewal due",P276-40000,IF(Y276="Missing next action",0,M276-40000))+ROW()/100000)</f>
        <v/>
      </c>
      <c r="AA276" s="32" t="str">
        <f aca="false">IF(A276="","",_xlfn.TEXTJOIN(", ",TRUE(),IF(AND(X276="Yes",D276=""),"No owner",IF(AND(D276&lt;&gt;"",COUNTIFS(R_TeamName,D276,R_TeamActive,"No")&gt;0),"Needs new owner","")),IF(AND(OR(C276="Proposal sent",C276="Negotiation"),H276="",I276="",K276=""),"Add package or proposed value",""),IF(AND(C276="Won",OR(P276="",V276="")),"Won needs renewal date and closed on",""),IF(AND(C276="Won",G276="Cash",J276=""),"Add agreed value",""),IF(AND(C276="Lost",OR(S276="",V276="")),"Lost needs reason and closed on",""),IF(AND(C276="Nurture",OR(T276="",U276="")),"Nurture needs reason and date","")))</f>
        <v/>
      </c>
      <c r="AB276" s="34" t="str">
        <f aca="false">IF(AND(C276="Won",V276&lt;&gt;"",V276&gt;=S_SemStart,V276&lt;=S_SemEnd),V276+ROW()/100000,"")</f>
        <v/>
      </c>
      <c r="AC276" s="34" t="str">
        <f aca="false">IF(AND(C276="Lost",V276&lt;&gt;"",V276&gt;=S_SemStart,V276&lt;=S_SemEnd),V276+ROW()/100000,"")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9"/>
      <c r="J277" s="29"/>
      <c r="K277" s="27"/>
      <c r="L277" s="27"/>
      <c r="M277" s="28"/>
      <c r="N277" s="28"/>
      <c r="O277" s="28"/>
      <c r="P277" s="28"/>
      <c r="Q277" s="27"/>
      <c r="R277" s="27"/>
      <c r="S277" s="27"/>
      <c r="T277" s="27"/>
      <c r="U277" s="28"/>
      <c r="V277" s="28"/>
      <c r="W277" s="27"/>
      <c r="X277" s="32" t="str">
        <f aca="false">IF(A277="","",IF(OR(C277="Planned",C277="Contacted",C277="Meeting",C277="Proposal sent",C277="Negotiation"),"Yes","No"))</f>
        <v/>
      </c>
      <c r="Y277" s="32" t="str">
        <f aca="false">IF(A277="","",IF(AND(C277="Won",P277&lt;&gt;"",P277&lt;=S_Today+S_RenewalDays,COUNTIFS($A$3:$A$502,A277,$F$3:$F$502,"Yes",$X$3:$X$502,"Yes")=0),"Renewal due",IF(X277&lt;&gt;"Yes","",IF(OR(L277="",M277=""),"Missing next action",IF(M277&lt;S_Today,"Overdue",IF(AND(C277="Contacted",_xlfn.MAXIFS(Interactions!$A$3:$A$502,Interactions!$B$3:$B$502,A277,Interactions!$F$3:$F$502,"Sent by us")&gt;0,_xlfn.MAXIFS(Interactions!$A$3:$A$502,Interactions!$B$3:$B$502,A277,Interactions!$F$3:$F$502,"Sent by us")&lt;=S_Today-S_NoReplyDays,MAX(_xlfn.MAXIFS(Interactions!$A$3:$A$502,Interactions!$B$3:$B$502,A277,Interactions!$F$3:$F$502,"Received from them"),_xlfn.MAXIFS(Interactions!$A$3:$A$502,Interactions!$B$3:$B$502,A277,Interactions!$F$3:$F$502,"Two-way"))&lt;_xlfn.MAXIFS(Interactions!$A$3:$A$502,Interactions!$B$3:$B$502,A277,Interactions!$F$3:$F$502,"Sent by us")),"No reply",IF(M277&lt;=S_Today+7,"Due this week","")))))))</f>
        <v/>
      </c>
      <c r="Z277" s="34" t="str">
        <f aca="false">IF(OR(A277="",Y277=""),"",IF(Y277="Renewal due",100000,IF(Y277="Overdue",200000,IF(Y277="No reply",300000,IF(Y277="Due this week",400000,500000))))+IF(Y277="Renewal due",P277-40000,IF(Y277="Missing next action",0,M277-40000))+ROW()/100000)</f>
        <v/>
      </c>
      <c r="AA277" s="32" t="str">
        <f aca="false">IF(A277="","",_xlfn.TEXTJOIN(", ",TRUE(),IF(AND(X277="Yes",D277=""),"No owner",IF(AND(D277&lt;&gt;"",COUNTIFS(R_TeamName,D277,R_TeamActive,"No")&gt;0),"Needs new owner","")),IF(AND(OR(C277="Proposal sent",C277="Negotiation"),H277="",I277="",K277=""),"Add package or proposed value",""),IF(AND(C277="Won",OR(P277="",V277="")),"Won needs renewal date and closed on",""),IF(AND(C277="Won",G277="Cash",J277=""),"Add agreed value",""),IF(AND(C277="Lost",OR(S277="",V277="")),"Lost needs reason and closed on",""),IF(AND(C277="Nurture",OR(T277="",U277="")),"Nurture needs reason and date","")))</f>
        <v/>
      </c>
      <c r="AB277" s="34" t="str">
        <f aca="false">IF(AND(C277="Won",V277&lt;&gt;"",V277&gt;=S_SemStart,V277&lt;=S_SemEnd),V277+ROW()/100000,"")</f>
        <v/>
      </c>
      <c r="AC277" s="34" t="str">
        <f aca="false">IF(AND(C277="Lost",V277&lt;&gt;"",V277&gt;=S_SemStart,V277&lt;=S_SemEnd),V277+ROW()/100000,"")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9"/>
      <c r="J278" s="29"/>
      <c r="K278" s="27"/>
      <c r="L278" s="27"/>
      <c r="M278" s="28"/>
      <c r="N278" s="28"/>
      <c r="O278" s="28"/>
      <c r="P278" s="28"/>
      <c r="Q278" s="27"/>
      <c r="R278" s="27"/>
      <c r="S278" s="27"/>
      <c r="T278" s="27"/>
      <c r="U278" s="28"/>
      <c r="V278" s="28"/>
      <c r="W278" s="27"/>
      <c r="X278" s="32" t="str">
        <f aca="false">IF(A278="","",IF(OR(C278="Planned",C278="Contacted",C278="Meeting",C278="Proposal sent",C278="Negotiation"),"Yes","No"))</f>
        <v/>
      </c>
      <c r="Y278" s="32" t="str">
        <f aca="false">IF(A278="","",IF(AND(C278="Won",P278&lt;&gt;"",P278&lt;=S_Today+S_RenewalDays,COUNTIFS($A$3:$A$502,A278,$F$3:$F$502,"Yes",$X$3:$X$502,"Yes")=0),"Renewal due",IF(X278&lt;&gt;"Yes","",IF(OR(L278="",M278=""),"Missing next action",IF(M278&lt;S_Today,"Overdue",IF(AND(C278="Contacted",_xlfn.MAXIFS(Interactions!$A$3:$A$502,Interactions!$B$3:$B$502,A278,Interactions!$F$3:$F$502,"Sent by us")&gt;0,_xlfn.MAXIFS(Interactions!$A$3:$A$502,Interactions!$B$3:$B$502,A278,Interactions!$F$3:$F$502,"Sent by us")&lt;=S_Today-S_NoReplyDays,MAX(_xlfn.MAXIFS(Interactions!$A$3:$A$502,Interactions!$B$3:$B$502,A278,Interactions!$F$3:$F$502,"Received from them"),_xlfn.MAXIFS(Interactions!$A$3:$A$502,Interactions!$B$3:$B$502,A278,Interactions!$F$3:$F$502,"Two-way"))&lt;_xlfn.MAXIFS(Interactions!$A$3:$A$502,Interactions!$B$3:$B$502,A278,Interactions!$F$3:$F$502,"Sent by us")),"No reply",IF(M278&lt;=S_Today+7,"Due this week","")))))))</f>
        <v/>
      </c>
      <c r="Z278" s="34" t="str">
        <f aca="false">IF(OR(A278="",Y278=""),"",IF(Y278="Renewal due",100000,IF(Y278="Overdue",200000,IF(Y278="No reply",300000,IF(Y278="Due this week",400000,500000))))+IF(Y278="Renewal due",P278-40000,IF(Y278="Missing next action",0,M278-40000))+ROW()/100000)</f>
        <v/>
      </c>
      <c r="AA278" s="32" t="str">
        <f aca="false">IF(A278="","",_xlfn.TEXTJOIN(", ",TRUE(),IF(AND(X278="Yes",D278=""),"No owner",IF(AND(D278&lt;&gt;"",COUNTIFS(R_TeamName,D278,R_TeamActive,"No")&gt;0),"Needs new owner","")),IF(AND(OR(C278="Proposal sent",C278="Negotiation"),H278="",I278="",K278=""),"Add package or proposed value",""),IF(AND(C278="Won",OR(P278="",V278="")),"Won needs renewal date and closed on",""),IF(AND(C278="Won",G278="Cash",J278=""),"Add agreed value",""),IF(AND(C278="Lost",OR(S278="",V278="")),"Lost needs reason and closed on",""),IF(AND(C278="Nurture",OR(T278="",U278="")),"Nurture needs reason and date","")))</f>
        <v/>
      </c>
      <c r="AB278" s="34" t="str">
        <f aca="false">IF(AND(C278="Won",V278&lt;&gt;"",V278&gt;=S_SemStart,V278&lt;=S_SemEnd),V278+ROW()/100000,"")</f>
        <v/>
      </c>
      <c r="AC278" s="34" t="str">
        <f aca="false">IF(AND(C278="Lost",V278&lt;&gt;"",V278&gt;=S_SemStart,V278&lt;=S_SemEnd),V278+ROW()/100000,"")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9"/>
      <c r="J279" s="29"/>
      <c r="K279" s="27"/>
      <c r="L279" s="27"/>
      <c r="M279" s="28"/>
      <c r="N279" s="28"/>
      <c r="O279" s="28"/>
      <c r="P279" s="28"/>
      <c r="Q279" s="27"/>
      <c r="R279" s="27"/>
      <c r="S279" s="27"/>
      <c r="T279" s="27"/>
      <c r="U279" s="28"/>
      <c r="V279" s="28"/>
      <c r="W279" s="27"/>
      <c r="X279" s="32" t="str">
        <f aca="false">IF(A279="","",IF(OR(C279="Planned",C279="Contacted",C279="Meeting",C279="Proposal sent",C279="Negotiation"),"Yes","No"))</f>
        <v/>
      </c>
      <c r="Y279" s="32" t="str">
        <f aca="false">IF(A279="","",IF(AND(C279="Won",P279&lt;&gt;"",P279&lt;=S_Today+S_RenewalDays,COUNTIFS($A$3:$A$502,A279,$F$3:$F$502,"Yes",$X$3:$X$502,"Yes")=0),"Renewal due",IF(X279&lt;&gt;"Yes","",IF(OR(L279="",M279=""),"Missing next action",IF(M279&lt;S_Today,"Overdue",IF(AND(C279="Contacted",_xlfn.MAXIFS(Interactions!$A$3:$A$502,Interactions!$B$3:$B$502,A279,Interactions!$F$3:$F$502,"Sent by us")&gt;0,_xlfn.MAXIFS(Interactions!$A$3:$A$502,Interactions!$B$3:$B$502,A279,Interactions!$F$3:$F$502,"Sent by us")&lt;=S_Today-S_NoReplyDays,MAX(_xlfn.MAXIFS(Interactions!$A$3:$A$502,Interactions!$B$3:$B$502,A279,Interactions!$F$3:$F$502,"Received from them"),_xlfn.MAXIFS(Interactions!$A$3:$A$502,Interactions!$B$3:$B$502,A279,Interactions!$F$3:$F$502,"Two-way"))&lt;_xlfn.MAXIFS(Interactions!$A$3:$A$502,Interactions!$B$3:$B$502,A279,Interactions!$F$3:$F$502,"Sent by us")),"No reply",IF(M279&lt;=S_Today+7,"Due this week","")))))))</f>
        <v/>
      </c>
      <c r="Z279" s="34" t="str">
        <f aca="false">IF(OR(A279="",Y279=""),"",IF(Y279="Renewal due",100000,IF(Y279="Overdue",200000,IF(Y279="No reply",300000,IF(Y279="Due this week",400000,500000))))+IF(Y279="Renewal due",P279-40000,IF(Y279="Missing next action",0,M279-40000))+ROW()/100000)</f>
        <v/>
      </c>
      <c r="AA279" s="32" t="str">
        <f aca="false">IF(A279="","",_xlfn.TEXTJOIN(", ",TRUE(),IF(AND(X279="Yes",D279=""),"No owner",IF(AND(D279&lt;&gt;"",COUNTIFS(R_TeamName,D279,R_TeamActive,"No")&gt;0),"Needs new owner","")),IF(AND(OR(C279="Proposal sent",C279="Negotiation"),H279="",I279="",K279=""),"Add package or proposed value",""),IF(AND(C279="Won",OR(P279="",V279="")),"Won needs renewal date and closed on",""),IF(AND(C279="Won",G279="Cash",J279=""),"Add agreed value",""),IF(AND(C279="Lost",OR(S279="",V279="")),"Lost needs reason and closed on",""),IF(AND(C279="Nurture",OR(T279="",U279="")),"Nurture needs reason and date","")))</f>
        <v/>
      </c>
      <c r="AB279" s="34" t="str">
        <f aca="false">IF(AND(C279="Won",V279&lt;&gt;"",V279&gt;=S_SemStart,V279&lt;=S_SemEnd),V279+ROW()/100000,"")</f>
        <v/>
      </c>
      <c r="AC279" s="34" t="str">
        <f aca="false">IF(AND(C279="Lost",V279&lt;&gt;"",V279&gt;=S_SemStart,V279&lt;=S_SemEnd),V279+ROW()/100000,"")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9"/>
      <c r="J280" s="29"/>
      <c r="K280" s="27"/>
      <c r="L280" s="27"/>
      <c r="M280" s="28"/>
      <c r="N280" s="28"/>
      <c r="O280" s="28"/>
      <c r="P280" s="28"/>
      <c r="Q280" s="27"/>
      <c r="R280" s="27"/>
      <c r="S280" s="27"/>
      <c r="T280" s="27"/>
      <c r="U280" s="28"/>
      <c r="V280" s="28"/>
      <c r="W280" s="27"/>
      <c r="X280" s="32" t="str">
        <f aca="false">IF(A280="","",IF(OR(C280="Planned",C280="Contacted",C280="Meeting",C280="Proposal sent",C280="Negotiation"),"Yes","No"))</f>
        <v/>
      </c>
      <c r="Y280" s="32" t="str">
        <f aca="false">IF(A280="","",IF(AND(C280="Won",P280&lt;&gt;"",P280&lt;=S_Today+S_RenewalDays,COUNTIFS($A$3:$A$502,A280,$F$3:$F$502,"Yes",$X$3:$X$502,"Yes")=0),"Renewal due",IF(X280&lt;&gt;"Yes","",IF(OR(L280="",M280=""),"Missing next action",IF(M280&lt;S_Today,"Overdue",IF(AND(C280="Contacted",_xlfn.MAXIFS(Interactions!$A$3:$A$502,Interactions!$B$3:$B$502,A280,Interactions!$F$3:$F$502,"Sent by us")&gt;0,_xlfn.MAXIFS(Interactions!$A$3:$A$502,Interactions!$B$3:$B$502,A280,Interactions!$F$3:$F$502,"Sent by us")&lt;=S_Today-S_NoReplyDays,MAX(_xlfn.MAXIFS(Interactions!$A$3:$A$502,Interactions!$B$3:$B$502,A280,Interactions!$F$3:$F$502,"Received from them"),_xlfn.MAXIFS(Interactions!$A$3:$A$502,Interactions!$B$3:$B$502,A280,Interactions!$F$3:$F$502,"Two-way"))&lt;_xlfn.MAXIFS(Interactions!$A$3:$A$502,Interactions!$B$3:$B$502,A280,Interactions!$F$3:$F$502,"Sent by us")),"No reply",IF(M280&lt;=S_Today+7,"Due this week","")))))))</f>
        <v/>
      </c>
      <c r="Z280" s="34" t="str">
        <f aca="false">IF(OR(A280="",Y280=""),"",IF(Y280="Renewal due",100000,IF(Y280="Overdue",200000,IF(Y280="No reply",300000,IF(Y280="Due this week",400000,500000))))+IF(Y280="Renewal due",P280-40000,IF(Y280="Missing next action",0,M280-40000))+ROW()/100000)</f>
        <v/>
      </c>
      <c r="AA280" s="32" t="str">
        <f aca="false">IF(A280="","",_xlfn.TEXTJOIN(", ",TRUE(),IF(AND(X280="Yes",D280=""),"No owner",IF(AND(D280&lt;&gt;"",COUNTIFS(R_TeamName,D280,R_TeamActive,"No")&gt;0),"Needs new owner","")),IF(AND(OR(C280="Proposal sent",C280="Negotiation"),H280="",I280="",K280=""),"Add package or proposed value",""),IF(AND(C280="Won",OR(P280="",V280="")),"Won needs renewal date and closed on",""),IF(AND(C280="Won",G280="Cash",J280=""),"Add agreed value",""),IF(AND(C280="Lost",OR(S280="",V280="")),"Lost needs reason and closed on",""),IF(AND(C280="Nurture",OR(T280="",U280="")),"Nurture needs reason and date","")))</f>
        <v/>
      </c>
      <c r="AB280" s="34" t="str">
        <f aca="false">IF(AND(C280="Won",V280&lt;&gt;"",V280&gt;=S_SemStart,V280&lt;=S_SemEnd),V280+ROW()/100000,"")</f>
        <v/>
      </c>
      <c r="AC280" s="34" t="str">
        <f aca="false">IF(AND(C280="Lost",V280&lt;&gt;"",V280&gt;=S_SemStart,V280&lt;=S_SemEnd),V280+ROW()/100000,"")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9"/>
      <c r="J281" s="29"/>
      <c r="K281" s="27"/>
      <c r="L281" s="27"/>
      <c r="M281" s="28"/>
      <c r="N281" s="28"/>
      <c r="O281" s="28"/>
      <c r="P281" s="28"/>
      <c r="Q281" s="27"/>
      <c r="R281" s="27"/>
      <c r="S281" s="27"/>
      <c r="T281" s="27"/>
      <c r="U281" s="28"/>
      <c r="V281" s="28"/>
      <c r="W281" s="27"/>
      <c r="X281" s="32" t="str">
        <f aca="false">IF(A281="","",IF(OR(C281="Planned",C281="Contacted",C281="Meeting",C281="Proposal sent",C281="Negotiation"),"Yes","No"))</f>
        <v/>
      </c>
      <c r="Y281" s="32" t="str">
        <f aca="false">IF(A281="","",IF(AND(C281="Won",P281&lt;&gt;"",P281&lt;=S_Today+S_RenewalDays,COUNTIFS($A$3:$A$502,A281,$F$3:$F$502,"Yes",$X$3:$X$502,"Yes")=0),"Renewal due",IF(X281&lt;&gt;"Yes","",IF(OR(L281="",M281=""),"Missing next action",IF(M281&lt;S_Today,"Overdue",IF(AND(C281="Contacted",_xlfn.MAXIFS(Interactions!$A$3:$A$502,Interactions!$B$3:$B$502,A281,Interactions!$F$3:$F$502,"Sent by us")&gt;0,_xlfn.MAXIFS(Interactions!$A$3:$A$502,Interactions!$B$3:$B$502,A281,Interactions!$F$3:$F$502,"Sent by us")&lt;=S_Today-S_NoReplyDays,MAX(_xlfn.MAXIFS(Interactions!$A$3:$A$502,Interactions!$B$3:$B$502,A281,Interactions!$F$3:$F$502,"Received from them"),_xlfn.MAXIFS(Interactions!$A$3:$A$502,Interactions!$B$3:$B$502,A281,Interactions!$F$3:$F$502,"Two-way"))&lt;_xlfn.MAXIFS(Interactions!$A$3:$A$502,Interactions!$B$3:$B$502,A281,Interactions!$F$3:$F$502,"Sent by us")),"No reply",IF(M281&lt;=S_Today+7,"Due this week","")))))))</f>
        <v/>
      </c>
      <c r="Z281" s="34" t="str">
        <f aca="false">IF(OR(A281="",Y281=""),"",IF(Y281="Renewal due",100000,IF(Y281="Overdue",200000,IF(Y281="No reply",300000,IF(Y281="Due this week",400000,500000))))+IF(Y281="Renewal due",P281-40000,IF(Y281="Missing next action",0,M281-40000))+ROW()/100000)</f>
        <v/>
      </c>
      <c r="AA281" s="32" t="str">
        <f aca="false">IF(A281="","",_xlfn.TEXTJOIN(", ",TRUE(),IF(AND(X281="Yes",D281=""),"No owner",IF(AND(D281&lt;&gt;"",COUNTIFS(R_TeamName,D281,R_TeamActive,"No")&gt;0),"Needs new owner","")),IF(AND(OR(C281="Proposal sent",C281="Negotiation"),H281="",I281="",K281=""),"Add package or proposed value",""),IF(AND(C281="Won",OR(P281="",V281="")),"Won needs renewal date and closed on",""),IF(AND(C281="Won",G281="Cash",J281=""),"Add agreed value",""),IF(AND(C281="Lost",OR(S281="",V281="")),"Lost needs reason and closed on",""),IF(AND(C281="Nurture",OR(T281="",U281="")),"Nurture needs reason and date","")))</f>
        <v/>
      </c>
      <c r="AB281" s="34" t="str">
        <f aca="false">IF(AND(C281="Won",V281&lt;&gt;"",V281&gt;=S_SemStart,V281&lt;=S_SemEnd),V281+ROW()/100000,"")</f>
        <v/>
      </c>
      <c r="AC281" s="34" t="str">
        <f aca="false">IF(AND(C281="Lost",V281&lt;&gt;"",V281&gt;=S_SemStart,V281&lt;=S_SemEnd),V281+ROW()/100000,"")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9"/>
      <c r="J282" s="29"/>
      <c r="K282" s="27"/>
      <c r="L282" s="27"/>
      <c r="M282" s="28"/>
      <c r="N282" s="28"/>
      <c r="O282" s="28"/>
      <c r="P282" s="28"/>
      <c r="Q282" s="27"/>
      <c r="R282" s="27"/>
      <c r="S282" s="27"/>
      <c r="T282" s="27"/>
      <c r="U282" s="28"/>
      <c r="V282" s="28"/>
      <c r="W282" s="27"/>
      <c r="X282" s="32" t="str">
        <f aca="false">IF(A282="","",IF(OR(C282="Planned",C282="Contacted",C282="Meeting",C282="Proposal sent",C282="Negotiation"),"Yes","No"))</f>
        <v/>
      </c>
      <c r="Y282" s="32" t="str">
        <f aca="false">IF(A282="","",IF(AND(C282="Won",P282&lt;&gt;"",P282&lt;=S_Today+S_RenewalDays,COUNTIFS($A$3:$A$502,A282,$F$3:$F$502,"Yes",$X$3:$X$502,"Yes")=0),"Renewal due",IF(X282&lt;&gt;"Yes","",IF(OR(L282="",M282=""),"Missing next action",IF(M282&lt;S_Today,"Overdue",IF(AND(C282="Contacted",_xlfn.MAXIFS(Interactions!$A$3:$A$502,Interactions!$B$3:$B$502,A282,Interactions!$F$3:$F$502,"Sent by us")&gt;0,_xlfn.MAXIFS(Interactions!$A$3:$A$502,Interactions!$B$3:$B$502,A282,Interactions!$F$3:$F$502,"Sent by us")&lt;=S_Today-S_NoReplyDays,MAX(_xlfn.MAXIFS(Interactions!$A$3:$A$502,Interactions!$B$3:$B$502,A282,Interactions!$F$3:$F$502,"Received from them"),_xlfn.MAXIFS(Interactions!$A$3:$A$502,Interactions!$B$3:$B$502,A282,Interactions!$F$3:$F$502,"Two-way"))&lt;_xlfn.MAXIFS(Interactions!$A$3:$A$502,Interactions!$B$3:$B$502,A282,Interactions!$F$3:$F$502,"Sent by us")),"No reply",IF(M282&lt;=S_Today+7,"Due this week","")))))))</f>
        <v/>
      </c>
      <c r="Z282" s="34" t="str">
        <f aca="false">IF(OR(A282="",Y282=""),"",IF(Y282="Renewal due",100000,IF(Y282="Overdue",200000,IF(Y282="No reply",300000,IF(Y282="Due this week",400000,500000))))+IF(Y282="Renewal due",P282-40000,IF(Y282="Missing next action",0,M282-40000))+ROW()/100000)</f>
        <v/>
      </c>
      <c r="AA282" s="32" t="str">
        <f aca="false">IF(A282="","",_xlfn.TEXTJOIN(", ",TRUE(),IF(AND(X282="Yes",D282=""),"No owner",IF(AND(D282&lt;&gt;"",COUNTIFS(R_TeamName,D282,R_TeamActive,"No")&gt;0),"Needs new owner","")),IF(AND(OR(C282="Proposal sent",C282="Negotiation"),H282="",I282="",K282=""),"Add package or proposed value",""),IF(AND(C282="Won",OR(P282="",V282="")),"Won needs renewal date and closed on",""),IF(AND(C282="Won",G282="Cash",J282=""),"Add agreed value",""),IF(AND(C282="Lost",OR(S282="",V282="")),"Lost needs reason and closed on",""),IF(AND(C282="Nurture",OR(T282="",U282="")),"Nurture needs reason and date","")))</f>
        <v/>
      </c>
      <c r="AB282" s="34" t="str">
        <f aca="false">IF(AND(C282="Won",V282&lt;&gt;"",V282&gt;=S_SemStart,V282&lt;=S_SemEnd),V282+ROW()/100000,"")</f>
        <v/>
      </c>
      <c r="AC282" s="34" t="str">
        <f aca="false">IF(AND(C282="Lost",V282&lt;&gt;"",V282&gt;=S_SemStart,V282&lt;=S_SemEnd),V282+ROW()/100000,"")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9"/>
      <c r="J283" s="29"/>
      <c r="K283" s="27"/>
      <c r="L283" s="27"/>
      <c r="M283" s="28"/>
      <c r="N283" s="28"/>
      <c r="O283" s="28"/>
      <c r="P283" s="28"/>
      <c r="Q283" s="27"/>
      <c r="R283" s="27"/>
      <c r="S283" s="27"/>
      <c r="T283" s="27"/>
      <c r="U283" s="28"/>
      <c r="V283" s="28"/>
      <c r="W283" s="27"/>
      <c r="X283" s="32" t="str">
        <f aca="false">IF(A283="","",IF(OR(C283="Planned",C283="Contacted",C283="Meeting",C283="Proposal sent",C283="Negotiation"),"Yes","No"))</f>
        <v/>
      </c>
      <c r="Y283" s="32" t="str">
        <f aca="false">IF(A283="","",IF(AND(C283="Won",P283&lt;&gt;"",P283&lt;=S_Today+S_RenewalDays,COUNTIFS($A$3:$A$502,A283,$F$3:$F$502,"Yes",$X$3:$X$502,"Yes")=0),"Renewal due",IF(X283&lt;&gt;"Yes","",IF(OR(L283="",M283=""),"Missing next action",IF(M283&lt;S_Today,"Overdue",IF(AND(C283="Contacted",_xlfn.MAXIFS(Interactions!$A$3:$A$502,Interactions!$B$3:$B$502,A283,Interactions!$F$3:$F$502,"Sent by us")&gt;0,_xlfn.MAXIFS(Interactions!$A$3:$A$502,Interactions!$B$3:$B$502,A283,Interactions!$F$3:$F$502,"Sent by us")&lt;=S_Today-S_NoReplyDays,MAX(_xlfn.MAXIFS(Interactions!$A$3:$A$502,Interactions!$B$3:$B$502,A283,Interactions!$F$3:$F$502,"Received from them"),_xlfn.MAXIFS(Interactions!$A$3:$A$502,Interactions!$B$3:$B$502,A283,Interactions!$F$3:$F$502,"Two-way"))&lt;_xlfn.MAXIFS(Interactions!$A$3:$A$502,Interactions!$B$3:$B$502,A283,Interactions!$F$3:$F$502,"Sent by us")),"No reply",IF(M283&lt;=S_Today+7,"Due this week","")))))))</f>
        <v/>
      </c>
      <c r="Z283" s="34" t="str">
        <f aca="false">IF(OR(A283="",Y283=""),"",IF(Y283="Renewal due",100000,IF(Y283="Overdue",200000,IF(Y283="No reply",300000,IF(Y283="Due this week",400000,500000))))+IF(Y283="Renewal due",P283-40000,IF(Y283="Missing next action",0,M283-40000))+ROW()/100000)</f>
        <v/>
      </c>
      <c r="AA283" s="32" t="str">
        <f aca="false">IF(A283="","",_xlfn.TEXTJOIN(", ",TRUE(),IF(AND(X283="Yes",D283=""),"No owner",IF(AND(D283&lt;&gt;"",COUNTIFS(R_TeamName,D283,R_TeamActive,"No")&gt;0),"Needs new owner","")),IF(AND(OR(C283="Proposal sent",C283="Negotiation"),H283="",I283="",K283=""),"Add package or proposed value",""),IF(AND(C283="Won",OR(P283="",V283="")),"Won needs renewal date and closed on",""),IF(AND(C283="Won",G283="Cash",J283=""),"Add agreed value",""),IF(AND(C283="Lost",OR(S283="",V283="")),"Lost needs reason and closed on",""),IF(AND(C283="Nurture",OR(T283="",U283="")),"Nurture needs reason and date","")))</f>
        <v/>
      </c>
      <c r="AB283" s="34" t="str">
        <f aca="false">IF(AND(C283="Won",V283&lt;&gt;"",V283&gt;=S_SemStart,V283&lt;=S_SemEnd),V283+ROW()/100000,"")</f>
        <v/>
      </c>
      <c r="AC283" s="34" t="str">
        <f aca="false">IF(AND(C283="Lost",V283&lt;&gt;"",V283&gt;=S_SemStart,V283&lt;=S_SemEnd),V283+ROW()/100000,"")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9"/>
      <c r="J284" s="29"/>
      <c r="K284" s="27"/>
      <c r="L284" s="27"/>
      <c r="M284" s="28"/>
      <c r="N284" s="28"/>
      <c r="O284" s="28"/>
      <c r="P284" s="28"/>
      <c r="Q284" s="27"/>
      <c r="R284" s="27"/>
      <c r="S284" s="27"/>
      <c r="T284" s="27"/>
      <c r="U284" s="28"/>
      <c r="V284" s="28"/>
      <c r="W284" s="27"/>
      <c r="X284" s="32" t="str">
        <f aca="false">IF(A284="","",IF(OR(C284="Planned",C284="Contacted",C284="Meeting",C284="Proposal sent",C284="Negotiation"),"Yes","No"))</f>
        <v/>
      </c>
      <c r="Y284" s="32" t="str">
        <f aca="false">IF(A284="","",IF(AND(C284="Won",P284&lt;&gt;"",P284&lt;=S_Today+S_RenewalDays,COUNTIFS($A$3:$A$502,A284,$F$3:$F$502,"Yes",$X$3:$X$502,"Yes")=0),"Renewal due",IF(X284&lt;&gt;"Yes","",IF(OR(L284="",M284=""),"Missing next action",IF(M284&lt;S_Today,"Overdue",IF(AND(C284="Contacted",_xlfn.MAXIFS(Interactions!$A$3:$A$502,Interactions!$B$3:$B$502,A284,Interactions!$F$3:$F$502,"Sent by us")&gt;0,_xlfn.MAXIFS(Interactions!$A$3:$A$502,Interactions!$B$3:$B$502,A284,Interactions!$F$3:$F$502,"Sent by us")&lt;=S_Today-S_NoReplyDays,MAX(_xlfn.MAXIFS(Interactions!$A$3:$A$502,Interactions!$B$3:$B$502,A284,Interactions!$F$3:$F$502,"Received from them"),_xlfn.MAXIFS(Interactions!$A$3:$A$502,Interactions!$B$3:$B$502,A284,Interactions!$F$3:$F$502,"Two-way"))&lt;_xlfn.MAXIFS(Interactions!$A$3:$A$502,Interactions!$B$3:$B$502,A284,Interactions!$F$3:$F$502,"Sent by us")),"No reply",IF(M284&lt;=S_Today+7,"Due this week","")))))))</f>
        <v/>
      </c>
      <c r="Z284" s="34" t="str">
        <f aca="false">IF(OR(A284="",Y284=""),"",IF(Y284="Renewal due",100000,IF(Y284="Overdue",200000,IF(Y284="No reply",300000,IF(Y284="Due this week",400000,500000))))+IF(Y284="Renewal due",P284-40000,IF(Y284="Missing next action",0,M284-40000))+ROW()/100000)</f>
        <v/>
      </c>
      <c r="AA284" s="32" t="str">
        <f aca="false">IF(A284="","",_xlfn.TEXTJOIN(", ",TRUE(),IF(AND(X284="Yes",D284=""),"No owner",IF(AND(D284&lt;&gt;"",COUNTIFS(R_TeamName,D284,R_TeamActive,"No")&gt;0),"Needs new owner","")),IF(AND(OR(C284="Proposal sent",C284="Negotiation"),H284="",I284="",K284=""),"Add package or proposed value",""),IF(AND(C284="Won",OR(P284="",V284="")),"Won needs renewal date and closed on",""),IF(AND(C284="Won",G284="Cash",J284=""),"Add agreed value",""),IF(AND(C284="Lost",OR(S284="",V284="")),"Lost needs reason and closed on",""),IF(AND(C284="Nurture",OR(T284="",U284="")),"Nurture needs reason and date","")))</f>
        <v/>
      </c>
      <c r="AB284" s="34" t="str">
        <f aca="false">IF(AND(C284="Won",V284&lt;&gt;"",V284&gt;=S_SemStart,V284&lt;=S_SemEnd),V284+ROW()/100000,"")</f>
        <v/>
      </c>
      <c r="AC284" s="34" t="str">
        <f aca="false">IF(AND(C284="Lost",V284&lt;&gt;"",V284&gt;=S_SemStart,V284&lt;=S_SemEnd),V284+ROW()/100000,"")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9"/>
      <c r="J285" s="29"/>
      <c r="K285" s="27"/>
      <c r="L285" s="27"/>
      <c r="M285" s="28"/>
      <c r="N285" s="28"/>
      <c r="O285" s="28"/>
      <c r="P285" s="28"/>
      <c r="Q285" s="27"/>
      <c r="R285" s="27"/>
      <c r="S285" s="27"/>
      <c r="T285" s="27"/>
      <c r="U285" s="28"/>
      <c r="V285" s="28"/>
      <c r="W285" s="27"/>
      <c r="X285" s="32" t="str">
        <f aca="false">IF(A285="","",IF(OR(C285="Planned",C285="Contacted",C285="Meeting",C285="Proposal sent",C285="Negotiation"),"Yes","No"))</f>
        <v/>
      </c>
      <c r="Y285" s="32" t="str">
        <f aca="false">IF(A285="","",IF(AND(C285="Won",P285&lt;&gt;"",P285&lt;=S_Today+S_RenewalDays,COUNTIFS($A$3:$A$502,A285,$F$3:$F$502,"Yes",$X$3:$X$502,"Yes")=0),"Renewal due",IF(X285&lt;&gt;"Yes","",IF(OR(L285="",M285=""),"Missing next action",IF(M285&lt;S_Today,"Overdue",IF(AND(C285="Contacted",_xlfn.MAXIFS(Interactions!$A$3:$A$502,Interactions!$B$3:$B$502,A285,Interactions!$F$3:$F$502,"Sent by us")&gt;0,_xlfn.MAXIFS(Interactions!$A$3:$A$502,Interactions!$B$3:$B$502,A285,Interactions!$F$3:$F$502,"Sent by us")&lt;=S_Today-S_NoReplyDays,MAX(_xlfn.MAXIFS(Interactions!$A$3:$A$502,Interactions!$B$3:$B$502,A285,Interactions!$F$3:$F$502,"Received from them"),_xlfn.MAXIFS(Interactions!$A$3:$A$502,Interactions!$B$3:$B$502,A285,Interactions!$F$3:$F$502,"Two-way"))&lt;_xlfn.MAXIFS(Interactions!$A$3:$A$502,Interactions!$B$3:$B$502,A285,Interactions!$F$3:$F$502,"Sent by us")),"No reply",IF(M285&lt;=S_Today+7,"Due this week","")))))))</f>
        <v/>
      </c>
      <c r="Z285" s="34" t="str">
        <f aca="false">IF(OR(A285="",Y285=""),"",IF(Y285="Renewal due",100000,IF(Y285="Overdue",200000,IF(Y285="No reply",300000,IF(Y285="Due this week",400000,500000))))+IF(Y285="Renewal due",P285-40000,IF(Y285="Missing next action",0,M285-40000))+ROW()/100000)</f>
        <v/>
      </c>
      <c r="AA285" s="32" t="str">
        <f aca="false">IF(A285="","",_xlfn.TEXTJOIN(", ",TRUE(),IF(AND(X285="Yes",D285=""),"No owner",IF(AND(D285&lt;&gt;"",COUNTIFS(R_TeamName,D285,R_TeamActive,"No")&gt;0),"Needs new owner","")),IF(AND(OR(C285="Proposal sent",C285="Negotiation"),H285="",I285="",K285=""),"Add package or proposed value",""),IF(AND(C285="Won",OR(P285="",V285="")),"Won needs renewal date and closed on",""),IF(AND(C285="Won",G285="Cash",J285=""),"Add agreed value",""),IF(AND(C285="Lost",OR(S285="",V285="")),"Lost needs reason and closed on",""),IF(AND(C285="Nurture",OR(T285="",U285="")),"Nurture needs reason and date","")))</f>
        <v/>
      </c>
      <c r="AB285" s="34" t="str">
        <f aca="false">IF(AND(C285="Won",V285&lt;&gt;"",V285&gt;=S_SemStart,V285&lt;=S_SemEnd),V285+ROW()/100000,"")</f>
        <v/>
      </c>
      <c r="AC285" s="34" t="str">
        <f aca="false">IF(AND(C285="Lost",V285&lt;&gt;"",V285&gt;=S_SemStart,V285&lt;=S_SemEnd),V285+ROW()/100000,"")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9"/>
      <c r="J286" s="29"/>
      <c r="K286" s="27"/>
      <c r="L286" s="27"/>
      <c r="M286" s="28"/>
      <c r="N286" s="28"/>
      <c r="O286" s="28"/>
      <c r="P286" s="28"/>
      <c r="Q286" s="27"/>
      <c r="R286" s="27"/>
      <c r="S286" s="27"/>
      <c r="T286" s="27"/>
      <c r="U286" s="28"/>
      <c r="V286" s="28"/>
      <c r="W286" s="27"/>
      <c r="X286" s="32" t="str">
        <f aca="false">IF(A286="","",IF(OR(C286="Planned",C286="Contacted",C286="Meeting",C286="Proposal sent",C286="Negotiation"),"Yes","No"))</f>
        <v/>
      </c>
      <c r="Y286" s="32" t="str">
        <f aca="false">IF(A286="","",IF(AND(C286="Won",P286&lt;&gt;"",P286&lt;=S_Today+S_RenewalDays,COUNTIFS($A$3:$A$502,A286,$F$3:$F$502,"Yes",$X$3:$X$502,"Yes")=0),"Renewal due",IF(X286&lt;&gt;"Yes","",IF(OR(L286="",M286=""),"Missing next action",IF(M286&lt;S_Today,"Overdue",IF(AND(C286="Contacted",_xlfn.MAXIFS(Interactions!$A$3:$A$502,Interactions!$B$3:$B$502,A286,Interactions!$F$3:$F$502,"Sent by us")&gt;0,_xlfn.MAXIFS(Interactions!$A$3:$A$502,Interactions!$B$3:$B$502,A286,Interactions!$F$3:$F$502,"Sent by us")&lt;=S_Today-S_NoReplyDays,MAX(_xlfn.MAXIFS(Interactions!$A$3:$A$502,Interactions!$B$3:$B$502,A286,Interactions!$F$3:$F$502,"Received from them"),_xlfn.MAXIFS(Interactions!$A$3:$A$502,Interactions!$B$3:$B$502,A286,Interactions!$F$3:$F$502,"Two-way"))&lt;_xlfn.MAXIFS(Interactions!$A$3:$A$502,Interactions!$B$3:$B$502,A286,Interactions!$F$3:$F$502,"Sent by us")),"No reply",IF(M286&lt;=S_Today+7,"Due this week","")))))))</f>
        <v/>
      </c>
      <c r="Z286" s="34" t="str">
        <f aca="false">IF(OR(A286="",Y286=""),"",IF(Y286="Renewal due",100000,IF(Y286="Overdue",200000,IF(Y286="No reply",300000,IF(Y286="Due this week",400000,500000))))+IF(Y286="Renewal due",P286-40000,IF(Y286="Missing next action",0,M286-40000))+ROW()/100000)</f>
        <v/>
      </c>
      <c r="AA286" s="32" t="str">
        <f aca="false">IF(A286="","",_xlfn.TEXTJOIN(", ",TRUE(),IF(AND(X286="Yes",D286=""),"No owner",IF(AND(D286&lt;&gt;"",COUNTIFS(R_TeamName,D286,R_TeamActive,"No")&gt;0),"Needs new owner","")),IF(AND(OR(C286="Proposal sent",C286="Negotiation"),H286="",I286="",K286=""),"Add package or proposed value",""),IF(AND(C286="Won",OR(P286="",V286="")),"Won needs renewal date and closed on",""),IF(AND(C286="Won",G286="Cash",J286=""),"Add agreed value",""),IF(AND(C286="Lost",OR(S286="",V286="")),"Lost needs reason and closed on",""),IF(AND(C286="Nurture",OR(T286="",U286="")),"Nurture needs reason and date","")))</f>
        <v/>
      </c>
      <c r="AB286" s="34" t="str">
        <f aca="false">IF(AND(C286="Won",V286&lt;&gt;"",V286&gt;=S_SemStart,V286&lt;=S_SemEnd),V286+ROW()/100000,"")</f>
        <v/>
      </c>
      <c r="AC286" s="34" t="str">
        <f aca="false">IF(AND(C286="Lost",V286&lt;&gt;"",V286&gt;=S_SemStart,V286&lt;=S_SemEnd),V286+ROW()/100000,"")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9"/>
      <c r="J287" s="29"/>
      <c r="K287" s="27"/>
      <c r="L287" s="27"/>
      <c r="M287" s="28"/>
      <c r="N287" s="28"/>
      <c r="O287" s="28"/>
      <c r="P287" s="28"/>
      <c r="Q287" s="27"/>
      <c r="R287" s="27"/>
      <c r="S287" s="27"/>
      <c r="T287" s="27"/>
      <c r="U287" s="28"/>
      <c r="V287" s="28"/>
      <c r="W287" s="27"/>
      <c r="X287" s="32" t="str">
        <f aca="false">IF(A287="","",IF(OR(C287="Planned",C287="Contacted",C287="Meeting",C287="Proposal sent",C287="Negotiation"),"Yes","No"))</f>
        <v/>
      </c>
      <c r="Y287" s="32" t="str">
        <f aca="false">IF(A287="","",IF(AND(C287="Won",P287&lt;&gt;"",P287&lt;=S_Today+S_RenewalDays,COUNTIFS($A$3:$A$502,A287,$F$3:$F$502,"Yes",$X$3:$X$502,"Yes")=0),"Renewal due",IF(X287&lt;&gt;"Yes","",IF(OR(L287="",M287=""),"Missing next action",IF(M287&lt;S_Today,"Overdue",IF(AND(C287="Contacted",_xlfn.MAXIFS(Interactions!$A$3:$A$502,Interactions!$B$3:$B$502,A287,Interactions!$F$3:$F$502,"Sent by us")&gt;0,_xlfn.MAXIFS(Interactions!$A$3:$A$502,Interactions!$B$3:$B$502,A287,Interactions!$F$3:$F$502,"Sent by us")&lt;=S_Today-S_NoReplyDays,MAX(_xlfn.MAXIFS(Interactions!$A$3:$A$502,Interactions!$B$3:$B$502,A287,Interactions!$F$3:$F$502,"Received from them"),_xlfn.MAXIFS(Interactions!$A$3:$A$502,Interactions!$B$3:$B$502,A287,Interactions!$F$3:$F$502,"Two-way"))&lt;_xlfn.MAXIFS(Interactions!$A$3:$A$502,Interactions!$B$3:$B$502,A287,Interactions!$F$3:$F$502,"Sent by us")),"No reply",IF(M287&lt;=S_Today+7,"Due this week","")))))))</f>
        <v/>
      </c>
      <c r="Z287" s="34" t="str">
        <f aca="false">IF(OR(A287="",Y287=""),"",IF(Y287="Renewal due",100000,IF(Y287="Overdue",200000,IF(Y287="No reply",300000,IF(Y287="Due this week",400000,500000))))+IF(Y287="Renewal due",P287-40000,IF(Y287="Missing next action",0,M287-40000))+ROW()/100000)</f>
        <v/>
      </c>
      <c r="AA287" s="32" t="str">
        <f aca="false">IF(A287="","",_xlfn.TEXTJOIN(", ",TRUE(),IF(AND(X287="Yes",D287=""),"No owner",IF(AND(D287&lt;&gt;"",COUNTIFS(R_TeamName,D287,R_TeamActive,"No")&gt;0),"Needs new owner","")),IF(AND(OR(C287="Proposal sent",C287="Negotiation"),H287="",I287="",K287=""),"Add package or proposed value",""),IF(AND(C287="Won",OR(P287="",V287="")),"Won needs renewal date and closed on",""),IF(AND(C287="Won",G287="Cash",J287=""),"Add agreed value",""),IF(AND(C287="Lost",OR(S287="",V287="")),"Lost needs reason and closed on",""),IF(AND(C287="Nurture",OR(T287="",U287="")),"Nurture needs reason and date","")))</f>
        <v/>
      </c>
      <c r="AB287" s="34" t="str">
        <f aca="false">IF(AND(C287="Won",V287&lt;&gt;"",V287&gt;=S_SemStart,V287&lt;=S_SemEnd),V287+ROW()/100000,"")</f>
        <v/>
      </c>
      <c r="AC287" s="34" t="str">
        <f aca="false">IF(AND(C287="Lost",V287&lt;&gt;"",V287&gt;=S_SemStart,V287&lt;=S_SemEnd),V287+ROW()/100000,"")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9"/>
      <c r="J288" s="29"/>
      <c r="K288" s="27"/>
      <c r="L288" s="27"/>
      <c r="M288" s="28"/>
      <c r="N288" s="28"/>
      <c r="O288" s="28"/>
      <c r="P288" s="28"/>
      <c r="Q288" s="27"/>
      <c r="R288" s="27"/>
      <c r="S288" s="27"/>
      <c r="T288" s="27"/>
      <c r="U288" s="28"/>
      <c r="V288" s="28"/>
      <c r="W288" s="27"/>
      <c r="X288" s="32" t="str">
        <f aca="false">IF(A288="","",IF(OR(C288="Planned",C288="Contacted",C288="Meeting",C288="Proposal sent",C288="Negotiation"),"Yes","No"))</f>
        <v/>
      </c>
      <c r="Y288" s="32" t="str">
        <f aca="false">IF(A288="","",IF(AND(C288="Won",P288&lt;&gt;"",P288&lt;=S_Today+S_RenewalDays,COUNTIFS($A$3:$A$502,A288,$F$3:$F$502,"Yes",$X$3:$X$502,"Yes")=0),"Renewal due",IF(X288&lt;&gt;"Yes","",IF(OR(L288="",M288=""),"Missing next action",IF(M288&lt;S_Today,"Overdue",IF(AND(C288="Contacted",_xlfn.MAXIFS(Interactions!$A$3:$A$502,Interactions!$B$3:$B$502,A288,Interactions!$F$3:$F$502,"Sent by us")&gt;0,_xlfn.MAXIFS(Interactions!$A$3:$A$502,Interactions!$B$3:$B$502,A288,Interactions!$F$3:$F$502,"Sent by us")&lt;=S_Today-S_NoReplyDays,MAX(_xlfn.MAXIFS(Interactions!$A$3:$A$502,Interactions!$B$3:$B$502,A288,Interactions!$F$3:$F$502,"Received from them"),_xlfn.MAXIFS(Interactions!$A$3:$A$502,Interactions!$B$3:$B$502,A288,Interactions!$F$3:$F$502,"Two-way"))&lt;_xlfn.MAXIFS(Interactions!$A$3:$A$502,Interactions!$B$3:$B$502,A288,Interactions!$F$3:$F$502,"Sent by us")),"No reply",IF(M288&lt;=S_Today+7,"Due this week","")))))))</f>
        <v/>
      </c>
      <c r="Z288" s="34" t="str">
        <f aca="false">IF(OR(A288="",Y288=""),"",IF(Y288="Renewal due",100000,IF(Y288="Overdue",200000,IF(Y288="No reply",300000,IF(Y288="Due this week",400000,500000))))+IF(Y288="Renewal due",P288-40000,IF(Y288="Missing next action",0,M288-40000))+ROW()/100000)</f>
        <v/>
      </c>
      <c r="AA288" s="32" t="str">
        <f aca="false">IF(A288="","",_xlfn.TEXTJOIN(", ",TRUE(),IF(AND(X288="Yes",D288=""),"No owner",IF(AND(D288&lt;&gt;"",COUNTIFS(R_TeamName,D288,R_TeamActive,"No")&gt;0),"Needs new owner","")),IF(AND(OR(C288="Proposal sent",C288="Negotiation"),H288="",I288="",K288=""),"Add package or proposed value",""),IF(AND(C288="Won",OR(P288="",V288="")),"Won needs renewal date and closed on",""),IF(AND(C288="Won",G288="Cash",J288=""),"Add agreed value",""),IF(AND(C288="Lost",OR(S288="",V288="")),"Lost needs reason and closed on",""),IF(AND(C288="Nurture",OR(T288="",U288="")),"Nurture needs reason and date","")))</f>
        <v/>
      </c>
      <c r="AB288" s="34" t="str">
        <f aca="false">IF(AND(C288="Won",V288&lt;&gt;"",V288&gt;=S_SemStart,V288&lt;=S_SemEnd),V288+ROW()/100000,"")</f>
        <v/>
      </c>
      <c r="AC288" s="34" t="str">
        <f aca="false">IF(AND(C288="Lost",V288&lt;&gt;"",V288&gt;=S_SemStart,V288&lt;=S_SemEnd),V288+ROW()/100000,"")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9"/>
      <c r="J289" s="29"/>
      <c r="K289" s="27"/>
      <c r="L289" s="27"/>
      <c r="M289" s="28"/>
      <c r="N289" s="28"/>
      <c r="O289" s="28"/>
      <c r="P289" s="28"/>
      <c r="Q289" s="27"/>
      <c r="R289" s="27"/>
      <c r="S289" s="27"/>
      <c r="T289" s="27"/>
      <c r="U289" s="28"/>
      <c r="V289" s="28"/>
      <c r="W289" s="27"/>
      <c r="X289" s="32" t="str">
        <f aca="false">IF(A289="","",IF(OR(C289="Planned",C289="Contacted",C289="Meeting",C289="Proposal sent",C289="Negotiation"),"Yes","No"))</f>
        <v/>
      </c>
      <c r="Y289" s="32" t="str">
        <f aca="false">IF(A289="","",IF(AND(C289="Won",P289&lt;&gt;"",P289&lt;=S_Today+S_RenewalDays,COUNTIFS($A$3:$A$502,A289,$F$3:$F$502,"Yes",$X$3:$X$502,"Yes")=0),"Renewal due",IF(X289&lt;&gt;"Yes","",IF(OR(L289="",M289=""),"Missing next action",IF(M289&lt;S_Today,"Overdue",IF(AND(C289="Contacted",_xlfn.MAXIFS(Interactions!$A$3:$A$502,Interactions!$B$3:$B$502,A289,Interactions!$F$3:$F$502,"Sent by us")&gt;0,_xlfn.MAXIFS(Interactions!$A$3:$A$502,Interactions!$B$3:$B$502,A289,Interactions!$F$3:$F$502,"Sent by us")&lt;=S_Today-S_NoReplyDays,MAX(_xlfn.MAXIFS(Interactions!$A$3:$A$502,Interactions!$B$3:$B$502,A289,Interactions!$F$3:$F$502,"Received from them"),_xlfn.MAXIFS(Interactions!$A$3:$A$502,Interactions!$B$3:$B$502,A289,Interactions!$F$3:$F$502,"Two-way"))&lt;_xlfn.MAXIFS(Interactions!$A$3:$A$502,Interactions!$B$3:$B$502,A289,Interactions!$F$3:$F$502,"Sent by us")),"No reply",IF(M289&lt;=S_Today+7,"Due this week","")))))))</f>
        <v/>
      </c>
      <c r="Z289" s="34" t="str">
        <f aca="false">IF(OR(A289="",Y289=""),"",IF(Y289="Renewal due",100000,IF(Y289="Overdue",200000,IF(Y289="No reply",300000,IF(Y289="Due this week",400000,500000))))+IF(Y289="Renewal due",P289-40000,IF(Y289="Missing next action",0,M289-40000))+ROW()/100000)</f>
        <v/>
      </c>
      <c r="AA289" s="32" t="str">
        <f aca="false">IF(A289="","",_xlfn.TEXTJOIN(", ",TRUE(),IF(AND(X289="Yes",D289=""),"No owner",IF(AND(D289&lt;&gt;"",COUNTIFS(R_TeamName,D289,R_TeamActive,"No")&gt;0),"Needs new owner","")),IF(AND(OR(C289="Proposal sent",C289="Negotiation"),H289="",I289="",K289=""),"Add package or proposed value",""),IF(AND(C289="Won",OR(P289="",V289="")),"Won needs renewal date and closed on",""),IF(AND(C289="Won",G289="Cash",J289=""),"Add agreed value",""),IF(AND(C289="Lost",OR(S289="",V289="")),"Lost needs reason and closed on",""),IF(AND(C289="Nurture",OR(T289="",U289="")),"Nurture needs reason and date","")))</f>
        <v/>
      </c>
      <c r="AB289" s="34" t="str">
        <f aca="false">IF(AND(C289="Won",V289&lt;&gt;"",V289&gt;=S_SemStart,V289&lt;=S_SemEnd),V289+ROW()/100000,"")</f>
        <v/>
      </c>
      <c r="AC289" s="34" t="str">
        <f aca="false">IF(AND(C289="Lost",V289&lt;&gt;"",V289&gt;=S_SemStart,V289&lt;=S_SemEnd),V289+ROW()/100000,"")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9"/>
      <c r="J290" s="29"/>
      <c r="K290" s="27"/>
      <c r="L290" s="27"/>
      <c r="M290" s="28"/>
      <c r="N290" s="28"/>
      <c r="O290" s="28"/>
      <c r="P290" s="28"/>
      <c r="Q290" s="27"/>
      <c r="R290" s="27"/>
      <c r="S290" s="27"/>
      <c r="T290" s="27"/>
      <c r="U290" s="28"/>
      <c r="V290" s="28"/>
      <c r="W290" s="27"/>
      <c r="X290" s="32" t="str">
        <f aca="false">IF(A290="","",IF(OR(C290="Planned",C290="Contacted",C290="Meeting",C290="Proposal sent",C290="Negotiation"),"Yes","No"))</f>
        <v/>
      </c>
      <c r="Y290" s="32" t="str">
        <f aca="false">IF(A290="","",IF(AND(C290="Won",P290&lt;&gt;"",P290&lt;=S_Today+S_RenewalDays,COUNTIFS($A$3:$A$502,A290,$F$3:$F$502,"Yes",$X$3:$X$502,"Yes")=0),"Renewal due",IF(X290&lt;&gt;"Yes","",IF(OR(L290="",M290=""),"Missing next action",IF(M290&lt;S_Today,"Overdue",IF(AND(C290="Contacted",_xlfn.MAXIFS(Interactions!$A$3:$A$502,Interactions!$B$3:$B$502,A290,Interactions!$F$3:$F$502,"Sent by us")&gt;0,_xlfn.MAXIFS(Interactions!$A$3:$A$502,Interactions!$B$3:$B$502,A290,Interactions!$F$3:$F$502,"Sent by us")&lt;=S_Today-S_NoReplyDays,MAX(_xlfn.MAXIFS(Interactions!$A$3:$A$502,Interactions!$B$3:$B$502,A290,Interactions!$F$3:$F$502,"Received from them"),_xlfn.MAXIFS(Interactions!$A$3:$A$502,Interactions!$B$3:$B$502,A290,Interactions!$F$3:$F$502,"Two-way"))&lt;_xlfn.MAXIFS(Interactions!$A$3:$A$502,Interactions!$B$3:$B$502,A290,Interactions!$F$3:$F$502,"Sent by us")),"No reply",IF(M290&lt;=S_Today+7,"Due this week","")))))))</f>
        <v/>
      </c>
      <c r="Z290" s="34" t="str">
        <f aca="false">IF(OR(A290="",Y290=""),"",IF(Y290="Renewal due",100000,IF(Y290="Overdue",200000,IF(Y290="No reply",300000,IF(Y290="Due this week",400000,500000))))+IF(Y290="Renewal due",P290-40000,IF(Y290="Missing next action",0,M290-40000))+ROW()/100000)</f>
        <v/>
      </c>
      <c r="AA290" s="32" t="str">
        <f aca="false">IF(A290="","",_xlfn.TEXTJOIN(", ",TRUE(),IF(AND(X290="Yes",D290=""),"No owner",IF(AND(D290&lt;&gt;"",COUNTIFS(R_TeamName,D290,R_TeamActive,"No")&gt;0),"Needs new owner","")),IF(AND(OR(C290="Proposal sent",C290="Negotiation"),H290="",I290="",K290=""),"Add package or proposed value",""),IF(AND(C290="Won",OR(P290="",V290="")),"Won needs renewal date and closed on",""),IF(AND(C290="Won",G290="Cash",J290=""),"Add agreed value",""),IF(AND(C290="Lost",OR(S290="",V290="")),"Lost needs reason and closed on",""),IF(AND(C290="Nurture",OR(T290="",U290="")),"Nurture needs reason and date","")))</f>
        <v/>
      </c>
      <c r="AB290" s="34" t="str">
        <f aca="false">IF(AND(C290="Won",V290&lt;&gt;"",V290&gt;=S_SemStart,V290&lt;=S_SemEnd),V290+ROW()/100000,"")</f>
        <v/>
      </c>
      <c r="AC290" s="34" t="str">
        <f aca="false">IF(AND(C290="Lost",V290&lt;&gt;"",V290&gt;=S_SemStart,V290&lt;=S_SemEnd),V290+ROW()/100000,"")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9"/>
      <c r="J291" s="29"/>
      <c r="K291" s="27"/>
      <c r="L291" s="27"/>
      <c r="M291" s="28"/>
      <c r="N291" s="28"/>
      <c r="O291" s="28"/>
      <c r="P291" s="28"/>
      <c r="Q291" s="27"/>
      <c r="R291" s="27"/>
      <c r="S291" s="27"/>
      <c r="T291" s="27"/>
      <c r="U291" s="28"/>
      <c r="V291" s="28"/>
      <c r="W291" s="27"/>
      <c r="X291" s="32" t="str">
        <f aca="false">IF(A291="","",IF(OR(C291="Planned",C291="Contacted",C291="Meeting",C291="Proposal sent",C291="Negotiation"),"Yes","No"))</f>
        <v/>
      </c>
      <c r="Y291" s="32" t="str">
        <f aca="false">IF(A291="","",IF(AND(C291="Won",P291&lt;&gt;"",P291&lt;=S_Today+S_RenewalDays,COUNTIFS($A$3:$A$502,A291,$F$3:$F$502,"Yes",$X$3:$X$502,"Yes")=0),"Renewal due",IF(X291&lt;&gt;"Yes","",IF(OR(L291="",M291=""),"Missing next action",IF(M291&lt;S_Today,"Overdue",IF(AND(C291="Contacted",_xlfn.MAXIFS(Interactions!$A$3:$A$502,Interactions!$B$3:$B$502,A291,Interactions!$F$3:$F$502,"Sent by us")&gt;0,_xlfn.MAXIFS(Interactions!$A$3:$A$502,Interactions!$B$3:$B$502,A291,Interactions!$F$3:$F$502,"Sent by us")&lt;=S_Today-S_NoReplyDays,MAX(_xlfn.MAXIFS(Interactions!$A$3:$A$502,Interactions!$B$3:$B$502,A291,Interactions!$F$3:$F$502,"Received from them"),_xlfn.MAXIFS(Interactions!$A$3:$A$502,Interactions!$B$3:$B$502,A291,Interactions!$F$3:$F$502,"Two-way"))&lt;_xlfn.MAXIFS(Interactions!$A$3:$A$502,Interactions!$B$3:$B$502,A291,Interactions!$F$3:$F$502,"Sent by us")),"No reply",IF(M291&lt;=S_Today+7,"Due this week","")))))))</f>
        <v/>
      </c>
      <c r="Z291" s="34" t="str">
        <f aca="false">IF(OR(A291="",Y291=""),"",IF(Y291="Renewal due",100000,IF(Y291="Overdue",200000,IF(Y291="No reply",300000,IF(Y291="Due this week",400000,500000))))+IF(Y291="Renewal due",P291-40000,IF(Y291="Missing next action",0,M291-40000))+ROW()/100000)</f>
        <v/>
      </c>
      <c r="AA291" s="32" t="str">
        <f aca="false">IF(A291="","",_xlfn.TEXTJOIN(", ",TRUE(),IF(AND(X291="Yes",D291=""),"No owner",IF(AND(D291&lt;&gt;"",COUNTIFS(R_TeamName,D291,R_TeamActive,"No")&gt;0),"Needs new owner","")),IF(AND(OR(C291="Proposal sent",C291="Negotiation"),H291="",I291="",K291=""),"Add package or proposed value",""),IF(AND(C291="Won",OR(P291="",V291="")),"Won needs renewal date and closed on",""),IF(AND(C291="Won",G291="Cash",J291=""),"Add agreed value",""),IF(AND(C291="Lost",OR(S291="",V291="")),"Lost needs reason and closed on",""),IF(AND(C291="Nurture",OR(T291="",U291="")),"Nurture needs reason and date","")))</f>
        <v/>
      </c>
      <c r="AB291" s="34" t="str">
        <f aca="false">IF(AND(C291="Won",V291&lt;&gt;"",V291&gt;=S_SemStart,V291&lt;=S_SemEnd),V291+ROW()/100000,"")</f>
        <v/>
      </c>
      <c r="AC291" s="34" t="str">
        <f aca="false">IF(AND(C291="Lost",V291&lt;&gt;"",V291&gt;=S_SemStart,V291&lt;=S_SemEnd),V291+ROW()/100000,"")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9"/>
      <c r="J292" s="29"/>
      <c r="K292" s="27"/>
      <c r="L292" s="27"/>
      <c r="M292" s="28"/>
      <c r="N292" s="28"/>
      <c r="O292" s="28"/>
      <c r="P292" s="28"/>
      <c r="Q292" s="27"/>
      <c r="R292" s="27"/>
      <c r="S292" s="27"/>
      <c r="T292" s="27"/>
      <c r="U292" s="28"/>
      <c r="V292" s="28"/>
      <c r="W292" s="27"/>
      <c r="X292" s="32" t="str">
        <f aca="false">IF(A292="","",IF(OR(C292="Planned",C292="Contacted",C292="Meeting",C292="Proposal sent",C292="Negotiation"),"Yes","No"))</f>
        <v/>
      </c>
      <c r="Y292" s="32" t="str">
        <f aca="false">IF(A292="","",IF(AND(C292="Won",P292&lt;&gt;"",P292&lt;=S_Today+S_RenewalDays,COUNTIFS($A$3:$A$502,A292,$F$3:$F$502,"Yes",$X$3:$X$502,"Yes")=0),"Renewal due",IF(X292&lt;&gt;"Yes","",IF(OR(L292="",M292=""),"Missing next action",IF(M292&lt;S_Today,"Overdue",IF(AND(C292="Contacted",_xlfn.MAXIFS(Interactions!$A$3:$A$502,Interactions!$B$3:$B$502,A292,Interactions!$F$3:$F$502,"Sent by us")&gt;0,_xlfn.MAXIFS(Interactions!$A$3:$A$502,Interactions!$B$3:$B$502,A292,Interactions!$F$3:$F$502,"Sent by us")&lt;=S_Today-S_NoReplyDays,MAX(_xlfn.MAXIFS(Interactions!$A$3:$A$502,Interactions!$B$3:$B$502,A292,Interactions!$F$3:$F$502,"Received from them"),_xlfn.MAXIFS(Interactions!$A$3:$A$502,Interactions!$B$3:$B$502,A292,Interactions!$F$3:$F$502,"Two-way"))&lt;_xlfn.MAXIFS(Interactions!$A$3:$A$502,Interactions!$B$3:$B$502,A292,Interactions!$F$3:$F$502,"Sent by us")),"No reply",IF(M292&lt;=S_Today+7,"Due this week","")))))))</f>
        <v/>
      </c>
      <c r="Z292" s="34" t="str">
        <f aca="false">IF(OR(A292="",Y292=""),"",IF(Y292="Renewal due",100000,IF(Y292="Overdue",200000,IF(Y292="No reply",300000,IF(Y292="Due this week",400000,500000))))+IF(Y292="Renewal due",P292-40000,IF(Y292="Missing next action",0,M292-40000))+ROW()/100000)</f>
        <v/>
      </c>
      <c r="AA292" s="32" t="str">
        <f aca="false">IF(A292="","",_xlfn.TEXTJOIN(", ",TRUE(),IF(AND(X292="Yes",D292=""),"No owner",IF(AND(D292&lt;&gt;"",COUNTIFS(R_TeamName,D292,R_TeamActive,"No")&gt;0),"Needs new owner","")),IF(AND(OR(C292="Proposal sent",C292="Negotiation"),H292="",I292="",K292=""),"Add package or proposed value",""),IF(AND(C292="Won",OR(P292="",V292="")),"Won needs renewal date and closed on",""),IF(AND(C292="Won",G292="Cash",J292=""),"Add agreed value",""),IF(AND(C292="Lost",OR(S292="",V292="")),"Lost needs reason and closed on",""),IF(AND(C292="Nurture",OR(T292="",U292="")),"Nurture needs reason and date","")))</f>
        <v/>
      </c>
      <c r="AB292" s="34" t="str">
        <f aca="false">IF(AND(C292="Won",V292&lt;&gt;"",V292&gt;=S_SemStart,V292&lt;=S_SemEnd),V292+ROW()/100000,"")</f>
        <v/>
      </c>
      <c r="AC292" s="34" t="str">
        <f aca="false">IF(AND(C292="Lost",V292&lt;&gt;"",V292&gt;=S_SemStart,V292&lt;=S_SemEnd),V292+ROW()/100000,"")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9"/>
      <c r="J293" s="29"/>
      <c r="K293" s="27"/>
      <c r="L293" s="27"/>
      <c r="M293" s="28"/>
      <c r="N293" s="28"/>
      <c r="O293" s="28"/>
      <c r="P293" s="28"/>
      <c r="Q293" s="27"/>
      <c r="R293" s="27"/>
      <c r="S293" s="27"/>
      <c r="T293" s="27"/>
      <c r="U293" s="28"/>
      <c r="V293" s="28"/>
      <c r="W293" s="27"/>
      <c r="X293" s="32" t="str">
        <f aca="false">IF(A293="","",IF(OR(C293="Planned",C293="Contacted",C293="Meeting",C293="Proposal sent",C293="Negotiation"),"Yes","No"))</f>
        <v/>
      </c>
      <c r="Y293" s="32" t="str">
        <f aca="false">IF(A293="","",IF(AND(C293="Won",P293&lt;&gt;"",P293&lt;=S_Today+S_RenewalDays,COUNTIFS($A$3:$A$502,A293,$F$3:$F$502,"Yes",$X$3:$X$502,"Yes")=0),"Renewal due",IF(X293&lt;&gt;"Yes","",IF(OR(L293="",M293=""),"Missing next action",IF(M293&lt;S_Today,"Overdue",IF(AND(C293="Contacted",_xlfn.MAXIFS(Interactions!$A$3:$A$502,Interactions!$B$3:$B$502,A293,Interactions!$F$3:$F$502,"Sent by us")&gt;0,_xlfn.MAXIFS(Interactions!$A$3:$A$502,Interactions!$B$3:$B$502,A293,Interactions!$F$3:$F$502,"Sent by us")&lt;=S_Today-S_NoReplyDays,MAX(_xlfn.MAXIFS(Interactions!$A$3:$A$502,Interactions!$B$3:$B$502,A293,Interactions!$F$3:$F$502,"Received from them"),_xlfn.MAXIFS(Interactions!$A$3:$A$502,Interactions!$B$3:$B$502,A293,Interactions!$F$3:$F$502,"Two-way"))&lt;_xlfn.MAXIFS(Interactions!$A$3:$A$502,Interactions!$B$3:$B$502,A293,Interactions!$F$3:$F$502,"Sent by us")),"No reply",IF(M293&lt;=S_Today+7,"Due this week","")))))))</f>
        <v/>
      </c>
      <c r="Z293" s="34" t="str">
        <f aca="false">IF(OR(A293="",Y293=""),"",IF(Y293="Renewal due",100000,IF(Y293="Overdue",200000,IF(Y293="No reply",300000,IF(Y293="Due this week",400000,500000))))+IF(Y293="Renewal due",P293-40000,IF(Y293="Missing next action",0,M293-40000))+ROW()/100000)</f>
        <v/>
      </c>
      <c r="AA293" s="32" t="str">
        <f aca="false">IF(A293="","",_xlfn.TEXTJOIN(", ",TRUE(),IF(AND(X293="Yes",D293=""),"No owner",IF(AND(D293&lt;&gt;"",COUNTIFS(R_TeamName,D293,R_TeamActive,"No")&gt;0),"Needs new owner","")),IF(AND(OR(C293="Proposal sent",C293="Negotiation"),H293="",I293="",K293=""),"Add package or proposed value",""),IF(AND(C293="Won",OR(P293="",V293="")),"Won needs renewal date and closed on",""),IF(AND(C293="Won",G293="Cash",J293=""),"Add agreed value",""),IF(AND(C293="Lost",OR(S293="",V293="")),"Lost needs reason and closed on",""),IF(AND(C293="Nurture",OR(T293="",U293="")),"Nurture needs reason and date","")))</f>
        <v/>
      </c>
      <c r="AB293" s="34" t="str">
        <f aca="false">IF(AND(C293="Won",V293&lt;&gt;"",V293&gt;=S_SemStart,V293&lt;=S_SemEnd),V293+ROW()/100000,"")</f>
        <v/>
      </c>
      <c r="AC293" s="34" t="str">
        <f aca="false">IF(AND(C293="Lost",V293&lt;&gt;"",V293&gt;=S_SemStart,V293&lt;=S_SemEnd),V293+ROW()/100000,"")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9"/>
      <c r="J294" s="29"/>
      <c r="K294" s="27"/>
      <c r="L294" s="27"/>
      <c r="M294" s="28"/>
      <c r="N294" s="28"/>
      <c r="O294" s="28"/>
      <c r="P294" s="28"/>
      <c r="Q294" s="27"/>
      <c r="R294" s="27"/>
      <c r="S294" s="27"/>
      <c r="T294" s="27"/>
      <c r="U294" s="28"/>
      <c r="V294" s="28"/>
      <c r="W294" s="27"/>
      <c r="X294" s="32" t="str">
        <f aca="false">IF(A294="","",IF(OR(C294="Planned",C294="Contacted",C294="Meeting",C294="Proposal sent",C294="Negotiation"),"Yes","No"))</f>
        <v/>
      </c>
      <c r="Y294" s="32" t="str">
        <f aca="false">IF(A294="","",IF(AND(C294="Won",P294&lt;&gt;"",P294&lt;=S_Today+S_RenewalDays,COUNTIFS($A$3:$A$502,A294,$F$3:$F$502,"Yes",$X$3:$X$502,"Yes")=0),"Renewal due",IF(X294&lt;&gt;"Yes","",IF(OR(L294="",M294=""),"Missing next action",IF(M294&lt;S_Today,"Overdue",IF(AND(C294="Contacted",_xlfn.MAXIFS(Interactions!$A$3:$A$502,Interactions!$B$3:$B$502,A294,Interactions!$F$3:$F$502,"Sent by us")&gt;0,_xlfn.MAXIFS(Interactions!$A$3:$A$502,Interactions!$B$3:$B$502,A294,Interactions!$F$3:$F$502,"Sent by us")&lt;=S_Today-S_NoReplyDays,MAX(_xlfn.MAXIFS(Interactions!$A$3:$A$502,Interactions!$B$3:$B$502,A294,Interactions!$F$3:$F$502,"Received from them"),_xlfn.MAXIFS(Interactions!$A$3:$A$502,Interactions!$B$3:$B$502,A294,Interactions!$F$3:$F$502,"Two-way"))&lt;_xlfn.MAXIFS(Interactions!$A$3:$A$502,Interactions!$B$3:$B$502,A294,Interactions!$F$3:$F$502,"Sent by us")),"No reply",IF(M294&lt;=S_Today+7,"Due this week","")))))))</f>
        <v/>
      </c>
      <c r="Z294" s="34" t="str">
        <f aca="false">IF(OR(A294="",Y294=""),"",IF(Y294="Renewal due",100000,IF(Y294="Overdue",200000,IF(Y294="No reply",300000,IF(Y294="Due this week",400000,500000))))+IF(Y294="Renewal due",P294-40000,IF(Y294="Missing next action",0,M294-40000))+ROW()/100000)</f>
        <v/>
      </c>
      <c r="AA294" s="32" t="str">
        <f aca="false">IF(A294="","",_xlfn.TEXTJOIN(", ",TRUE(),IF(AND(X294="Yes",D294=""),"No owner",IF(AND(D294&lt;&gt;"",COUNTIFS(R_TeamName,D294,R_TeamActive,"No")&gt;0),"Needs new owner","")),IF(AND(OR(C294="Proposal sent",C294="Negotiation"),H294="",I294="",K294=""),"Add package or proposed value",""),IF(AND(C294="Won",OR(P294="",V294="")),"Won needs renewal date and closed on",""),IF(AND(C294="Won",G294="Cash",J294=""),"Add agreed value",""),IF(AND(C294="Lost",OR(S294="",V294="")),"Lost needs reason and closed on",""),IF(AND(C294="Nurture",OR(T294="",U294="")),"Nurture needs reason and date","")))</f>
        <v/>
      </c>
      <c r="AB294" s="34" t="str">
        <f aca="false">IF(AND(C294="Won",V294&lt;&gt;"",V294&gt;=S_SemStart,V294&lt;=S_SemEnd),V294+ROW()/100000,"")</f>
        <v/>
      </c>
      <c r="AC294" s="34" t="str">
        <f aca="false">IF(AND(C294="Lost",V294&lt;&gt;"",V294&gt;=S_SemStart,V294&lt;=S_SemEnd),V294+ROW()/100000,"")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9"/>
      <c r="J295" s="29"/>
      <c r="K295" s="27"/>
      <c r="L295" s="27"/>
      <c r="M295" s="28"/>
      <c r="N295" s="28"/>
      <c r="O295" s="28"/>
      <c r="P295" s="28"/>
      <c r="Q295" s="27"/>
      <c r="R295" s="27"/>
      <c r="S295" s="27"/>
      <c r="T295" s="27"/>
      <c r="U295" s="28"/>
      <c r="V295" s="28"/>
      <c r="W295" s="27"/>
      <c r="X295" s="32" t="str">
        <f aca="false">IF(A295="","",IF(OR(C295="Planned",C295="Contacted",C295="Meeting",C295="Proposal sent",C295="Negotiation"),"Yes","No"))</f>
        <v/>
      </c>
      <c r="Y295" s="32" t="str">
        <f aca="false">IF(A295="","",IF(AND(C295="Won",P295&lt;&gt;"",P295&lt;=S_Today+S_RenewalDays,COUNTIFS($A$3:$A$502,A295,$F$3:$F$502,"Yes",$X$3:$X$502,"Yes")=0),"Renewal due",IF(X295&lt;&gt;"Yes","",IF(OR(L295="",M295=""),"Missing next action",IF(M295&lt;S_Today,"Overdue",IF(AND(C295="Contacted",_xlfn.MAXIFS(Interactions!$A$3:$A$502,Interactions!$B$3:$B$502,A295,Interactions!$F$3:$F$502,"Sent by us")&gt;0,_xlfn.MAXIFS(Interactions!$A$3:$A$502,Interactions!$B$3:$B$502,A295,Interactions!$F$3:$F$502,"Sent by us")&lt;=S_Today-S_NoReplyDays,MAX(_xlfn.MAXIFS(Interactions!$A$3:$A$502,Interactions!$B$3:$B$502,A295,Interactions!$F$3:$F$502,"Received from them"),_xlfn.MAXIFS(Interactions!$A$3:$A$502,Interactions!$B$3:$B$502,A295,Interactions!$F$3:$F$502,"Two-way"))&lt;_xlfn.MAXIFS(Interactions!$A$3:$A$502,Interactions!$B$3:$B$502,A295,Interactions!$F$3:$F$502,"Sent by us")),"No reply",IF(M295&lt;=S_Today+7,"Due this week","")))))))</f>
        <v/>
      </c>
      <c r="Z295" s="34" t="str">
        <f aca="false">IF(OR(A295="",Y295=""),"",IF(Y295="Renewal due",100000,IF(Y295="Overdue",200000,IF(Y295="No reply",300000,IF(Y295="Due this week",400000,500000))))+IF(Y295="Renewal due",P295-40000,IF(Y295="Missing next action",0,M295-40000))+ROW()/100000)</f>
        <v/>
      </c>
      <c r="AA295" s="32" t="str">
        <f aca="false">IF(A295="","",_xlfn.TEXTJOIN(", ",TRUE(),IF(AND(X295="Yes",D295=""),"No owner",IF(AND(D295&lt;&gt;"",COUNTIFS(R_TeamName,D295,R_TeamActive,"No")&gt;0),"Needs new owner","")),IF(AND(OR(C295="Proposal sent",C295="Negotiation"),H295="",I295="",K295=""),"Add package or proposed value",""),IF(AND(C295="Won",OR(P295="",V295="")),"Won needs renewal date and closed on",""),IF(AND(C295="Won",G295="Cash",J295=""),"Add agreed value",""),IF(AND(C295="Lost",OR(S295="",V295="")),"Lost needs reason and closed on",""),IF(AND(C295="Nurture",OR(T295="",U295="")),"Nurture needs reason and date","")))</f>
        <v/>
      </c>
      <c r="AB295" s="34" t="str">
        <f aca="false">IF(AND(C295="Won",V295&lt;&gt;"",V295&gt;=S_SemStart,V295&lt;=S_SemEnd),V295+ROW()/100000,"")</f>
        <v/>
      </c>
      <c r="AC295" s="34" t="str">
        <f aca="false">IF(AND(C295="Lost",V295&lt;&gt;"",V295&gt;=S_SemStart,V295&lt;=S_SemEnd),V295+ROW()/100000,"")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9"/>
      <c r="J296" s="29"/>
      <c r="K296" s="27"/>
      <c r="L296" s="27"/>
      <c r="M296" s="28"/>
      <c r="N296" s="28"/>
      <c r="O296" s="28"/>
      <c r="P296" s="28"/>
      <c r="Q296" s="27"/>
      <c r="R296" s="27"/>
      <c r="S296" s="27"/>
      <c r="T296" s="27"/>
      <c r="U296" s="28"/>
      <c r="V296" s="28"/>
      <c r="W296" s="27"/>
      <c r="X296" s="32" t="str">
        <f aca="false">IF(A296="","",IF(OR(C296="Planned",C296="Contacted",C296="Meeting",C296="Proposal sent",C296="Negotiation"),"Yes","No"))</f>
        <v/>
      </c>
      <c r="Y296" s="32" t="str">
        <f aca="false">IF(A296="","",IF(AND(C296="Won",P296&lt;&gt;"",P296&lt;=S_Today+S_RenewalDays,COUNTIFS($A$3:$A$502,A296,$F$3:$F$502,"Yes",$X$3:$X$502,"Yes")=0),"Renewal due",IF(X296&lt;&gt;"Yes","",IF(OR(L296="",M296=""),"Missing next action",IF(M296&lt;S_Today,"Overdue",IF(AND(C296="Contacted",_xlfn.MAXIFS(Interactions!$A$3:$A$502,Interactions!$B$3:$B$502,A296,Interactions!$F$3:$F$502,"Sent by us")&gt;0,_xlfn.MAXIFS(Interactions!$A$3:$A$502,Interactions!$B$3:$B$502,A296,Interactions!$F$3:$F$502,"Sent by us")&lt;=S_Today-S_NoReplyDays,MAX(_xlfn.MAXIFS(Interactions!$A$3:$A$502,Interactions!$B$3:$B$502,A296,Interactions!$F$3:$F$502,"Received from them"),_xlfn.MAXIFS(Interactions!$A$3:$A$502,Interactions!$B$3:$B$502,A296,Interactions!$F$3:$F$502,"Two-way"))&lt;_xlfn.MAXIFS(Interactions!$A$3:$A$502,Interactions!$B$3:$B$502,A296,Interactions!$F$3:$F$502,"Sent by us")),"No reply",IF(M296&lt;=S_Today+7,"Due this week","")))))))</f>
        <v/>
      </c>
      <c r="Z296" s="34" t="str">
        <f aca="false">IF(OR(A296="",Y296=""),"",IF(Y296="Renewal due",100000,IF(Y296="Overdue",200000,IF(Y296="No reply",300000,IF(Y296="Due this week",400000,500000))))+IF(Y296="Renewal due",P296-40000,IF(Y296="Missing next action",0,M296-40000))+ROW()/100000)</f>
        <v/>
      </c>
      <c r="AA296" s="32" t="str">
        <f aca="false">IF(A296="","",_xlfn.TEXTJOIN(", ",TRUE(),IF(AND(X296="Yes",D296=""),"No owner",IF(AND(D296&lt;&gt;"",COUNTIFS(R_TeamName,D296,R_TeamActive,"No")&gt;0),"Needs new owner","")),IF(AND(OR(C296="Proposal sent",C296="Negotiation"),H296="",I296="",K296=""),"Add package or proposed value",""),IF(AND(C296="Won",OR(P296="",V296="")),"Won needs renewal date and closed on",""),IF(AND(C296="Won",G296="Cash",J296=""),"Add agreed value",""),IF(AND(C296="Lost",OR(S296="",V296="")),"Lost needs reason and closed on",""),IF(AND(C296="Nurture",OR(T296="",U296="")),"Nurture needs reason and date","")))</f>
        <v/>
      </c>
      <c r="AB296" s="34" t="str">
        <f aca="false">IF(AND(C296="Won",V296&lt;&gt;"",V296&gt;=S_SemStart,V296&lt;=S_SemEnd),V296+ROW()/100000,"")</f>
        <v/>
      </c>
      <c r="AC296" s="34" t="str">
        <f aca="false">IF(AND(C296="Lost",V296&lt;&gt;"",V296&gt;=S_SemStart,V296&lt;=S_SemEnd),V296+ROW()/100000,"")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9"/>
      <c r="J297" s="29"/>
      <c r="K297" s="27"/>
      <c r="L297" s="27"/>
      <c r="M297" s="28"/>
      <c r="N297" s="28"/>
      <c r="O297" s="28"/>
      <c r="P297" s="28"/>
      <c r="Q297" s="27"/>
      <c r="R297" s="27"/>
      <c r="S297" s="27"/>
      <c r="T297" s="27"/>
      <c r="U297" s="28"/>
      <c r="V297" s="28"/>
      <c r="W297" s="27"/>
      <c r="X297" s="32" t="str">
        <f aca="false">IF(A297="","",IF(OR(C297="Planned",C297="Contacted",C297="Meeting",C297="Proposal sent",C297="Negotiation"),"Yes","No"))</f>
        <v/>
      </c>
      <c r="Y297" s="32" t="str">
        <f aca="false">IF(A297="","",IF(AND(C297="Won",P297&lt;&gt;"",P297&lt;=S_Today+S_RenewalDays,COUNTIFS($A$3:$A$502,A297,$F$3:$F$502,"Yes",$X$3:$X$502,"Yes")=0),"Renewal due",IF(X297&lt;&gt;"Yes","",IF(OR(L297="",M297=""),"Missing next action",IF(M297&lt;S_Today,"Overdue",IF(AND(C297="Contacted",_xlfn.MAXIFS(Interactions!$A$3:$A$502,Interactions!$B$3:$B$502,A297,Interactions!$F$3:$F$502,"Sent by us")&gt;0,_xlfn.MAXIFS(Interactions!$A$3:$A$502,Interactions!$B$3:$B$502,A297,Interactions!$F$3:$F$502,"Sent by us")&lt;=S_Today-S_NoReplyDays,MAX(_xlfn.MAXIFS(Interactions!$A$3:$A$502,Interactions!$B$3:$B$502,A297,Interactions!$F$3:$F$502,"Received from them"),_xlfn.MAXIFS(Interactions!$A$3:$A$502,Interactions!$B$3:$B$502,A297,Interactions!$F$3:$F$502,"Two-way"))&lt;_xlfn.MAXIFS(Interactions!$A$3:$A$502,Interactions!$B$3:$B$502,A297,Interactions!$F$3:$F$502,"Sent by us")),"No reply",IF(M297&lt;=S_Today+7,"Due this week","")))))))</f>
        <v/>
      </c>
      <c r="Z297" s="34" t="str">
        <f aca="false">IF(OR(A297="",Y297=""),"",IF(Y297="Renewal due",100000,IF(Y297="Overdue",200000,IF(Y297="No reply",300000,IF(Y297="Due this week",400000,500000))))+IF(Y297="Renewal due",P297-40000,IF(Y297="Missing next action",0,M297-40000))+ROW()/100000)</f>
        <v/>
      </c>
      <c r="AA297" s="32" t="str">
        <f aca="false">IF(A297="","",_xlfn.TEXTJOIN(", ",TRUE(),IF(AND(X297="Yes",D297=""),"No owner",IF(AND(D297&lt;&gt;"",COUNTIFS(R_TeamName,D297,R_TeamActive,"No")&gt;0),"Needs new owner","")),IF(AND(OR(C297="Proposal sent",C297="Negotiation"),H297="",I297="",K297=""),"Add package or proposed value",""),IF(AND(C297="Won",OR(P297="",V297="")),"Won needs renewal date and closed on",""),IF(AND(C297="Won",G297="Cash",J297=""),"Add agreed value",""),IF(AND(C297="Lost",OR(S297="",V297="")),"Lost needs reason and closed on",""),IF(AND(C297="Nurture",OR(T297="",U297="")),"Nurture needs reason and date","")))</f>
        <v/>
      </c>
      <c r="AB297" s="34" t="str">
        <f aca="false">IF(AND(C297="Won",V297&lt;&gt;"",V297&gt;=S_SemStart,V297&lt;=S_SemEnd),V297+ROW()/100000,"")</f>
        <v/>
      </c>
      <c r="AC297" s="34" t="str">
        <f aca="false">IF(AND(C297="Lost",V297&lt;&gt;"",V297&gt;=S_SemStart,V297&lt;=S_SemEnd),V297+ROW()/100000,"")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9"/>
      <c r="J298" s="29"/>
      <c r="K298" s="27"/>
      <c r="L298" s="27"/>
      <c r="M298" s="28"/>
      <c r="N298" s="28"/>
      <c r="O298" s="28"/>
      <c r="P298" s="28"/>
      <c r="Q298" s="27"/>
      <c r="R298" s="27"/>
      <c r="S298" s="27"/>
      <c r="T298" s="27"/>
      <c r="U298" s="28"/>
      <c r="V298" s="28"/>
      <c r="W298" s="27"/>
      <c r="X298" s="32" t="str">
        <f aca="false">IF(A298="","",IF(OR(C298="Planned",C298="Contacted",C298="Meeting",C298="Proposal sent",C298="Negotiation"),"Yes","No"))</f>
        <v/>
      </c>
      <c r="Y298" s="32" t="str">
        <f aca="false">IF(A298="","",IF(AND(C298="Won",P298&lt;&gt;"",P298&lt;=S_Today+S_RenewalDays,COUNTIFS($A$3:$A$502,A298,$F$3:$F$502,"Yes",$X$3:$X$502,"Yes")=0),"Renewal due",IF(X298&lt;&gt;"Yes","",IF(OR(L298="",M298=""),"Missing next action",IF(M298&lt;S_Today,"Overdue",IF(AND(C298="Contacted",_xlfn.MAXIFS(Interactions!$A$3:$A$502,Interactions!$B$3:$B$502,A298,Interactions!$F$3:$F$502,"Sent by us")&gt;0,_xlfn.MAXIFS(Interactions!$A$3:$A$502,Interactions!$B$3:$B$502,A298,Interactions!$F$3:$F$502,"Sent by us")&lt;=S_Today-S_NoReplyDays,MAX(_xlfn.MAXIFS(Interactions!$A$3:$A$502,Interactions!$B$3:$B$502,A298,Interactions!$F$3:$F$502,"Received from them"),_xlfn.MAXIFS(Interactions!$A$3:$A$502,Interactions!$B$3:$B$502,A298,Interactions!$F$3:$F$502,"Two-way"))&lt;_xlfn.MAXIFS(Interactions!$A$3:$A$502,Interactions!$B$3:$B$502,A298,Interactions!$F$3:$F$502,"Sent by us")),"No reply",IF(M298&lt;=S_Today+7,"Due this week","")))))))</f>
        <v/>
      </c>
      <c r="Z298" s="34" t="str">
        <f aca="false">IF(OR(A298="",Y298=""),"",IF(Y298="Renewal due",100000,IF(Y298="Overdue",200000,IF(Y298="No reply",300000,IF(Y298="Due this week",400000,500000))))+IF(Y298="Renewal due",P298-40000,IF(Y298="Missing next action",0,M298-40000))+ROW()/100000)</f>
        <v/>
      </c>
      <c r="AA298" s="32" t="str">
        <f aca="false">IF(A298="","",_xlfn.TEXTJOIN(", ",TRUE(),IF(AND(X298="Yes",D298=""),"No owner",IF(AND(D298&lt;&gt;"",COUNTIFS(R_TeamName,D298,R_TeamActive,"No")&gt;0),"Needs new owner","")),IF(AND(OR(C298="Proposal sent",C298="Negotiation"),H298="",I298="",K298=""),"Add package or proposed value",""),IF(AND(C298="Won",OR(P298="",V298="")),"Won needs renewal date and closed on",""),IF(AND(C298="Won",G298="Cash",J298=""),"Add agreed value",""),IF(AND(C298="Lost",OR(S298="",V298="")),"Lost needs reason and closed on",""),IF(AND(C298="Nurture",OR(T298="",U298="")),"Nurture needs reason and date","")))</f>
        <v/>
      </c>
      <c r="AB298" s="34" t="str">
        <f aca="false">IF(AND(C298="Won",V298&lt;&gt;"",V298&gt;=S_SemStart,V298&lt;=S_SemEnd),V298+ROW()/100000,"")</f>
        <v/>
      </c>
      <c r="AC298" s="34" t="str">
        <f aca="false">IF(AND(C298="Lost",V298&lt;&gt;"",V298&gt;=S_SemStart,V298&lt;=S_SemEnd),V298+ROW()/100000,"")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9"/>
      <c r="J299" s="29"/>
      <c r="K299" s="27"/>
      <c r="L299" s="27"/>
      <c r="M299" s="28"/>
      <c r="N299" s="28"/>
      <c r="O299" s="28"/>
      <c r="P299" s="28"/>
      <c r="Q299" s="27"/>
      <c r="R299" s="27"/>
      <c r="S299" s="27"/>
      <c r="T299" s="27"/>
      <c r="U299" s="28"/>
      <c r="V299" s="28"/>
      <c r="W299" s="27"/>
      <c r="X299" s="32" t="str">
        <f aca="false">IF(A299="","",IF(OR(C299="Planned",C299="Contacted",C299="Meeting",C299="Proposal sent",C299="Negotiation"),"Yes","No"))</f>
        <v/>
      </c>
      <c r="Y299" s="32" t="str">
        <f aca="false">IF(A299="","",IF(AND(C299="Won",P299&lt;&gt;"",P299&lt;=S_Today+S_RenewalDays,COUNTIFS($A$3:$A$502,A299,$F$3:$F$502,"Yes",$X$3:$X$502,"Yes")=0),"Renewal due",IF(X299&lt;&gt;"Yes","",IF(OR(L299="",M299=""),"Missing next action",IF(M299&lt;S_Today,"Overdue",IF(AND(C299="Contacted",_xlfn.MAXIFS(Interactions!$A$3:$A$502,Interactions!$B$3:$B$502,A299,Interactions!$F$3:$F$502,"Sent by us")&gt;0,_xlfn.MAXIFS(Interactions!$A$3:$A$502,Interactions!$B$3:$B$502,A299,Interactions!$F$3:$F$502,"Sent by us")&lt;=S_Today-S_NoReplyDays,MAX(_xlfn.MAXIFS(Interactions!$A$3:$A$502,Interactions!$B$3:$B$502,A299,Interactions!$F$3:$F$502,"Received from them"),_xlfn.MAXIFS(Interactions!$A$3:$A$502,Interactions!$B$3:$B$502,A299,Interactions!$F$3:$F$502,"Two-way"))&lt;_xlfn.MAXIFS(Interactions!$A$3:$A$502,Interactions!$B$3:$B$502,A299,Interactions!$F$3:$F$502,"Sent by us")),"No reply",IF(M299&lt;=S_Today+7,"Due this week","")))))))</f>
        <v/>
      </c>
      <c r="Z299" s="34" t="str">
        <f aca="false">IF(OR(A299="",Y299=""),"",IF(Y299="Renewal due",100000,IF(Y299="Overdue",200000,IF(Y299="No reply",300000,IF(Y299="Due this week",400000,500000))))+IF(Y299="Renewal due",P299-40000,IF(Y299="Missing next action",0,M299-40000))+ROW()/100000)</f>
        <v/>
      </c>
      <c r="AA299" s="32" t="str">
        <f aca="false">IF(A299="","",_xlfn.TEXTJOIN(", ",TRUE(),IF(AND(X299="Yes",D299=""),"No owner",IF(AND(D299&lt;&gt;"",COUNTIFS(R_TeamName,D299,R_TeamActive,"No")&gt;0),"Needs new owner","")),IF(AND(OR(C299="Proposal sent",C299="Negotiation"),H299="",I299="",K299=""),"Add package or proposed value",""),IF(AND(C299="Won",OR(P299="",V299="")),"Won needs renewal date and closed on",""),IF(AND(C299="Won",G299="Cash",J299=""),"Add agreed value",""),IF(AND(C299="Lost",OR(S299="",V299="")),"Lost needs reason and closed on",""),IF(AND(C299="Nurture",OR(T299="",U299="")),"Nurture needs reason and date","")))</f>
        <v/>
      </c>
      <c r="AB299" s="34" t="str">
        <f aca="false">IF(AND(C299="Won",V299&lt;&gt;"",V299&gt;=S_SemStart,V299&lt;=S_SemEnd),V299+ROW()/100000,"")</f>
        <v/>
      </c>
      <c r="AC299" s="34" t="str">
        <f aca="false">IF(AND(C299="Lost",V299&lt;&gt;"",V299&gt;=S_SemStart,V299&lt;=S_SemEnd),V299+ROW()/100000,"")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9"/>
      <c r="J300" s="29"/>
      <c r="K300" s="27"/>
      <c r="L300" s="27"/>
      <c r="M300" s="28"/>
      <c r="N300" s="28"/>
      <c r="O300" s="28"/>
      <c r="P300" s="28"/>
      <c r="Q300" s="27"/>
      <c r="R300" s="27"/>
      <c r="S300" s="27"/>
      <c r="T300" s="27"/>
      <c r="U300" s="28"/>
      <c r="V300" s="28"/>
      <c r="W300" s="27"/>
      <c r="X300" s="32" t="str">
        <f aca="false">IF(A300="","",IF(OR(C300="Planned",C300="Contacted",C300="Meeting",C300="Proposal sent",C300="Negotiation"),"Yes","No"))</f>
        <v/>
      </c>
      <c r="Y300" s="32" t="str">
        <f aca="false">IF(A300="","",IF(AND(C300="Won",P300&lt;&gt;"",P300&lt;=S_Today+S_RenewalDays,COUNTIFS($A$3:$A$502,A300,$F$3:$F$502,"Yes",$X$3:$X$502,"Yes")=0),"Renewal due",IF(X300&lt;&gt;"Yes","",IF(OR(L300="",M300=""),"Missing next action",IF(M300&lt;S_Today,"Overdue",IF(AND(C300="Contacted",_xlfn.MAXIFS(Interactions!$A$3:$A$502,Interactions!$B$3:$B$502,A300,Interactions!$F$3:$F$502,"Sent by us")&gt;0,_xlfn.MAXIFS(Interactions!$A$3:$A$502,Interactions!$B$3:$B$502,A300,Interactions!$F$3:$F$502,"Sent by us")&lt;=S_Today-S_NoReplyDays,MAX(_xlfn.MAXIFS(Interactions!$A$3:$A$502,Interactions!$B$3:$B$502,A300,Interactions!$F$3:$F$502,"Received from them"),_xlfn.MAXIFS(Interactions!$A$3:$A$502,Interactions!$B$3:$B$502,A300,Interactions!$F$3:$F$502,"Two-way"))&lt;_xlfn.MAXIFS(Interactions!$A$3:$A$502,Interactions!$B$3:$B$502,A300,Interactions!$F$3:$F$502,"Sent by us")),"No reply",IF(M300&lt;=S_Today+7,"Due this week","")))))))</f>
        <v/>
      </c>
      <c r="Z300" s="34" t="str">
        <f aca="false">IF(OR(A300="",Y300=""),"",IF(Y300="Renewal due",100000,IF(Y300="Overdue",200000,IF(Y300="No reply",300000,IF(Y300="Due this week",400000,500000))))+IF(Y300="Renewal due",P300-40000,IF(Y300="Missing next action",0,M300-40000))+ROW()/100000)</f>
        <v/>
      </c>
      <c r="AA300" s="32" t="str">
        <f aca="false">IF(A300="","",_xlfn.TEXTJOIN(", ",TRUE(),IF(AND(X300="Yes",D300=""),"No owner",IF(AND(D300&lt;&gt;"",COUNTIFS(R_TeamName,D300,R_TeamActive,"No")&gt;0),"Needs new owner","")),IF(AND(OR(C300="Proposal sent",C300="Negotiation"),H300="",I300="",K300=""),"Add package or proposed value",""),IF(AND(C300="Won",OR(P300="",V300="")),"Won needs renewal date and closed on",""),IF(AND(C300="Won",G300="Cash",J300=""),"Add agreed value",""),IF(AND(C300="Lost",OR(S300="",V300="")),"Lost needs reason and closed on",""),IF(AND(C300="Nurture",OR(T300="",U300="")),"Nurture needs reason and date","")))</f>
        <v/>
      </c>
      <c r="AB300" s="34" t="str">
        <f aca="false">IF(AND(C300="Won",V300&lt;&gt;"",V300&gt;=S_SemStart,V300&lt;=S_SemEnd),V300+ROW()/100000,"")</f>
        <v/>
      </c>
      <c r="AC300" s="34" t="str">
        <f aca="false">IF(AND(C300="Lost",V300&lt;&gt;"",V300&gt;=S_SemStart,V300&lt;=S_SemEnd),V300+ROW()/100000,"")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9"/>
      <c r="J301" s="29"/>
      <c r="K301" s="27"/>
      <c r="L301" s="27"/>
      <c r="M301" s="28"/>
      <c r="N301" s="28"/>
      <c r="O301" s="28"/>
      <c r="P301" s="28"/>
      <c r="Q301" s="27"/>
      <c r="R301" s="27"/>
      <c r="S301" s="27"/>
      <c r="T301" s="27"/>
      <c r="U301" s="28"/>
      <c r="V301" s="28"/>
      <c r="W301" s="27"/>
      <c r="X301" s="32" t="str">
        <f aca="false">IF(A301="","",IF(OR(C301="Planned",C301="Contacted",C301="Meeting",C301="Proposal sent",C301="Negotiation"),"Yes","No"))</f>
        <v/>
      </c>
      <c r="Y301" s="32" t="str">
        <f aca="false">IF(A301="","",IF(AND(C301="Won",P301&lt;&gt;"",P301&lt;=S_Today+S_RenewalDays,COUNTIFS($A$3:$A$502,A301,$F$3:$F$502,"Yes",$X$3:$X$502,"Yes")=0),"Renewal due",IF(X301&lt;&gt;"Yes","",IF(OR(L301="",M301=""),"Missing next action",IF(M301&lt;S_Today,"Overdue",IF(AND(C301="Contacted",_xlfn.MAXIFS(Interactions!$A$3:$A$502,Interactions!$B$3:$B$502,A301,Interactions!$F$3:$F$502,"Sent by us")&gt;0,_xlfn.MAXIFS(Interactions!$A$3:$A$502,Interactions!$B$3:$B$502,A301,Interactions!$F$3:$F$502,"Sent by us")&lt;=S_Today-S_NoReplyDays,MAX(_xlfn.MAXIFS(Interactions!$A$3:$A$502,Interactions!$B$3:$B$502,A301,Interactions!$F$3:$F$502,"Received from them"),_xlfn.MAXIFS(Interactions!$A$3:$A$502,Interactions!$B$3:$B$502,A301,Interactions!$F$3:$F$502,"Two-way"))&lt;_xlfn.MAXIFS(Interactions!$A$3:$A$502,Interactions!$B$3:$B$502,A301,Interactions!$F$3:$F$502,"Sent by us")),"No reply",IF(M301&lt;=S_Today+7,"Due this week","")))))))</f>
        <v/>
      </c>
      <c r="Z301" s="34" t="str">
        <f aca="false">IF(OR(A301="",Y301=""),"",IF(Y301="Renewal due",100000,IF(Y301="Overdue",200000,IF(Y301="No reply",300000,IF(Y301="Due this week",400000,500000))))+IF(Y301="Renewal due",P301-40000,IF(Y301="Missing next action",0,M301-40000))+ROW()/100000)</f>
        <v/>
      </c>
      <c r="AA301" s="32" t="str">
        <f aca="false">IF(A301="","",_xlfn.TEXTJOIN(", ",TRUE(),IF(AND(X301="Yes",D301=""),"No owner",IF(AND(D301&lt;&gt;"",COUNTIFS(R_TeamName,D301,R_TeamActive,"No")&gt;0),"Needs new owner","")),IF(AND(OR(C301="Proposal sent",C301="Negotiation"),H301="",I301="",K301=""),"Add package or proposed value",""),IF(AND(C301="Won",OR(P301="",V301="")),"Won needs renewal date and closed on",""),IF(AND(C301="Won",G301="Cash",J301=""),"Add agreed value",""),IF(AND(C301="Lost",OR(S301="",V301="")),"Lost needs reason and closed on",""),IF(AND(C301="Nurture",OR(T301="",U301="")),"Nurture needs reason and date","")))</f>
        <v/>
      </c>
      <c r="AB301" s="34" t="str">
        <f aca="false">IF(AND(C301="Won",V301&lt;&gt;"",V301&gt;=S_SemStart,V301&lt;=S_SemEnd),V301+ROW()/100000,"")</f>
        <v/>
      </c>
      <c r="AC301" s="34" t="str">
        <f aca="false">IF(AND(C301="Lost",V301&lt;&gt;"",V301&gt;=S_SemStart,V301&lt;=S_SemEnd),V301+ROW()/100000,"")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9"/>
      <c r="J302" s="29"/>
      <c r="K302" s="27"/>
      <c r="L302" s="27"/>
      <c r="M302" s="28"/>
      <c r="N302" s="28"/>
      <c r="O302" s="28"/>
      <c r="P302" s="28"/>
      <c r="Q302" s="27"/>
      <c r="R302" s="27"/>
      <c r="S302" s="27"/>
      <c r="T302" s="27"/>
      <c r="U302" s="28"/>
      <c r="V302" s="28"/>
      <c r="W302" s="27"/>
      <c r="X302" s="32" t="str">
        <f aca="false">IF(A302="","",IF(OR(C302="Planned",C302="Contacted",C302="Meeting",C302="Proposal sent",C302="Negotiation"),"Yes","No"))</f>
        <v/>
      </c>
      <c r="Y302" s="32" t="str">
        <f aca="false">IF(A302="","",IF(AND(C302="Won",P302&lt;&gt;"",P302&lt;=S_Today+S_RenewalDays,COUNTIFS($A$3:$A$502,A302,$F$3:$F$502,"Yes",$X$3:$X$502,"Yes")=0),"Renewal due",IF(X302&lt;&gt;"Yes","",IF(OR(L302="",M302=""),"Missing next action",IF(M302&lt;S_Today,"Overdue",IF(AND(C302="Contacted",_xlfn.MAXIFS(Interactions!$A$3:$A$502,Interactions!$B$3:$B$502,A302,Interactions!$F$3:$F$502,"Sent by us")&gt;0,_xlfn.MAXIFS(Interactions!$A$3:$A$502,Interactions!$B$3:$B$502,A302,Interactions!$F$3:$F$502,"Sent by us")&lt;=S_Today-S_NoReplyDays,MAX(_xlfn.MAXIFS(Interactions!$A$3:$A$502,Interactions!$B$3:$B$502,A302,Interactions!$F$3:$F$502,"Received from them"),_xlfn.MAXIFS(Interactions!$A$3:$A$502,Interactions!$B$3:$B$502,A302,Interactions!$F$3:$F$502,"Two-way"))&lt;_xlfn.MAXIFS(Interactions!$A$3:$A$502,Interactions!$B$3:$B$502,A302,Interactions!$F$3:$F$502,"Sent by us")),"No reply",IF(M302&lt;=S_Today+7,"Due this week","")))))))</f>
        <v/>
      </c>
      <c r="Z302" s="34" t="str">
        <f aca="false">IF(OR(A302="",Y302=""),"",IF(Y302="Renewal due",100000,IF(Y302="Overdue",200000,IF(Y302="No reply",300000,IF(Y302="Due this week",400000,500000))))+IF(Y302="Renewal due",P302-40000,IF(Y302="Missing next action",0,M302-40000))+ROW()/100000)</f>
        <v/>
      </c>
      <c r="AA302" s="32" t="str">
        <f aca="false">IF(A302="","",_xlfn.TEXTJOIN(", ",TRUE(),IF(AND(X302="Yes",D302=""),"No owner",IF(AND(D302&lt;&gt;"",COUNTIFS(R_TeamName,D302,R_TeamActive,"No")&gt;0),"Needs new owner","")),IF(AND(OR(C302="Proposal sent",C302="Negotiation"),H302="",I302="",K302=""),"Add package or proposed value",""),IF(AND(C302="Won",OR(P302="",V302="")),"Won needs renewal date and closed on",""),IF(AND(C302="Won",G302="Cash",J302=""),"Add agreed value",""),IF(AND(C302="Lost",OR(S302="",V302="")),"Lost needs reason and closed on",""),IF(AND(C302="Nurture",OR(T302="",U302="")),"Nurture needs reason and date","")))</f>
        <v/>
      </c>
      <c r="AB302" s="34" t="str">
        <f aca="false">IF(AND(C302="Won",V302&lt;&gt;"",V302&gt;=S_SemStart,V302&lt;=S_SemEnd),V302+ROW()/100000,"")</f>
        <v/>
      </c>
      <c r="AC302" s="34" t="str">
        <f aca="false">IF(AND(C302="Lost",V302&lt;&gt;"",V302&gt;=S_SemStart,V302&lt;=S_SemEnd),V302+ROW()/100000,"")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9"/>
      <c r="J303" s="29"/>
      <c r="K303" s="27"/>
      <c r="L303" s="27"/>
      <c r="M303" s="28"/>
      <c r="N303" s="28"/>
      <c r="O303" s="28"/>
      <c r="P303" s="28"/>
      <c r="Q303" s="27"/>
      <c r="R303" s="27"/>
      <c r="S303" s="27"/>
      <c r="T303" s="27"/>
      <c r="U303" s="28"/>
      <c r="V303" s="28"/>
      <c r="W303" s="27"/>
      <c r="X303" s="32" t="str">
        <f aca="false">IF(A303="","",IF(OR(C303="Planned",C303="Contacted",C303="Meeting",C303="Proposal sent",C303="Negotiation"),"Yes","No"))</f>
        <v/>
      </c>
      <c r="Y303" s="32" t="str">
        <f aca="false">IF(A303="","",IF(AND(C303="Won",P303&lt;&gt;"",P303&lt;=S_Today+S_RenewalDays,COUNTIFS($A$3:$A$502,A303,$F$3:$F$502,"Yes",$X$3:$X$502,"Yes")=0),"Renewal due",IF(X303&lt;&gt;"Yes","",IF(OR(L303="",M303=""),"Missing next action",IF(M303&lt;S_Today,"Overdue",IF(AND(C303="Contacted",_xlfn.MAXIFS(Interactions!$A$3:$A$502,Interactions!$B$3:$B$502,A303,Interactions!$F$3:$F$502,"Sent by us")&gt;0,_xlfn.MAXIFS(Interactions!$A$3:$A$502,Interactions!$B$3:$B$502,A303,Interactions!$F$3:$F$502,"Sent by us")&lt;=S_Today-S_NoReplyDays,MAX(_xlfn.MAXIFS(Interactions!$A$3:$A$502,Interactions!$B$3:$B$502,A303,Interactions!$F$3:$F$502,"Received from them"),_xlfn.MAXIFS(Interactions!$A$3:$A$502,Interactions!$B$3:$B$502,A303,Interactions!$F$3:$F$502,"Two-way"))&lt;_xlfn.MAXIFS(Interactions!$A$3:$A$502,Interactions!$B$3:$B$502,A303,Interactions!$F$3:$F$502,"Sent by us")),"No reply",IF(M303&lt;=S_Today+7,"Due this week","")))))))</f>
        <v/>
      </c>
      <c r="Z303" s="34" t="str">
        <f aca="false">IF(OR(A303="",Y303=""),"",IF(Y303="Renewal due",100000,IF(Y303="Overdue",200000,IF(Y303="No reply",300000,IF(Y303="Due this week",400000,500000))))+IF(Y303="Renewal due",P303-40000,IF(Y303="Missing next action",0,M303-40000))+ROW()/100000)</f>
        <v/>
      </c>
      <c r="AA303" s="32" t="str">
        <f aca="false">IF(A303="","",_xlfn.TEXTJOIN(", ",TRUE(),IF(AND(X303="Yes",D303=""),"No owner",IF(AND(D303&lt;&gt;"",COUNTIFS(R_TeamName,D303,R_TeamActive,"No")&gt;0),"Needs new owner","")),IF(AND(OR(C303="Proposal sent",C303="Negotiation"),H303="",I303="",K303=""),"Add package or proposed value",""),IF(AND(C303="Won",OR(P303="",V303="")),"Won needs renewal date and closed on",""),IF(AND(C303="Won",G303="Cash",J303=""),"Add agreed value",""),IF(AND(C303="Lost",OR(S303="",V303="")),"Lost needs reason and closed on",""),IF(AND(C303="Nurture",OR(T303="",U303="")),"Nurture needs reason and date","")))</f>
        <v/>
      </c>
      <c r="AB303" s="34" t="str">
        <f aca="false">IF(AND(C303="Won",V303&lt;&gt;"",V303&gt;=S_SemStart,V303&lt;=S_SemEnd),V303+ROW()/100000,"")</f>
        <v/>
      </c>
      <c r="AC303" s="34" t="str">
        <f aca="false">IF(AND(C303="Lost",V303&lt;&gt;"",V303&gt;=S_SemStart,V303&lt;=S_SemEnd),V303+ROW()/100000,"")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9"/>
      <c r="J304" s="29"/>
      <c r="K304" s="27"/>
      <c r="L304" s="27"/>
      <c r="M304" s="28"/>
      <c r="N304" s="28"/>
      <c r="O304" s="28"/>
      <c r="P304" s="28"/>
      <c r="Q304" s="27"/>
      <c r="R304" s="27"/>
      <c r="S304" s="27"/>
      <c r="T304" s="27"/>
      <c r="U304" s="28"/>
      <c r="V304" s="28"/>
      <c r="W304" s="27"/>
      <c r="X304" s="32" t="str">
        <f aca="false">IF(A304="","",IF(OR(C304="Planned",C304="Contacted",C304="Meeting",C304="Proposal sent",C304="Negotiation"),"Yes","No"))</f>
        <v/>
      </c>
      <c r="Y304" s="32" t="str">
        <f aca="false">IF(A304="","",IF(AND(C304="Won",P304&lt;&gt;"",P304&lt;=S_Today+S_RenewalDays,COUNTIFS($A$3:$A$502,A304,$F$3:$F$502,"Yes",$X$3:$X$502,"Yes")=0),"Renewal due",IF(X304&lt;&gt;"Yes","",IF(OR(L304="",M304=""),"Missing next action",IF(M304&lt;S_Today,"Overdue",IF(AND(C304="Contacted",_xlfn.MAXIFS(Interactions!$A$3:$A$502,Interactions!$B$3:$B$502,A304,Interactions!$F$3:$F$502,"Sent by us")&gt;0,_xlfn.MAXIFS(Interactions!$A$3:$A$502,Interactions!$B$3:$B$502,A304,Interactions!$F$3:$F$502,"Sent by us")&lt;=S_Today-S_NoReplyDays,MAX(_xlfn.MAXIFS(Interactions!$A$3:$A$502,Interactions!$B$3:$B$502,A304,Interactions!$F$3:$F$502,"Received from them"),_xlfn.MAXIFS(Interactions!$A$3:$A$502,Interactions!$B$3:$B$502,A304,Interactions!$F$3:$F$502,"Two-way"))&lt;_xlfn.MAXIFS(Interactions!$A$3:$A$502,Interactions!$B$3:$B$502,A304,Interactions!$F$3:$F$502,"Sent by us")),"No reply",IF(M304&lt;=S_Today+7,"Due this week","")))))))</f>
        <v/>
      </c>
      <c r="Z304" s="34" t="str">
        <f aca="false">IF(OR(A304="",Y304=""),"",IF(Y304="Renewal due",100000,IF(Y304="Overdue",200000,IF(Y304="No reply",300000,IF(Y304="Due this week",400000,500000))))+IF(Y304="Renewal due",P304-40000,IF(Y304="Missing next action",0,M304-40000))+ROW()/100000)</f>
        <v/>
      </c>
      <c r="AA304" s="32" t="str">
        <f aca="false">IF(A304="","",_xlfn.TEXTJOIN(", ",TRUE(),IF(AND(X304="Yes",D304=""),"No owner",IF(AND(D304&lt;&gt;"",COUNTIFS(R_TeamName,D304,R_TeamActive,"No")&gt;0),"Needs new owner","")),IF(AND(OR(C304="Proposal sent",C304="Negotiation"),H304="",I304="",K304=""),"Add package or proposed value",""),IF(AND(C304="Won",OR(P304="",V304="")),"Won needs renewal date and closed on",""),IF(AND(C304="Won",G304="Cash",J304=""),"Add agreed value",""),IF(AND(C304="Lost",OR(S304="",V304="")),"Lost needs reason and closed on",""),IF(AND(C304="Nurture",OR(T304="",U304="")),"Nurture needs reason and date","")))</f>
        <v/>
      </c>
      <c r="AB304" s="34" t="str">
        <f aca="false">IF(AND(C304="Won",V304&lt;&gt;"",V304&gt;=S_SemStart,V304&lt;=S_SemEnd),V304+ROW()/100000,"")</f>
        <v/>
      </c>
      <c r="AC304" s="34" t="str">
        <f aca="false">IF(AND(C304="Lost",V304&lt;&gt;"",V304&gt;=S_SemStart,V304&lt;=S_SemEnd),V304+ROW()/100000,"")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9"/>
      <c r="J305" s="29"/>
      <c r="K305" s="27"/>
      <c r="L305" s="27"/>
      <c r="M305" s="28"/>
      <c r="N305" s="28"/>
      <c r="O305" s="28"/>
      <c r="P305" s="28"/>
      <c r="Q305" s="27"/>
      <c r="R305" s="27"/>
      <c r="S305" s="27"/>
      <c r="T305" s="27"/>
      <c r="U305" s="28"/>
      <c r="V305" s="28"/>
      <c r="W305" s="27"/>
      <c r="X305" s="32" t="str">
        <f aca="false">IF(A305="","",IF(OR(C305="Planned",C305="Contacted",C305="Meeting",C305="Proposal sent",C305="Negotiation"),"Yes","No"))</f>
        <v/>
      </c>
      <c r="Y305" s="32" t="str">
        <f aca="false">IF(A305="","",IF(AND(C305="Won",P305&lt;&gt;"",P305&lt;=S_Today+S_RenewalDays,COUNTIFS($A$3:$A$502,A305,$F$3:$F$502,"Yes",$X$3:$X$502,"Yes")=0),"Renewal due",IF(X305&lt;&gt;"Yes","",IF(OR(L305="",M305=""),"Missing next action",IF(M305&lt;S_Today,"Overdue",IF(AND(C305="Contacted",_xlfn.MAXIFS(Interactions!$A$3:$A$502,Interactions!$B$3:$B$502,A305,Interactions!$F$3:$F$502,"Sent by us")&gt;0,_xlfn.MAXIFS(Interactions!$A$3:$A$502,Interactions!$B$3:$B$502,A305,Interactions!$F$3:$F$502,"Sent by us")&lt;=S_Today-S_NoReplyDays,MAX(_xlfn.MAXIFS(Interactions!$A$3:$A$502,Interactions!$B$3:$B$502,A305,Interactions!$F$3:$F$502,"Received from them"),_xlfn.MAXIFS(Interactions!$A$3:$A$502,Interactions!$B$3:$B$502,A305,Interactions!$F$3:$F$502,"Two-way"))&lt;_xlfn.MAXIFS(Interactions!$A$3:$A$502,Interactions!$B$3:$B$502,A305,Interactions!$F$3:$F$502,"Sent by us")),"No reply",IF(M305&lt;=S_Today+7,"Due this week","")))))))</f>
        <v/>
      </c>
      <c r="Z305" s="34" t="str">
        <f aca="false">IF(OR(A305="",Y305=""),"",IF(Y305="Renewal due",100000,IF(Y305="Overdue",200000,IF(Y305="No reply",300000,IF(Y305="Due this week",400000,500000))))+IF(Y305="Renewal due",P305-40000,IF(Y305="Missing next action",0,M305-40000))+ROW()/100000)</f>
        <v/>
      </c>
      <c r="AA305" s="32" t="str">
        <f aca="false">IF(A305="","",_xlfn.TEXTJOIN(", ",TRUE(),IF(AND(X305="Yes",D305=""),"No owner",IF(AND(D305&lt;&gt;"",COUNTIFS(R_TeamName,D305,R_TeamActive,"No")&gt;0),"Needs new owner","")),IF(AND(OR(C305="Proposal sent",C305="Negotiation"),H305="",I305="",K305=""),"Add package or proposed value",""),IF(AND(C305="Won",OR(P305="",V305="")),"Won needs renewal date and closed on",""),IF(AND(C305="Won",G305="Cash",J305=""),"Add agreed value",""),IF(AND(C305="Lost",OR(S305="",V305="")),"Lost needs reason and closed on",""),IF(AND(C305="Nurture",OR(T305="",U305="")),"Nurture needs reason and date","")))</f>
        <v/>
      </c>
      <c r="AB305" s="34" t="str">
        <f aca="false">IF(AND(C305="Won",V305&lt;&gt;"",V305&gt;=S_SemStart,V305&lt;=S_SemEnd),V305+ROW()/100000,"")</f>
        <v/>
      </c>
      <c r="AC305" s="34" t="str">
        <f aca="false">IF(AND(C305="Lost",V305&lt;&gt;"",V305&gt;=S_SemStart,V305&lt;=S_SemEnd),V305+ROW()/100000,"")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9"/>
      <c r="J306" s="29"/>
      <c r="K306" s="27"/>
      <c r="L306" s="27"/>
      <c r="M306" s="28"/>
      <c r="N306" s="28"/>
      <c r="O306" s="28"/>
      <c r="P306" s="28"/>
      <c r="Q306" s="27"/>
      <c r="R306" s="27"/>
      <c r="S306" s="27"/>
      <c r="T306" s="27"/>
      <c r="U306" s="28"/>
      <c r="V306" s="28"/>
      <c r="W306" s="27"/>
      <c r="X306" s="32" t="str">
        <f aca="false">IF(A306="","",IF(OR(C306="Planned",C306="Contacted",C306="Meeting",C306="Proposal sent",C306="Negotiation"),"Yes","No"))</f>
        <v/>
      </c>
      <c r="Y306" s="32" t="str">
        <f aca="false">IF(A306="","",IF(AND(C306="Won",P306&lt;&gt;"",P306&lt;=S_Today+S_RenewalDays,COUNTIFS($A$3:$A$502,A306,$F$3:$F$502,"Yes",$X$3:$X$502,"Yes")=0),"Renewal due",IF(X306&lt;&gt;"Yes","",IF(OR(L306="",M306=""),"Missing next action",IF(M306&lt;S_Today,"Overdue",IF(AND(C306="Contacted",_xlfn.MAXIFS(Interactions!$A$3:$A$502,Interactions!$B$3:$B$502,A306,Interactions!$F$3:$F$502,"Sent by us")&gt;0,_xlfn.MAXIFS(Interactions!$A$3:$A$502,Interactions!$B$3:$B$502,A306,Interactions!$F$3:$F$502,"Sent by us")&lt;=S_Today-S_NoReplyDays,MAX(_xlfn.MAXIFS(Interactions!$A$3:$A$502,Interactions!$B$3:$B$502,A306,Interactions!$F$3:$F$502,"Received from them"),_xlfn.MAXIFS(Interactions!$A$3:$A$502,Interactions!$B$3:$B$502,A306,Interactions!$F$3:$F$502,"Two-way"))&lt;_xlfn.MAXIFS(Interactions!$A$3:$A$502,Interactions!$B$3:$B$502,A306,Interactions!$F$3:$F$502,"Sent by us")),"No reply",IF(M306&lt;=S_Today+7,"Due this week","")))))))</f>
        <v/>
      </c>
      <c r="Z306" s="34" t="str">
        <f aca="false">IF(OR(A306="",Y306=""),"",IF(Y306="Renewal due",100000,IF(Y306="Overdue",200000,IF(Y306="No reply",300000,IF(Y306="Due this week",400000,500000))))+IF(Y306="Renewal due",P306-40000,IF(Y306="Missing next action",0,M306-40000))+ROW()/100000)</f>
        <v/>
      </c>
      <c r="AA306" s="32" t="str">
        <f aca="false">IF(A306="","",_xlfn.TEXTJOIN(", ",TRUE(),IF(AND(X306="Yes",D306=""),"No owner",IF(AND(D306&lt;&gt;"",COUNTIFS(R_TeamName,D306,R_TeamActive,"No")&gt;0),"Needs new owner","")),IF(AND(OR(C306="Proposal sent",C306="Negotiation"),H306="",I306="",K306=""),"Add package or proposed value",""),IF(AND(C306="Won",OR(P306="",V306="")),"Won needs renewal date and closed on",""),IF(AND(C306="Won",G306="Cash",J306=""),"Add agreed value",""),IF(AND(C306="Lost",OR(S306="",V306="")),"Lost needs reason and closed on",""),IF(AND(C306="Nurture",OR(T306="",U306="")),"Nurture needs reason and date","")))</f>
        <v/>
      </c>
      <c r="AB306" s="34" t="str">
        <f aca="false">IF(AND(C306="Won",V306&lt;&gt;"",V306&gt;=S_SemStart,V306&lt;=S_SemEnd),V306+ROW()/100000,"")</f>
        <v/>
      </c>
      <c r="AC306" s="34" t="str">
        <f aca="false">IF(AND(C306="Lost",V306&lt;&gt;"",V306&gt;=S_SemStart,V306&lt;=S_SemEnd),V306+ROW()/100000,"")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9"/>
      <c r="J307" s="29"/>
      <c r="K307" s="27"/>
      <c r="L307" s="27"/>
      <c r="M307" s="28"/>
      <c r="N307" s="28"/>
      <c r="O307" s="28"/>
      <c r="P307" s="28"/>
      <c r="Q307" s="27"/>
      <c r="R307" s="27"/>
      <c r="S307" s="27"/>
      <c r="T307" s="27"/>
      <c r="U307" s="28"/>
      <c r="V307" s="28"/>
      <c r="W307" s="27"/>
      <c r="X307" s="32" t="str">
        <f aca="false">IF(A307="","",IF(OR(C307="Planned",C307="Contacted",C307="Meeting",C307="Proposal sent",C307="Negotiation"),"Yes","No"))</f>
        <v/>
      </c>
      <c r="Y307" s="32" t="str">
        <f aca="false">IF(A307="","",IF(AND(C307="Won",P307&lt;&gt;"",P307&lt;=S_Today+S_RenewalDays,COUNTIFS($A$3:$A$502,A307,$F$3:$F$502,"Yes",$X$3:$X$502,"Yes")=0),"Renewal due",IF(X307&lt;&gt;"Yes","",IF(OR(L307="",M307=""),"Missing next action",IF(M307&lt;S_Today,"Overdue",IF(AND(C307="Contacted",_xlfn.MAXIFS(Interactions!$A$3:$A$502,Interactions!$B$3:$B$502,A307,Interactions!$F$3:$F$502,"Sent by us")&gt;0,_xlfn.MAXIFS(Interactions!$A$3:$A$502,Interactions!$B$3:$B$502,A307,Interactions!$F$3:$F$502,"Sent by us")&lt;=S_Today-S_NoReplyDays,MAX(_xlfn.MAXIFS(Interactions!$A$3:$A$502,Interactions!$B$3:$B$502,A307,Interactions!$F$3:$F$502,"Received from them"),_xlfn.MAXIFS(Interactions!$A$3:$A$502,Interactions!$B$3:$B$502,A307,Interactions!$F$3:$F$502,"Two-way"))&lt;_xlfn.MAXIFS(Interactions!$A$3:$A$502,Interactions!$B$3:$B$502,A307,Interactions!$F$3:$F$502,"Sent by us")),"No reply",IF(M307&lt;=S_Today+7,"Due this week","")))))))</f>
        <v/>
      </c>
      <c r="Z307" s="34" t="str">
        <f aca="false">IF(OR(A307="",Y307=""),"",IF(Y307="Renewal due",100000,IF(Y307="Overdue",200000,IF(Y307="No reply",300000,IF(Y307="Due this week",400000,500000))))+IF(Y307="Renewal due",P307-40000,IF(Y307="Missing next action",0,M307-40000))+ROW()/100000)</f>
        <v/>
      </c>
      <c r="AA307" s="32" t="str">
        <f aca="false">IF(A307="","",_xlfn.TEXTJOIN(", ",TRUE(),IF(AND(X307="Yes",D307=""),"No owner",IF(AND(D307&lt;&gt;"",COUNTIFS(R_TeamName,D307,R_TeamActive,"No")&gt;0),"Needs new owner","")),IF(AND(OR(C307="Proposal sent",C307="Negotiation"),H307="",I307="",K307=""),"Add package or proposed value",""),IF(AND(C307="Won",OR(P307="",V307="")),"Won needs renewal date and closed on",""),IF(AND(C307="Won",G307="Cash",J307=""),"Add agreed value",""),IF(AND(C307="Lost",OR(S307="",V307="")),"Lost needs reason and closed on",""),IF(AND(C307="Nurture",OR(T307="",U307="")),"Nurture needs reason and date","")))</f>
        <v/>
      </c>
      <c r="AB307" s="34" t="str">
        <f aca="false">IF(AND(C307="Won",V307&lt;&gt;"",V307&gt;=S_SemStart,V307&lt;=S_SemEnd),V307+ROW()/100000,"")</f>
        <v/>
      </c>
      <c r="AC307" s="34" t="str">
        <f aca="false">IF(AND(C307="Lost",V307&lt;&gt;"",V307&gt;=S_SemStart,V307&lt;=S_SemEnd),V307+ROW()/100000,"")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9"/>
      <c r="J308" s="29"/>
      <c r="K308" s="27"/>
      <c r="L308" s="27"/>
      <c r="M308" s="28"/>
      <c r="N308" s="28"/>
      <c r="O308" s="28"/>
      <c r="P308" s="28"/>
      <c r="Q308" s="27"/>
      <c r="R308" s="27"/>
      <c r="S308" s="27"/>
      <c r="T308" s="27"/>
      <c r="U308" s="28"/>
      <c r="V308" s="28"/>
      <c r="W308" s="27"/>
      <c r="X308" s="32" t="str">
        <f aca="false">IF(A308="","",IF(OR(C308="Planned",C308="Contacted",C308="Meeting",C308="Proposal sent",C308="Negotiation"),"Yes","No"))</f>
        <v/>
      </c>
      <c r="Y308" s="32" t="str">
        <f aca="false">IF(A308="","",IF(AND(C308="Won",P308&lt;&gt;"",P308&lt;=S_Today+S_RenewalDays,COUNTIFS($A$3:$A$502,A308,$F$3:$F$502,"Yes",$X$3:$X$502,"Yes")=0),"Renewal due",IF(X308&lt;&gt;"Yes","",IF(OR(L308="",M308=""),"Missing next action",IF(M308&lt;S_Today,"Overdue",IF(AND(C308="Contacted",_xlfn.MAXIFS(Interactions!$A$3:$A$502,Interactions!$B$3:$B$502,A308,Interactions!$F$3:$F$502,"Sent by us")&gt;0,_xlfn.MAXIFS(Interactions!$A$3:$A$502,Interactions!$B$3:$B$502,A308,Interactions!$F$3:$F$502,"Sent by us")&lt;=S_Today-S_NoReplyDays,MAX(_xlfn.MAXIFS(Interactions!$A$3:$A$502,Interactions!$B$3:$B$502,A308,Interactions!$F$3:$F$502,"Received from them"),_xlfn.MAXIFS(Interactions!$A$3:$A$502,Interactions!$B$3:$B$502,A308,Interactions!$F$3:$F$502,"Two-way"))&lt;_xlfn.MAXIFS(Interactions!$A$3:$A$502,Interactions!$B$3:$B$502,A308,Interactions!$F$3:$F$502,"Sent by us")),"No reply",IF(M308&lt;=S_Today+7,"Due this week","")))))))</f>
        <v/>
      </c>
      <c r="Z308" s="34" t="str">
        <f aca="false">IF(OR(A308="",Y308=""),"",IF(Y308="Renewal due",100000,IF(Y308="Overdue",200000,IF(Y308="No reply",300000,IF(Y308="Due this week",400000,500000))))+IF(Y308="Renewal due",P308-40000,IF(Y308="Missing next action",0,M308-40000))+ROW()/100000)</f>
        <v/>
      </c>
      <c r="AA308" s="32" t="str">
        <f aca="false">IF(A308="","",_xlfn.TEXTJOIN(", ",TRUE(),IF(AND(X308="Yes",D308=""),"No owner",IF(AND(D308&lt;&gt;"",COUNTIFS(R_TeamName,D308,R_TeamActive,"No")&gt;0),"Needs new owner","")),IF(AND(OR(C308="Proposal sent",C308="Negotiation"),H308="",I308="",K308=""),"Add package or proposed value",""),IF(AND(C308="Won",OR(P308="",V308="")),"Won needs renewal date and closed on",""),IF(AND(C308="Won",G308="Cash",J308=""),"Add agreed value",""),IF(AND(C308="Lost",OR(S308="",V308="")),"Lost needs reason and closed on",""),IF(AND(C308="Nurture",OR(T308="",U308="")),"Nurture needs reason and date","")))</f>
        <v/>
      </c>
      <c r="AB308" s="34" t="str">
        <f aca="false">IF(AND(C308="Won",V308&lt;&gt;"",V308&gt;=S_SemStart,V308&lt;=S_SemEnd),V308+ROW()/100000,"")</f>
        <v/>
      </c>
      <c r="AC308" s="34" t="str">
        <f aca="false">IF(AND(C308="Lost",V308&lt;&gt;"",V308&gt;=S_SemStart,V308&lt;=S_SemEnd),V308+ROW()/100000,"")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9"/>
      <c r="J309" s="29"/>
      <c r="K309" s="27"/>
      <c r="L309" s="27"/>
      <c r="M309" s="28"/>
      <c r="N309" s="28"/>
      <c r="O309" s="28"/>
      <c r="P309" s="28"/>
      <c r="Q309" s="27"/>
      <c r="R309" s="27"/>
      <c r="S309" s="27"/>
      <c r="T309" s="27"/>
      <c r="U309" s="28"/>
      <c r="V309" s="28"/>
      <c r="W309" s="27"/>
      <c r="X309" s="32" t="str">
        <f aca="false">IF(A309="","",IF(OR(C309="Planned",C309="Contacted",C309="Meeting",C309="Proposal sent",C309="Negotiation"),"Yes","No"))</f>
        <v/>
      </c>
      <c r="Y309" s="32" t="str">
        <f aca="false">IF(A309="","",IF(AND(C309="Won",P309&lt;&gt;"",P309&lt;=S_Today+S_RenewalDays,COUNTIFS($A$3:$A$502,A309,$F$3:$F$502,"Yes",$X$3:$X$502,"Yes")=0),"Renewal due",IF(X309&lt;&gt;"Yes","",IF(OR(L309="",M309=""),"Missing next action",IF(M309&lt;S_Today,"Overdue",IF(AND(C309="Contacted",_xlfn.MAXIFS(Interactions!$A$3:$A$502,Interactions!$B$3:$B$502,A309,Interactions!$F$3:$F$502,"Sent by us")&gt;0,_xlfn.MAXIFS(Interactions!$A$3:$A$502,Interactions!$B$3:$B$502,A309,Interactions!$F$3:$F$502,"Sent by us")&lt;=S_Today-S_NoReplyDays,MAX(_xlfn.MAXIFS(Interactions!$A$3:$A$502,Interactions!$B$3:$B$502,A309,Interactions!$F$3:$F$502,"Received from them"),_xlfn.MAXIFS(Interactions!$A$3:$A$502,Interactions!$B$3:$B$502,A309,Interactions!$F$3:$F$502,"Two-way"))&lt;_xlfn.MAXIFS(Interactions!$A$3:$A$502,Interactions!$B$3:$B$502,A309,Interactions!$F$3:$F$502,"Sent by us")),"No reply",IF(M309&lt;=S_Today+7,"Due this week","")))))))</f>
        <v/>
      </c>
      <c r="Z309" s="34" t="str">
        <f aca="false">IF(OR(A309="",Y309=""),"",IF(Y309="Renewal due",100000,IF(Y309="Overdue",200000,IF(Y309="No reply",300000,IF(Y309="Due this week",400000,500000))))+IF(Y309="Renewal due",P309-40000,IF(Y309="Missing next action",0,M309-40000))+ROW()/100000)</f>
        <v/>
      </c>
      <c r="AA309" s="32" t="str">
        <f aca="false">IF(A309="","",_xlfn.TEXTJOIN(", ",TRUE(),IF(AND(X309="Yes",D309=""),"No owner",IF(AND(D309&lt;&gt;"",COUNTIFS(R_TeamName,D309,R_TeamActive,"No")&gt;0),"Needs new owner","")),IF(AND(OR(C309="Proposal sent",C309="Negotiation"),H309="",I309="",K309=""),"Add package or proposed value",""),IF(AND(C309="Won",OR(P309="",V309="")),"Won needs renewal date and closed on",""),IF(AND(C309="Won",G309="Cash",J309=""),"Add agreed value",""),IF(AND(C309="Lost",OR(S309="",V309="")),"Lost needs reason and closed on",""),IF(AND(C309="Nurture",OR(T309="",U309="")),"Nurture needs reason and date","")))</f>
        <v/>
      </c>
      <c r="AB309" s="34" t="str">
        <f aca="false">IF(AND(C309="Won",V309&lt;&gt;"",V309&gt;=S_SemStart,V309&lt;=S_SemEnd),V309+ROW()/100000,"")</f>
        <v/>
      </c>
      <c r="AC309" s="34" t="str">
        <f aca="false">IF(AND(C309="Lost",V309&lt;&gt;"",V309&gt;=S_SemStart,V309&lt;=S_SemEnd),V309+ROW()/100000,"")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9"/>
      <c r="J310" s="29"/>
      <c r="K310" s="27"/>
      <c r="L310" s="27"/>
      <c r="M310" s="28"/>
      <c r="N310" s="28"/>
      <c r="O310" s="28"/>
      <c r="P310" s="28"/>
      <c r="Q310" s="27"/>
      <c r="R310" s="27"/>
      <c r="S310" s="27"/>
      <c r="T310" s="27"/>
      <c r="U310" s="28"/>
      <c r="V310" s="28"/>
      <c r="W310" s="27"/>
      <c r="X310" s="32" t="str">
        <f aca="false">IF(A310="","",IF(OR(C310="Planned",C310="Contacted",C310="Meeting",C310="Proposal sent",C310="Negotiation"),"Yes","No"))</f>
        <v/>
      </c>
      <c r="Y310" s="32" t="str">
        <f aca="false">IF(A310="","",IF(AND(C310="Won",P310&lt;&gt;"",P310&lt;=S_Today+S_RenewalDays,COUNTIFS($A$3:$A$502,A310,$F$3:$F$502,"Yes",$X$3:$X$502,"Yes")=0),"Renewal due",IF(X310&lt;&gt;"Yes","",IF(OR(L310="",M310=""),"Missing next action",IF(M310&lt;S_Today,"Overdue",IF(AND(C310="Contacted",_xlfn.MAXIFS(Interactions!$A$3:$A$502,Interactions!$B$3:$B$502,A310,Interactions!$F$3:$F$502,"Sent by us")&gt;0,_xlfn.MAXIFS(Interactions!$A$3:$A$502,Interactions!$B$3:$B$502,A310,Interactions!$F$3:$F$502,"Sent by us")&lt;=S_Today-S_NoReplyDays,MAX(_xlfn.MAXIFS(Interactions!$A$3:$A$502,Interactions!$B$3:$B$502,A310,Interactions!$F$3:$F$502,"Received from them"),_xlfn.MAXIFS(Interactions!$A$3:$A$502,Interactions!$B$3:$B$502,A310,Interactions!$F$3:$F$502,"Two-way"))&lt;_xlfn.MAXIFS(Interactions!$A$3:$A$502,Interactions!$B$3:$B$502,A310,Interactions!$F$3:$F$502,"Sent by us")),"No reply",IF(M310&lt;=S_Today+7,"Due this week","")))))))</f>
        <v/>
      </c>
      <c r="Z310" s="34" t="str">
        <f aca="false">IF(OR(A310="",Y310=""),"",IF(Y310="Renewal due",100000,IF(Y310="Overdue",200000,IF(Y310="No reply",300000,IF(Y310="Due this week",400000,500000))))+IF(Y310="Renewal due",P310-40000,IF(Y310="Missing next action",0,M310-40000))+ROW()/100000)</f>
        <v/>
      </c>
      <c r="AA310" s="32" t="str">
        <f aca="false">IF(A310="","",_xlfn.TEXTJOIN(", ",TRUE(),IF(AND(X310="Yes",D310=""),"No owner",IF(AND(D310&lt;&gt;"",COUNTIFS(R_TeamName,D310,R_TeamActive,"No")&gt;0),"Needs new owner","")),IF(AND(OR(C310="Proposal sent",C310="Negotiation"),H310="",I310="",K310=""),"Add package or proposed value",""),IF(AND(C310="Won",OR(P310="",V310="")),"Won needs renewal date and closed on",""),IF(AND(C310="Won",G310="Cash",J310=""),"Add agreed value",""),IF(AND(C310="Lost",OR(S310="",V310="")),"Lost needs reason and closed on",""),IF(AND(C310="Nurture",OR(T310="",U310="")),"Nurture needs reason and date","")))</f>
        <v/>
      </c>
      <c r="AB310" s="34" t="str">
        <f aca="false">IF(AND(C310="Won",V310&lt;&gt;"",V310&gt;=S_SemStart,V310&lt;=S_SemEnd),V310+ROW()/100000,"")</f>
        <v/>
      </c>
      <c r="AC310" s="34" t="str">
        <f aca="false">IF(AND(C310="Lost",V310&lt;&gt;"",V310&gt;=S_SemStart,V310&lt;=S_SemEnd),V310+ROW()/100000,"")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9"/>
      <c r="J311" s="29"/>
      <c r="K311" s="27"/>
      <c r="L311" s="27"/>
      <c r="M311" s="28"/>
      <c r="N311" s="28"/>
      <c r="O311" s="28"/>
      <c r="P311" s="28"/>
      <c r="Q311" s="27"/>
      <c r="R311" s="27"/>
      <c r="S311" s="27"/>
      <c r="T311" s="27"/>
      <c r="U311" s="28"/>
      <c r="V311" s="28"/>
      <c r="W311" s="27"/>
      <c r="X311" s="32" t="str">
        <f aca="false">IF(A311="","",IF(OR(C311="Planned",C311="Contacted",C311="Meeting",C311="Proposal sent",C311="Negotiation"),"Yes","No"))</f>
        <v/>
      </c>
      <c r="Y311" s="32" t="str">
        <f aca="false">IF(A311="","",IF(AND(C311="Won",P311&lt;&gt;"",P311&lt;=S_Today+S_RenewalDays,COUNTIFS($A$3:$A$502,A311,$F$3:$F$502,"Yes",$X$3:$X$502,"Yes")=0),"Renewal due",IF(X311&lt;&gt;"Yes","",IF(OR(L311="",M311=""),"Missing next action",IF(M311&lt;S_Today,"Overdue",IF(AND(C311="Contacted",_xlfn.MAXIFS(Interactions!$A$3:$A$502,Interactions!$B$3:$B$502,A311,Interactions!$F$3:$F$502,"Sent by us")&gt;0,_xlfn.MAXIFS(Interactions!$A$3:$A$502,Interactions!$B$3:$B$502,A311,Interactions!$F$3:$F$502,"Sent by us")&lt;=S_Today-S_NoReplyDays,MAX(_xlfn.MAXIFS(Interactions!$A$3:$A$502,Interactions!$B$3:$B$502,A311,Interactions!$F$3:$F$502,"Received from them"),_xlfn.MAXIFS(Interactions!$A$3:$A$502,Interactions!$B$3:$B$502,A311,Interactions!$F$3:$F$502,"Two-way"))&lt;_xlfn.MAXIFS(Interactions!$A$3:$A$502,Interactions!$B$3:$B$502,A311,Interactions!$F$3:$F$502,"Sent by us")),"No reply",IF(M311&lt;=S_Today+7,"Due this week","")))))))</f>
        <v/>
      </c>
      <c r="Z311" s="34" t="str">
        <f aca="false">IF(OR(A311="",Y311=""),"",IF(Y311="Renewal due",100000,IF(Y311="Overdue",200000,IF(Y311="No reply",300000,IF(Y311="Due this week",400000,500000))))+IF(Y311="Renewal due",P311-40000,IF(Y311="Missing next action",0,M311-40000))+ROW()/100000)</f>
        <v/>
      </c>
      <c r="AA311" s="32" t="str">
        <f aca="false">IF(A311="","",_xlfn.TEXTJOIN(", ",TRUE(),IF(AND(X311="Yes",D311=""),"No owner",IF(AND(D311&lt;&gt;"",COUNTIFS(R_TeamName,D311,R_TeamActive,"No")&gt;0),"Needs new owner","")),IF(AND(OR(C311="Proposal sent",C311="Negotiation"),H311="",I311="",K311=""),"Add package or proposed value",""),IF(AND(C311="Won",OR(P311="",V311="")),"Won needs renewal date and closed on",""),IF(AND(C311="Won",G311="Cash",J311=""),"Add agreed value",""),IF(AND(C311="Lost",OR(S311="",V311="")),"Lost needs reason and closed on",""),IF(AND(C311="Nurture",OR(T311="",U311="")),"Nurture needs reason and date","")))</f>
        <v/>
      </c>
      <c r="AB311" s="34" t="str">
        <f aca="false">IF(AND(C311="Won",V311&lt;&gt;"",V311&gt;=S_SemStart,V311&lt;=S_SemEnd),V311+ROW()/100000,"")</f>
        <v/>
      </c>
      <c r="AC311" s="34" t="str">
        <f aca="false">IF(AND(C311="Lost",V311&lt;&gt;"",V311&gt;=S_SemStart,V311&lt;=S_SemEnd),V311+ROW()/100000,"")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9"/>
      <c r="J312" s="29"/>
      <c r="K312" s="27"/>
      <c r="L312" s="27"/>
      <c r="M312" s="28"/>
      <c r="N312" s="28"/>
      <c r="O312" s="28"/>
      <c r="P312" s="28"/>
      <c r="Q312" s="27"/>
      <c r="R312" s="27"/>
      <c r="S312" s="27"/>
      <c r="T312" s="27"/>
      <c r="U312" s="28"/>
      <c r="V312" s="28"/>
      <c r="W312" s="27"/>
      <c r="X312" s="32" t="str">
        <f aca="false">IF(A312="","",IF(OR(C312="Planned",C312="Contacted",C312="Meeting",C312="Proposal sent",C312="Negotiation"),"Yes","No"))</f>
        <v/>
      </c>
      <c r="Y312" s="32" t="str">
        <f aca="false">IF(A312="","",IF(AND(C312="Won",P312&lt;&gt;"",P312&lt;=S_Today+S_RenewalDays,COUNTIFS($A$3:$A$502,A312,$F$3:$F$502,"Yes",$X$3:$X$502,"Yes")=0),"Renewal due",IF(X312&lt;&gt;"Yes","",IF(OR(L312="",M312=""),"Missing next action",IF(M312&lt;S_Today,"Overdue",IF(AND(C312="Contacted",_xlfn.MAXIFS(Interactions!$A$3:$A$502,Interactions!$B$3:$B$502,A312,Interactions!$F$3:$F$502,"Sent by us")&gt;0,_xlfn.MAXIFS(Interactions!$A$3:$A$502,Interactions!$B$3:$B$502,A312,Interactions!$F$3:$F$502,"Sent by us")&lt;=S_Today-S_NoReplyDays,MAX(_xlfn.MAXIFS(Interactions!$A$3:$A$502,Interactions!$B$3:$B$502,A312,Interactions!$F$3:$F$502,"Received from them"),_xlfn.MAXIFS(Interactions!$A$3:$A$502,Interactions!$B$3:$B$502,A312,Interactions!$F$3:$F$502,"Two-way"))&lt;_xlfn.MAXIFS(Interactions!$A$3:$A$502,Interactions!$B$3:$B$502,A312,Interactions!$F$3:$F$502,"Sent by us")),"No reply",IF(M312&lt;=S_Today+7,"Due this week","")))))))</f>
        <v/>
      </c>
      <c r="Z312" s="34" t="str">
        <f aca="false">IF(OR(A312="",Y312=""),"",IF(Y312="Renewal due",100000,IF(Y312="Overdue",200000,IF(Y312="No reply",300000,IF(Y312="Due this week",400000,500000))))+IF(Y312="Renewal due",P312-40000,IF(Y312="Missing next action",0,M312-40000))+ROW()/100000)</f>
        <v/>
      </c>
      <c r="AA312" s="32" t="str">
        <f aca="false">IF(A312="","",_xlfn.TEXTJOIN(", ",TRUE(),IF(AND(X312="Yes",D312=""),"No owner",IF(AND(D312&lt;&gt;"",COUNTIFS(R_TeamName,D312,R_TeamActive,"No")&gt;0),"Needs new owner","")),IF(AND(OR(C312="Proposal sent",C312="Negotiation"),H312="",I312="",K312=""),"Add package or proposed value",""),IF(AND(C312="Won",OR(P312="",V312="")),"Won needs renewal date and closed on",""),IF(AND(C312="Won",G312="Cash",J312=""),"Add agreed value",""),IF(AND(C312="Lost",OR(S312="",V312="")),"Lost needs reason and closed on",""),IF(AND(C312="Nurture",OR(T312="",U312="")),"Nurture needs reason and date","")))</f>
        <v/>
      </c>
      <c r="AB312" s="34" t="str">
        <f aca="false">IF(AND(C312="Won",V312&lt;&gt;"",V312&gt;=S_SemStart,V312&lt;=S_SemEnd),V312+ROW()/100000,"")</f>
        <v/>
      </c>
      <c r="AC312" s="34" t="str">
        <f aca="false">IF(AND(C312="Lost",V312&lt;&gt;"",V312&gt;=S_SemStart,V312&lt;=S_SemEnd),V312+ROW()/100000,"")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9"/>
      <c r="J313" s="29"/>
      <c r="K313" s="27"/>
      <c r="L313" s="27"/>
      <c r="M313" s="28"/>
      <c r="N313" s="28"/>
      <c r="O313" s="28"/>
      <c r="P313" s="28"/>
      <c r="Q313" s="27"/>
      <c r="R313" s="27"/>
      <c r="S313" s="27"/>
      <c r="T313" s="27"/>
      <c r="U313" s="28"/>
      <c r="V313" s="28"/>
      <c r="W313" s="27"/>
      <c r="X313" s="32" t="str">
        <f aca="false">IF(A313="","",IF(OR(C313="Planned",C313="Contacted",C313="Meeting",C313="Proposal sent",C313="Negotiation"),"Yes","No"))</f>
        <v/>
      </c>
      <c r="Y313" s="32" t="str">
        <f aca="false">IF(A313="","",IF(AND(C313="Won",P313&lt;&gt;"",P313&lt;=S_Today+S_RenewalDays,COUNTIFS($A$3:$A$502,A313,$F$3:$F$502,"Yes",$X$3:$X$502,"Yes")=0),"Renewal due",IF(X313&lt;&gt;"Yes","",IF(OR(L313="",M313=""),"Missing next action",IF(M313&lt;S_Today,"Overdue",IF(AND(C313="Contacted",_xlfn.MAXIFS(Interactions!$A$3:$A$502,Interactions!$B$3:$B$502,A313,Interactions!$F$3:$F$502,"Sent by us")&gt;0,_xlfn.MAXIFS(Interactions!$A$3:$A$502,Interactions!$B$3:$B$502,A313,Interactions!$F$3:$F$502,"Sent by us")&lt;=S_Today-S_NoReplyDays,MAX(_xlfn.MAXIFS(Interactions!$A$3:$A$502,Interactions!$B$3:$B$502,A313,Interactions!$F$3:$F$502,"Received from them"),_xlfn.MAXIFS(Interactions!$A$3:$A$502,Interactions!$B$3:$B$502,A313,Interactions!$F$3:$F$502,"Two-way"))&lt;_xlfn.MAXIFS(Interactions!$A$3:$A$502,Interactions!$B$3:$B$502,A313,Interactions!$F$3:$F$502,"Sent by us")),"No reply",IF(M313&lt;=S_Today+7,"Due this week","")))))))</f>
        <v/>
      </c>
      <c r="Z313" s="34" t="str">
        <f aca="false">IF(OR(A313="",Y313=""),"",IF(Y313="Renewal due",100000,IF(Y313="Overdue",200000,IF(Y313="No reply",300000,IF(Y313="Due this week",400000,500000))))+IF(Y313="Renewal due",P313-40000,IF(Y313="Missing next action",0,M313-40000))+ROW()/100000)</f>
        <v/>
      </c>
      <c r="AA313" s="32" t="str">
        <f aca="false">IF(A313="","",_xlfn.TEXTJOIN(", ",TRUE(),IF(AND(X313="Yes",D313=""),"No owner",IF(AND(D313&lt;&gt;"",COUNTIFS(R_TeamName,D313,R_TeamActive,"No")&gt;0),"Needs new owner","")),IF(AND(OR(C313="Proposal sent",C313="Negotiation"),H313="",I313="",K313=""),"Add package or proposed value",""),IF(AND(C313="Won",OR(P313="",V313="")),"Won needs renewal date and closed on",""),IF(AND(C313="Won",G313="Cash",J313=""),"Add agreed value",""),IF(AND(C313="Lost",OR(S313="",V313="")),"Lost needs reason and closed on",""),IF(AND(C313="Nurture",OR(T313="",U313="")),"Nurture needs reason and date","")))</f>
        <v/>
      </c>
      <c r="AB313" s="34" t="str">
        <f aca="false">IF(AND(C313="Won",V313&lt;&gt;"",V313&gt;=S_SemStart,V313&lt;=S_SemEnd),V313+ROW()/100000,"")</f>
        <v/>
      </c>
      <c r="AC313" s="34" t="str">
        <f aca="false">IF(AND(C313="Lost",V313&lt;&gt;"",V313&gt;=S_SemStart,V313&lt;=S_SemEnd),V313+ROW()/100000,"")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9"/>
      <c r="J314" s="29"/>
      <c r="K314" s="27"/>
      <c r="L314" s="27"/>
      <c r="M314" s="28"/>
      <c r="N314" s="28"/>
      <c r="O314" s="28"/>
      <c r="P314" s="28"/>
      <c r="Q314" s="27"/>
      <c r="R314" s="27"/>
      <c r="S314" s="27"/>
      <c r="T314" s="27"/>
      <c r="U314" s="28"/>
      <c r="V314" s="28"/>
      <c r="W314" s="27"/>
      <c r="X314" s="32" t="str">
        <f aca="false">IF(A314="","",IF(OR(C314="Planned",C314="Contacted",C314="Meeting",C314="Proposal sent",C314="Negotiation"),"Yes","No"))</f>
        <v/>
      </c>
      <c r="Y314" s="32" t="str">
        <f aca="false">IF(A314="","",IF(AND(C314="Won",P314&lt;&gt;"",P314&lt;=S_Today+S_RenewalDays,COUNTIFS($A$3:$A$502,A314,$F$3:$F$502,"Yes",$X$3:$X$502,"Yes")=0),"Renewal due",IF(X314&lt;&gt;"Yes","",IF(OR(L314="",M314=""),"Missing next action",IF(M314&lt;S_Today,"Overdue",IF(AND(C314="Contacted",_xlfn.MAXIFS(Interactions!$A$3:$A$502,Interactions!$B$3:$B$502,A314,Interactions!$F$3:$F$502,"Sent by us")&gt;0,_xlfn.MAXIFS(Interactions!$A$3:$A$502,Interactions!$B$3:$B$502,A314,Interactions!$F$3:$F$502,"Sent by us")&lt;=S_Today-S_NoReplyDays,MAX(_xlfn.MAXIFS(Interactions!$A$3:$A$502,Interactions!$B$3:$B$502,A314,Interactions!$F$3:$F$502,"Received from them"),_xlfn.MAXIFS(Interactions!$A$3:$A$502,Interactions!$B$3:$B$502,A314,Interactions!$F$3:$F$502,"Two-way"))&lt;_xlfn.MAXIFS(Interactions!$A$3:$A$502,Interactions!$B$3:$B$502,A314,Interactions!$F$3:$F$502,"Sent by us")),"No reply",IF(M314&lt;=S_Today+7,"Due this week","")))))))</f>
        <v/>
      </c>
      <c r="Z314" s="34" t="str">
        <f aca="false">IF(OR(A314="",Y314=""),"",IF(Y314="Renewal due",100000,IF(Y314="Overdue",200000,IF(Y314="No reply",300000,IF(Y314="Due this week",400000,500000))))+IF(Y314="Renewal due",P314-40000,IF(Y314="Missing next action",0,M314-40000))+ROW()/100000)</f>
        <v/>
      </c>
      <c r="AA314" s="32" t="str">
        <f aca="false">IF(A314="","",_xlfn.TEXTJOIN(", ",TRUE(),IF(AND(X314="Yes",D314=""),"No owner",IF(AND(D314&lt;&gt;"",COUNTIFS(R_TeamName,D314,R_TeamActive,"No")&gt;0),"Needs new owner","")),IF(AND(OR(C314="Proposal sent",C314="Negotiation"),H314="",I314="",K314=""),"Add package or proposed value",""),IF(AND(C314="Won",OR(P314="",V314="")),"Won needs renewal date and closed on",""),IF(AND(C314="Won",G314="Cash",J314=""),"Add agreed value",""),IF(AND(C314="Lost",OR(S314="",V314="")),"Lost needs reason and closed on",""),IF(AND(C314="Nurture",OR(T314="",U314="")),"Nurture needs reason and date","")))</f>
        <v/>
      </c>
      <c r="AB314" s="34" t="str">
        <f aca="false">IF(AND(C314="Won",V314&lt;&gt;"",V314&gt;=S_SemStart,V314&lt;=S_SemEnd),V314+ROW()/100000,"")</f>
        <v/>
      </c>
      <c r="AC314" s="34" t="str">
        <f aca="false">IF(AND(C314="Lost",V314&lt;&gt;"",V314&gt;=S_SemStart,V314&lt;=S_SemEnd),V314+ROW()/100000,"")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9"/>
      <c r="J315" s="29"/>
      <c r="K315" s="27"/>
      <c r="L315" s="27"/>
      <c r="M315" s="28"/>
      <c r="N315" s="28"/>
      <c r="O315" s="28"/>
      <c r="P315" s="28"/>
      <c r="Q315" s="27"/>
      <c r="R315" s="27"/>
      <c r="S315" s="27"/>
      <c r="T315" s="27"/>
      <c r="U315" s="28"/>
      <c r="V315" s="28"/>
      <c r="W315" s="27"/>
      <c r="X315" s="32" t="str">
        <f aca="false">IF(A315="","",IF(OR(C315="Planned",C315="Contacted",C315="Meeting",C315="Proposal sent",C315="Negotiation"),"Yes","No"))</f>
        <v/>
      </c>
      <c r="Y315" s="32" t="str">
        <f aca="false">IF(A315="","",IF(AND(C315="Won",P315&lt;&gt;"",P315&lt;=S_Today+S_RenewalDays,COUNTIFS($A$3:$A$502,A315,$F$3:$F$502,"Yes",$X$3:$X$502,"Yes")=0),"Renewal due",IF(X315&lt;&gt;"Yes","",IF(OR(L315="",M315=""),"Missing next action",IF(M315&lt;S_Today,"Overdue",IF(AND(C315="Contacted",_xlfn.MAXIFS(Interactions!$A$3:$A$502,Interactions!$B$3:$B$502,A315,Interactions!$F$3:$F$502,"Sent by us")&gt;0,_xlfn.MAXIFS(Interactions!$A$3:$A$502,Interactions!$B$3:$B$502,A315,Interactions!$F$3:$F$502,"Sent by us")&lt;=S_Today-S_NoReplyDays,MAX(_xlfn.MAXIFS(Interactions!$A$3:$A$502,Interactions!$B$3:$B$502,A315,Interactions!$F$3:$F$502,"Received from them"),_xlfn.MAXIFS(Interactions!$A$3:$A$502,Interactions!$B$3:$B$502,A315,Interactions!$F$3:$F$502,"Two-way"))&lt;_xlfn.MAXIFS(Interactions!$A$3:$A$502,Interactions!$B$3:$B$502,A315,Interactions!$F$3:$F$502,"Sent by us")),"No reply",IF(M315&lt;=S_Today+7,"Due this week","")))))))</f>
        <v/>
      </c>
      <c r="Z315" s="34" t="str">
        <f aca="false">IF(OR(A315="",Y315=""),"",IF(Y315="Renewal due",100000,IF(Y315="Overdue",200000,IF(Y315="No reply",300000,IF(Y315="Due this week",400000,500000))))+IF(Y315="Renewal due",P315-40000,IF(Y315="Missing next action",0,M315-40000))+ROW()/100000)</f>
        <v/>
      </c>
      <c r="AA315" s="32" t="str">
        <f aca="false">IF(A315="","",_xlfn.TEXTJOIN(", ",TRUE(),IF(AND(X315="Yes",D315=""),"No owner",IF(AND(D315&lt;&gt;"",COUNTIFS(R_TeamName,D315,R_TeamActive,"No")&gt;0),"Needs new owner","")),IF(AND(OR(C315="Proposal sent",C315="Negotiation"),H315="",I315="",K315=""),"Add package or proposed value",""),IF(AND(C315="Won",OR(P315="",V315="")),"Won needs renewal date and closed on",""),IF(AND(C315="Won",G315="Cash",J315=""),"Add agreed value",""),IF(AND(C315="Lost",OR(S315="",V315="")),"Lost needs reason and closed on",""),IF(AND(C315="Nurture",OR(T315="",U315="")),"Nurture needs reason and date","")))</f>
        <v/>
      </c>
      <c r="AB315" s="34" t="str">
        <f aca="false">IF(AND(C315="Won",V315&lt;&gt;"",V315&gt;=S_SemStart,V315&lt;=S_SemEnd),V315+ROW()/100000,"")</f>
        <v/>
      </c>
      <c r="AC315" s="34" t="str">
        <f aca="false">IF(AND(C315="Lost",V315&lt;&gt;"",V315&gt;=S_SemStart,V315&lt;=S_SemEnd),V315+ROW()/100000,"")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9"/>
      <c r="J316" s="29"/>
      <c r="K316" s="27"/>
      <c r="L316" s="27"/>
      <c r="M316" s="28"/>
      <c r="N316" s="28"/>
      <c r="O316" s="28"/>
      <c r="P316" s="28"/>
      <c r="Q316" s="27"/>
      <c r="R316" s="27"/>
      <c r="S316" s="27"/>
      <c r="T316" s="27"/>
      <c r="U316" s="28"/>
      <c r="V316" s="28"/>
      <c r="W316" s="27"/>
      <c r="X316" s="32" t="str">
        <f aca="false">IF(A316="","",IF(OR(C316="Planned",C316="Contacted",C316="Meeting",C316="Proposal sent",C316="Negotiation"),"Yes","No"))</f>
        <v/>
      </c>
      <c r="Y316" s="32" t="str">
        <f aca="false">IF(A316="","",IF(AND(C316="Won",P316&lt;&gt;"",P316&lt;=S_Today+S_RenewalDays,COUNTIFS($A$3:$A$502,A316,$F$3:$F$502,"Yes",$X$3:$X$502,"Yes")=0),"Renewal due",IF(X316&lt;&gt;"Yes","",IF(OR(L316="",M316=""),"Missing next action",IF(M316&lt;S_Today,"Overdue",IF(AND(C316="Contacted",_xlfn.MAXIFS(Interactions!$A$3:$A$502,Interactions!$B$3:$B$502,A316,Interactions!$F$3:$F$502,"Sent by us")&gt;0,_xlfn.MAXIFS(Interactions!$A$3:$A$502,Interactions!$B$3:$B$502,A316,Interactions!$F$3:$F$502,"Sent by us")&lt;=S_Today-S_NoReplyDays,MAX(_xlfn.MAXIFS(Interactions!$A$3:$A$502,Interactions!$B$3:$B$502,A316,Interactions!$F$3:$F$502,"Received from them"),_xlfn.MAXIFS(Interactions!$A$3:$A$502,Interactions!$B$3:$B$502,A316,Interactions!$F$3:$F$502,"Two-way"))&lt;_xlfn.MAXIFS(Interactions!$A$3:$A$502,Interactions!$B$3:$B$502,A316,Interactions!$F$3:$F$502,"Sent by us")),"No reply",IF(M316&lt;=S_Today+7,"Due this week","")))))))</f>
        <v/>
      </c>
      <c r="Z316" s="34" t="str">
        <f aca="false">IF(OR(A316="",Y316=""),"",IF(Y316="Renewal due",100000,IF(Y316="Overdue",200000,IF(Y316="No reply",300000,IF(Y316="Due this week",400000,500000))))+IF(Y316="Renewal due",P316-40000,IF(Y316="Missing next action",0,M316-40000))+ROW()/100000)</f>
        <v/>
      </c>
      <c r="AA316" s="32" t="str">
        <f aca="false">IF(A316="","",_xlfn.TEXTJOIN(", ",TRUE(),IF(AND(X316="Yes",D316=""),"No owner",IF(AND(D316&lt;&gt;"",COUNTIFS(R_TeamName,D316,R_TeamActive,"No")&gt;0),"Needs new owner","")),IF(AND(OR(C316="Proposal sent",C316="Negotiation"),H316="",I316="",K316=""),"Add package or proposed value",""),IF(AND(C316="Won",OR(P316="",V316="")),"Won needs renewal date and closed on",""),IF(AND(C316="Won",G316="Cash",J316=""),"Add agreed value",""),IF(AND(C316="Lost",OR(S316="",V316="")),"Lost needs reason and closed on",""),IF(AND(C316="Nurture",OR(T316="",U316="")),"Nurture needs reason and date","")))</f>
        <v/>
      </c>
      <c r="AB316" s="34" t="str">
        <f aca="false">IF(AND(C316="Won",V316&lt;&gt;"",V316&gt;=S_SemStart,V316&lt;=S_SemEnd),V316+ROW()/100000,"")</f>
        <v/>
      </c>
      <c r="AC316" s="34" t="str">
        <f aca="false">IF(AND(C316="Lost",V316&lt;&gt;"",V316&gt;=S_SemStart,V316&lt;=S_SemEnd),V316+ROW()/100000,"")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9"/>
      <c r="J317" s="29"/>
      <c r="K317" s="27"/>
      <c r="L317" s="27"/>
      <c r="M317" s="28"/>
      <c r="N317" s="28"/>
      <c r="O317" s="28"/>
      <c r="P317" s="28"/>
      <c r="Q317" s="27"/>
      <c r="R317" s="27"/>
      <c r="S317" s="27"/>
      <c r="T317" s="27"/>
      <c r="U317" s="28"/>
      <c r="V317" s="28"/>
      <c r="W317" s="27"/>
      <c r="X317" s="32" t="str">
        <f aca="false">IF(A317="","",IF(OR(C317="Planned",C317="Contacted",C317="Meeting",C317="Proposal sent",C317="Negotiation"),"Yes","No"))</f>
        <v/>
      </c>
      <c r="Y317" s="32" t="str">
        <f aca="false">IF(A317="","",IF(AND(C317="Won",P317&lt;&gt;"",P317&lt;=S_Today+S_RenewalDays,COUNTIFS($A$3:$A$502,A317,$F$3:$F$502,"Yes",$X$3:$X$502,"Yes")=0),"Renewal due",IF(X317&lt;&gt;"Yes","",IF(OR(L317="",M317=""),"Missing next action",IF(M317&lt;S_Today,"Overdue",IF(AND(C317="Contacted",_xlfn.MAXIFS(Interactions!$A$3:$A$502,Interactions!$B$3:$B$502,A317,Interactions!$F$3:$F$502,"Sent by us")&gt;0,_xlfn.MAXIFS(Interactions!$A$3:$A$502,Interactions!$B$3:$B$502,A317,Interactions!$F$3:$F$502,"Sent by us")&lt;=S_Today-S_NoReplyDays,MAX(_xlfn.MAXIFS(Interactions!$A$3:$A$502,Interactions!$B$3:$B$502,A317,Interactions!$F$3:$F$502,"Received from them"),_xlfn.MAXIFS(Interactions!$A$3:$A$502,Interactions!$B$3:$B$502,A317,Interactions!$F$3:$F$502,"Two-way"))&lt;_xlfn.MAXIFS(Interactions!$A$3:$A$502,Interactions!$B$3:$B$502,A317,Interactions!$F$3:$F$502,"Sent by us")),"No reply",IF(M317&lt;=S_Today+7,"Due this week","")))))))</f>
        <v/>
      </c>
      <c r="Z317" s="34" t="str">
        <f aca="false">IF(OR(A317="",Y317=""),"",IF(Y317="Renewal due",100000,IF(Y317="Overdue",200000,IF(Y317="No reply",300000,IF(Y317="Due this week",400000,500000))))+IF(Y317="Renewal due",P317-40000,IF(Y317="Missing next action",0,M317-40000))+ROW()/100000)</f>
        <v/>
      </c>
      <c r="AA317" s="32" t="str">
        <f aca="false">IF(A317="","",_xlfn.TEXTJOIN(", ",TRUE(),IF(AND(X317="Yes",D317=""),"No owner",IF(AND(D317&lt;&gt;"",COUNTIFS(R_TeamName,D317,R_TeamActive,"No")&gt;0),"Needs new owner","")),IF(AND(OR(C317="Proposal sent",C317="Negotiation"),H317="",I317="",K317=""),"Add package or proposed value",""),IF(AND(C317="Won",OR(P317="",V317="")),"Won needs renewal date and closed on",""),IF(AND(C317="Won",G317="Cash",J317=""),"Add agreed value",""),IF(AND(C317="Lost",OR(S317="",V317="")),"Lost needs reason and closed on",""),IF(AND(C317="Nurture",OR(T317="",U317="")),"Nurture needs reason and date","")))</f>
        <v/>
      </c>
      <c r="AB317" s="34" t="str">
        <f aca="false">IF(AND(C317="Won",V317&lt;&gt;"",V317&gt;=S_SemStart,V317&lt;=S_SemEnd),V317+ROW()/100000,"")</f>
        <v/>
      </c>
      <c r="AC317" s="34" t="str">
        <f aca="false">IF(AND(C317="Lost",V317&lt;&gt;"",V317&gt;=S_SemStart,V317&lt;=S_SemEnd),V317+ROW()/100000,"")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9"/>
      <c r="J318" s="29"/>
      <c r="K318" s="27"/>
      <c r="L318" s="27"/>
      <c r="M318" s="28"/>
      <c r="N318" s="28"/>
      <c r="O318" s="28"/>
      <c r="P318" s="28"/>
      <c r="Q318" s="27"/>
      <c r="R318" s="27"/>
      <c r="S318" s="27"/>
      <c r="T318" s="27"/>
      <c r="U318" s="28"/>
      <c r="V318" s="28"/>
      <c r="W318" s="27"/>
      <c r="X318" s="32" t="str">
        <f aca="false">IF(A318="","",IF(OR(C318="Planned",C318="Contacted",C318="Meeting",C318="Proposal sent",C318="Negotiation"),"Yes","No"))</f>
        <v/>
      </c>
      <c r="Y318" s="32" t="str">
        <f aca="false">IF(A318="","",IF(AND(C318="Won",P318&lt;&gt;"",P318&lt;=S_Today+S_RenewalDays,COUNTIFS($A$3:$A$502,A318,$F$3:$F$502,"Yes",$X$3:$X$502,"Yes")=0),"Renewal due",IF(X318&lt;&gt;"Yes","",IF(OR(L318="",M318=""),"Missing next action",IF(M318&lt;S_Today,"Overdue",IF(AND(C318="Contacted",_xlfn.MAXIFS(Interactions!$A$3:$A$502,Interactions!$B$3:$B$502,A318,Interactions!$F$3:$F$502,"Sent by us")&gt;0,_xlfn.MAXIFS(Interactions!$A$3:$A$502,Interactions!$B$3:$B$502,A318,Interactions!$F$3:$F$502,"Sent by us")&lt;=S_Today-S_NoReplyDays,MAX(_xlfn.MAXIFS(Interactions!$A$3:$A$502,Interactions!$B$3:$B$502,A318,Interactions!$F$3:$F$502,"Received from them"),_xlfn.MAXIFS(Interactions!$A$3:$A$502,Interactions!$B$3:$B$502,A318,Interactions!$F$3:$F$502,"Two-way"))&lt;_xlfn.MAXIFS(Interactions!$A$3:$A$502,Interactions!$B$3:$B$502,A318,Interactions!$F$3:$F$502,"Sent by us")),"No reply",IF(M318&lt;=S_Today+7,"Due this week","")))))))</f>
        <v/>
      </c>
      <c r="Z318" s="34" t="str">
        <f aca="false">IF(OR(A318="",Y318=""),"",IF(Y318="Renewal due",100000,IF(Y318="Overdue",200000,IF(Y318="No reply",300000,IF(Y318="Due this week",400000,500000))))+IF(Y318="Renewal due",P318-40000,IF(Y318="Missing next action",0,M318-40000))+ROW()/100000)</f>
        <v/>
      </c>
      <c r="AA318" s="32" t="str">
        <f aca="false">IF(A318="","",_xlfn.TEXTJOIN(", ",TRUE(),IF(AND(X318="Yes",D318=""),"No owner",IF(AND(D318&lt;&gt;"",COUNTIFS(R_TeamName,D318,R_TeamActive,"No")&gt;0),"Needs new owner","")),IF(AND(OR(C318="Proposal sent",C318="Negotiation"),H318="",I318="",K318=""),"Add package or proposed value",""),IF(AND(C318="Won",OR(P318="",V318="")),"Won needs renewal date and closed on",""),IF(AND(C318="Won",G318="Cash",J318=""),"Add agreed value",""),IF(AND(C318="Lost",OR(S318="",V318="")),"Lost needs reason and closed on",""),IF(AND(C318="Nurture",OR(T318="",U318="")),"Nurture needs reason and date","")))</f>
        <v/>
      </c>
      <c r="AB318" s="34" t="str">
        <f aca="false">IF(AND(C318="Won",V318&lt;&gt;"",V318&gt;=S_SemStart,V318&lt;=S_SemEnd),V318+ROW()/100000,"")</f>
        <v/>
      </c>
      <c r="AC318" s="34" t="str">
        <f aca="false">IF(AND(C318="Lost",V318&lt;&gt;"",V318&gt;=S_SemStart,V318&lt;=S_SemEnd),V318+ROW()/100000,"")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9"/>
      <c r="J319" s="29"/>
      <c r="K319" s="27"/>
      <c r="L319" s="27"/>
      <c r="M319" s="28"/>
      <c r="N319" s="28"/>
      <c r="O319" s="28"/>
      <c r="P319" s="28"/>
      <c r="Q319" s="27"/>
      <c r="R319" s="27"/>
      <c r="S319" s="27"/>
      <c r="T319" s="27"/>
      <c r="U319" s="28"/>
      <c r="V319" s="28"/>
      <c r="W319" s="27"/>
      <c r="X319" s="32" t="str">
        <f aca="false">IF(A319="","",IF(OR(C319="Planned",C319="Contacted",C319="Meeting",C319="Proposal sent",C319="Negotiation"),"Yes","No"))</f>
        <v/>
      </c>
      <c r="Y319" s="32" t="str">
        <f aca="false">IF(A319="","",IF(AND(C319="Won",P319&lt;&gt;"",P319&lt;=S_Today+S_RenewalDays,COUNTIFS($A$3:$A$502,A319,$F$3:$F$502,"Yes",$X$3:$X$502,"Yes")=0),"Renewal due",IF(X319&lt;&gt;"Yes","",IF(OR(L319="",M319=""),"Missing next action",IF(M319&lt;S_Today,"Overdue",IF(AND(C319="Contacted",_xlfn.MAXIFS(Interactions!$A$3:$A$502,Interactions!$B$3:$B$502,A319,Interactions!$F$3:$F$502,"Sent by us")&gt;0,_xlfn.MAXIFS(Interactions!$A$3:$A$502,Interactions!$B$3:$B$502,A319,Interactions!$F$3:$F$502,"Sent by us")&lt;=S_Today-S_NoReplyDays,MAX(_xlfn.MAXIFS(Interactions!$A$3:$A$502,Interactions!$B$3:$B$502,A319,Interactions!$F$3:$F$502,"Received from them"),_xlfn.MAXIFS(Interactions!$A$3:$A$502,Interactions!$B$3:$B$502,A319,Interactions!$F$3:$F$502,"Two-way"))&lt;_xlfn.MAXIFS(Interactions!$A$3:$A$502,Interactions!$B$3:$B$502,A319,Interactions!$F$3:$F$502,"Sent by us")),"No reply",IF(M319&lt;=S_Today+7,"Due this week","")))))))</f>
        <v/>
      </c>
      <c r="Z319" s="34" t="str">
        <f aca="false">IF(OR(A319="",Y319=""),"",IF(Y319="Renewal due",100000,IF(Y319="Overdue",200000,IF(Y319="No reply",300000,IF(Y319="Due this week",400000,500000))))+IF(Y319="Renewal due",P319-40000,IF(Y319="Missing next action",0,M319-40000))+ROW()/100000)</f>
        <v/>
      </c>
      <c r="AA319" s="32" t="str">
        <f aca="false">IF(A319="","",_xlfn.TEXTJOIN(", ",TRUE(),IF(AND(X319="Yes",D319=""),"No owner",IF(AND(D319&lt;&gt;"",COUNTIFS(R_TeamName,D319,R_TeamActive,"No")&gt;0),"Needs new owner","")),IF(AND(OR(C319="Proposal sent",C319="Negotiation"),H319="",I319="",K319=""),"Add package or proposed value",""),IF(AND(C319="Won",OR(P319="",V319="")),"Won needs renewal date and closed on",""),IF(AND(C319="Won",G319="Cash",J319=""),"Add agreed value",""),IF(AND(C319="Lost",OR(S319="",V319="")),"Lost needs reason and closed on",""),IF(AND(C319="Nurture",OR(T319="",U319="")),"Nurture needs reason and date","")))</f>
        <v/>
      </c>
      <c r="AB319" s="34" t="str">
        <f aca="false">IF(AND(C319="Won",V319&lt;&gt;"",V319&gt;=S_SemStart,V319&lt;=S_SemEnd),V319+ROW()/100000,"")</f>
        <v/>
      </c>
      <c r="AC319" s="34" t="str">
        <f aca="false">IF(AND(C319="Lost",V319&lt;&gt;"",V319&gt;=S_SemStart,V319&lt;=S_SemEnd),V319+ROW()/100000,"")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9"/>
      <c r="J320" s="29"/>
      <c r="K320" s="27"/>
      <c r="L320" s="27"/>
      <c r="M320" s="28"/>
      <c r="N320" s="28"/>
      <c r="O320" s="28"/>
      <c r="P320" s="28"/>
      <c r="Q320" s="27"/>
      <c r="R320" s="27"/>
      <c r="S320" s="27"/>
      <c r="T320" s="27"/>
      <c r="U320" s="28"/>
      <c r="V320" s="28"/>
      <c r="W320" s="27"/>
      <c r="X320" s="32" t="str">
        <f aca="false">IF(A320="","",IF(OR(C320="Planned",C320="Contacted",C320="Meeting",C320="Proposal sent",C320="Negotiation"),"Yes","No"))</f>
        <v/>
      </c>
      <c r="Y320" s="32" t="str">
        <f aca="false">IF(A320="","",IF(AND(C320="Won",P320&lt;&gt;"",P320&lt;=S_Today+S_RenewalDays,COUNTIFS($A$3:$A$502,A320,$F$3:$F$502,"Yes",$X$3:$X$502,"Yes")=0),"Renewal due",IF(X320&lt;&gt;"Yes","",IF(OR(L320="",M320=""),"Missing next action",IF(M320&lt;S_Today,"Overdue",IF(AND(C320="Contacted",_xlfn.MAXIFS(Interactions!$A$3:$A$502,Interactions!$B$3:$B$502,A320,Interactions!$F$3:$F$502,"Sent by us")&gt;0,_xlfn.MAXIFS(Interactions!$A$3:$A$502,Interactions!$B$3:$B$502,A320,Interactions!$F$3:$F$502,"Sent by us")&lt;=S_Today-S_NoReplyDays,MAX(_xlfn.MAXIFS(Interactions!$A$3:$A$502,Interactions!$B$3:$B$502,A320,Interactions!$F$3:$F$502,"Received from them"),_xlfn.MAXIFS(Interactions!$A$3:$A$502,Interactions!$B$3:$B$502,A320,Interactions!$F$3:$F$502,"Two-way"))&lt;_xlfn.MAXIFS(Interactions!$A$3:$A$502,Interactions!$B$3:$B$502,A320,Interactions!$F$3:$F$502,"Sent by us")),"No reply",IF(M320&lt;=S_Today+7,"Due this week","")))))))</f>
        <v/>
      </c>
      <c r="Z320" s="34" t="str">
        <f aca="false">IF(OR(A320="",Y320=""),"",IF(Y320="Renewal due",100000,IF(Y320="Overdue",200000,IF(Y320="No reply",300000,IF(Y320="Due this week",400000,500000))))+IF(Y320="Renewal due",P320-40000,IF(Y320="Missing next action",0,M320-40000))+ROW()/100000)</f>
        <v/>
      </c>
      <c r="AA320" s="32" t="str">
        <f aca="false">IF(A320="","",_xlfn.TEXTJOIN(", ",TRUE(),IF(AND(X320="Yes",D320=""),"No owner",IF(AND(D320&lt;&gt;"",COUNTIFS(R_TeamName,D320,R_TeamActive,"No")&gt;0),"Needs new owner","")),IF(AND(OR(C320="Proposal sent",C320="Negotiation"),H320="",I320="",K320=""),"Add package or proposed value",""),IF(AND(C320="Won",OR(P320="",V320="")),"Won needs renewal date and closed on",""),IF(AND(C320="Won",G320="Cash",J320=""),"Add agreed value",""),IF(AND(C320="Lost",OR(S320="",V320="")),"Lost needs reason and closed on",""),IF(AND(C320="Nurture",OR(T320="",U320="")),"Nurture needs reason and date","")))</f>
        <v/>
      </c>
      <c r="AB320" s="34" t="str">
        <f aca="false">IF(AND(C320="Won",V320&lt;&gt;"",V320&gt;=S_SemStart,V320&lt;=S_SemEnd),V320+ROW()/100000,"")</f>
        <v/>
      </c>
      <c r="AC320" s="34" t="str">
        <f aca="false">IF(AND(C320="Lost",V320&lt;&gt;"",V320&gt;=S_SemStart,V320&lt;=S_SemEnd),V320+ROW()/100000,"")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9"/>
      <c r="J321" s="29"/>
      <c r="K321" s="27"/>
      <c r="L321" s="27"/>
      <c r="M321" s="28"/>
      <c r="N321" s="28"/>
      <c r="O321" s="28"/>
      <c r="P321" s="28"/>
      <c r="Q321" s="27"/>
      <c r="R321" s="27"/>
      <c r="S321" s="27"/>
      <c r="T321" s="27"/>
      <c r="U321" s="28"/>
      <c r="V321" s="28"/>
      <c r="W321" s="27"/>
      <c r="X321" s="32" t="str">
        <f aca="false">IF(A321="","",IF(OR(C321="Planned",C321="Contacted",C321="Meeting",C321="Proposal sent",C321="Negotiation"),"Yes","No"))</f>
        <v/>
      </c>
      <c r="Y321" s="32" t="str">
        <f aca="false">IF(A321="","",IF(AND(C321="Won",P321&lt;&gt;"",P321&lt;=S_Today+S_RenewalDays,COUNTIFS($A$3:$A$502,A321,$F$3:$F$502,"Yes",$X$3:$X$502,"Yes")=0),"Renewal due",IF(X321&lt;&gt;"Yes","",IF(OR(L321="",M321=""),"Missing next action",IF(M321&lt;S_Today,"Overdue",IF(AND(C321="Contacted",_xlfn.MAXIFS(Interactions!$A$3:$A$502,Interactions!$B$3:$B$502,A321,Interactions!$F$3:$F$502,"Sent by us")&gt;0,_xlfn.MAXIFS(Interactions!$A$3:$A$502,Interactions!$B$3:$B$502,A321,Interactions!$F$3:$F$502,"Sent by us")&lt;=S_Today-S_NoReplyDays,MAX(_xlfn.MAXIFS(Interactions!$A$3:$A$502,Interactions!$B$3:$B$502,A321,Interactions!$F$3:$F$502,"Received from them"),_xlfn.MAXIFS(Interactions!$A$3:$A$502,Interactions!$B$3:$B$502,A321,Interactions!$F$3:$F$502,"Two-way"))&lt;_xlfn.MAXIFS(Interactions!$A$3:$A$502,Interactions!$B$3:$B$502,A321,Interactions!$F$3:$F$502,"Sent by us")),"No reply",IF(M321&lt;=S_Today+7,"Due this week","")))))))</f>
        <v/>
      </c>
      <c r="Z321" s="34" t="str">
        <f aca="false">IF(OR(A321="",Y321=""),"",IF(Y321="Renewal due",100000,IF(Y321="Overdue",200000,IF(Y321="No reply",300000,IF(Y321="Due this week",400000,500000))))+IF(Y321="Renewal due",P321-40000,IF(Y321="Missing next action",0,M321-40000))+ROW()/100000)</f>
        <v/>
      </c>
      <c r="AA321" s="32" t="str">
        <f aca="false">IF(A321="","",_xlfn.TEXTJOIN(", ",TRUE(),IF(AND(X321="Yes",D321=""),"No owner",IF(AND(D321&lt;&gt;"",COUNTIFS(R_TeamName,D321,R_TeamActive,"No")&gt;0),"Needs new owner","")),IF(AND(OR(C321="Proposal sent",C321="Negotiation"),H321="",I321="",K321=""),"Add package or proposed value",""),IF(AND(C321="Won",OR(P321="",V321="")),"Won needs renewal date and closed on",""),IF(AND(C321="Won",G321="Cash",J321=""),"Add agreed value",""),IF(AND(C321="Lost",OR(S321="",V321="")),"Lost needs reason and closed on",""),IF(AND(C321="Nurture",OR(T321="",U321="")),"Nurture needs reason and date","")))</f>
        <v/>
      </c>
      <c r="AB321" s="34" t="str">
        <f aca="false">IF(AND(C321="Won",V321&lt;&gt;"",V321&gt;=S_SemStart,V321&lt;=S_SemEnd),V321+ROW()/100000,"")</f>
        <v/>
      </c>
      <c r="AC321" s="34" t="str">
        <f aca="false">IF(AND(C321="Lost",V321&lt;&gt;"",V321&gt;=S_SemStart,V321&lt;=S_SemEnd),V321+ROW()/100000,"")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9"/>
      <c r="J322" s="29"/>
      <c r="K322" s="27"/>
      <c r="L322" s="27"/>
      <c r="M322" s="28"/>
      <c r="N322" s="28"/>
      <c r="O322" s="28"/>
      <c r="P322" s="28"/>
      <c r="Q322" s="27"/>
      <c r="R322" s="27"/>
      <c r="S322" s="27"/>
      <c r="T322" s="27"/>
      <c r="U322" s="28"/>
      <c r="V322" s="28"/>
      <c r="W322" s="27"/>
      <c r="X322" s="32" t="str">
        <f aca="false">IF(A322="","",IF(OR(C322="Planned",C322="Contacted",C322="Meeting",C322="Proposal sent",C322="Negotiation"),"Yes","No"))</f>
        <v/>
      </c>
      <c r="Y322" s="32" t="str">
        <f aca="false">IF(A322="","",IF(AND(C322="Won",P322&lt;&gt;"",P322&lt;=S_Today+S_RenewalDays,COUNTIFS($A$3:$A$502,A322,$F$3:$F$502,"Yes",$X$3:$X$502,"Yes")=0),"Renewal due",IF(X322&lt;&gt;"Yes","",IF(OR(L322="",M322=""),"Missing next action",IF(M322&lt;S_Today,"Overdue",IF(AND(C322="Contacted",_xlfn.MAXIFS(Interactions!$A$3:$A$502,Interactions!$B$3:$B$502,A322,Interactions!$F$3:$F$502,"Sent by us")&gt;0,_xlfn.MAXIFS(Interactions!$A$3:$A$502,Interactions!$B$3:$B$502,A322,Interactions!$F$3:$F$502,"Sent by us")&lt;=S_Today-S_NoReplyDays,MAX(_xlfn.MAXIFS(Interactions!$A$3:$A$502,Interactions!$B$3:$B$502,A322,Interactions!$F$3:$F$502,"Received from them"),_xlfn.MAXIFS(Interactions!$A$3:$A$502,Interactions!$B$3:$B$502,A322,Interactions!$F$3:$F$502,"Two-way"))&lt;_xlfn.MAXIFS(Interactions!$A$3:$A$502,Interactions!$B$3:$B$502,A322,Interactions!$F$3:$F$502,"Sent by us")),"No reply",IF(M322&lt;=S_Today+7,"Due this week","")))))))</f>
        <v/>
      </c>
      <c r="Z322" s="34" t="str">
        <f aca="false">IF(OR(A322="",Y322=""),"",IF(Y322="Renewal due",100000,IF(Y322="Overdue",200000,IF(Y322="No reply",300000,IF(Y322="Due this week",400000,500000))))+IF(Y322="Renewal due",P322-40000,IF(Y322="Missing next action",0,M322-40000))+ROW()/100000)</f>
        <v/>
      </c>
      <c r="AA322" s="32" t="str">
        <f aca="false">IF(A322="","",_xlfn.TEXTJOIN(", ",TRUE(),IF(AND(X322="Yes",D322=""),"No owner",IF(AND(D322&lt;&gt;"",COUNTIFS(R_TeamName,D322,R_TeamActive,"No")&gt;0),"Needs new owner","")),IF(AND(OR(C322="Proposal sent",C322="Negotiation"),H322="",I322="",K322=""),"Add package or proposed value",""),IF(AND(C322="Won",OR(P322="",V322="")),"Won needs renewal date and closed on",""),IF(AND(C322="Won",G322="Cash",J322=""),"Add agreed value",""),IF(AND(C322="Lost",OR(S322="",V322="")),"Lost needs reason and closed on",""),IF(AND(C322="Nurture",OR(T322="",U322="")),"Nurture needs reason and date","")))</f>
        <v/>
      </c>
      <c r="AB322" s="34" t="str">
        <f aca="false">IF(AND(C322="Won",V322&lt;&gt;"",V322&gt;=S_SemStart,V322&lt;=S_SemEnd),V322+ROW()/100000,"")</f>
        <v/>
      </c>
      <c r="AC322" s="34" t="str">
        <f aca="false">IF(AND(C322="Lost",V322&lt;&gt;"",V322&gt;=S_SemStart,V322&lt;=S_SemEnd),V322+ROW()/100000,"")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9"/>
      <c r="J323" s="29"/>
      <c r="K323" s="27"/>
      <c r="L323" s="27"/>
      <c r="M323" s="28"/>
      <c r="N323" s="28"/>
      <c r="O323" s="28"/>
      <c r="P323" s="28"/>
      <c r="Q323" s="27"/>
      <c r="R323" s="27"/>
      <c r="S323" s="27"/>
      <c r="T323" s="27"/>
      <c r="U323" s="28"/>
      <c r="V323" s="28"/>
      <c r="W323" s="27"/>
      <c r="X323" s="32" t="str">
        <f aca="false">IF(A323="","",IF(OR(C323="Planned",C323="Contacted",C323="Meeting",C323="Proposal sent",C323="Negotiation"),"Yes","No"))</f>
        <v/>
      </c>
      <c r="Y323" s="32" t="str">
        <f aca="false">IF(A323="","",IF(AND(C323="Won",P323&lt;&gt;"",P323&lt;=S_Today+S_RenewalDays,COUNTIFS($A$3:$A$502,A323,$F$3:$F$502,"Yes",$X$3:$X$502,"Yes")=0),"Renewal due",IF(X323&lt;&gt;"Yes","",IF(OR(L323="",M323=""),"Missing next action",IF(M323&lt;S_Today,"Overdue",IF(AND(C323="Contacted",_xlfn.MAXIFS(Interactions!$A$3:$A$502,Interactions!$B$3:$B$502,A323,Interactions!$F$3:$F$502,"Sent by us")&gt;0,_xlfn.MAXIFS(Interactions!$A$3:$A$502,Interactions!$B$3:$B$502,A323,Interactions!$F$3:$F$502,"Sent by us")&lt;=S_Today-S_NoReplyDays,MAX(_xlfn.MAXIFS(Interactions!$A$3:$A$502,Interactions!$B$3:$B$502,A323,Interactions!$F$3:$F$502,"Received from them"),_xlfn.MAXIFS(Interactions!$A$3:$A$502,Interactions!$B$3:$B$502,A323,Interactions!$F$3:$F$502,"Two-way"))&lt;_xlfn.MAXIFS(Interactions!$A$3:$A$502,Interactions!$B$3:$B$502,A323,Interactions!$F$3:$F$502,"Sent by us")),"No reply",IF(M323&lt;=S_Today+7,"Due this week","")))))))</f>
        <v/>
      </c>
      <c r="Z323" s="34" t="str">
        <f aca="false">IF(OR(A323="",Y323=""),"",IF(Y323="Renewal due",100000,IF(Y323="Overdue",200000,IF(Y323="No reply",300000,IF(Y323="Due this week",400000,500000))))+IF(Y323="Renewal due",P323-40000,IF(Y323="Missing next action",0,M323-40000))+ROW()/100000)</f>
        <v/>
      </c>
      <c r="AA323" s="32" t="str">
        <f aca="false">IF(A323="","",_xlfn.TEXTJOIN(", ",TRUE(),IF(AND(X323="Yes",D323=""),"No owner",IF(AND(D323&lt;&gt;"",COUNTIFS(R_TeamName,D323,R_TeamActive,"No")&gt;0),"Needs new owner","")),IF(AND(OR(C323="Proposal sent",C323="Negotiation"),H323="",I323="",K323=""),"Add package or proposed value",""),IF(AND(C323="Won",OR(P323="",V323="")),"Won needs renewal date and closed on",""),IF(AND(C323="Won",G323="Cash",J323=""),"Add agreed value",""),IF(AND(C323="Lost",OR(S323="",V323="")),"Lost needs reason and closed on",""),IF(AND(C323="Nurture",OR(T323="",U323="")),"Nurture needs reason and date","")))</f>
        <v/>
      </c>
      <c r="AB323" s="34" t="str">
        <f aca="false">IF(AND(C323="Won",V323&lt;&gt;"",V323&gt;=S_SemStart,V323&lt;=S_SemEnd),V323+ROW()/100000,"")</f>
        <v/>
      </c>
      <c r="AC323" s="34" t="str">
        <f aca="false">IF(AND(C323="Lost",V323&lt;&gt;"",V323&gt;=S_SemStart,V323&lt;=S_SemEnd),V323+ROW()/100000,"")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9"/>
      <c r="J324" s="29"/>
      <c r="K324" s="27"/>
      <c r="L324" s="27"/>
      <c r="M324" s="28"/>
      <c r="N324" s="28"/>
      <c r="O324" s="28"/>
      <c r="P324" s="28"/>
      <c r="Q324" s="27"/>
      <c r="R324" s="27"/>
      <c r="S324" s="27"/>
      <c r="T324" s="27"/>
      <c r="U324" s="28"/>
      <c r="V324" s="28"/>
      <c r="W324" s="27"/>
      <c r="X324" s="32" t="str">
        <f aca="false">IF(A324="","",IF(OR(C324="Planned",C324="Contacted",C324="Meeting",C324="Proposal sent",C324="Negotiation"),"Yes","No"))</f>
        <v/>
      </c>
      <c r="Y324" s="32" t="str">
        <f aca="false">IF(A324="","",IF(AND(C324="Won",P324&lt;&gt;"",P324&lt;=S_Today+S_RenewalDays,COUNTIFS($A$3:$A$502,A324,$F$3:$F$502,"Yes",$X$3:$X$502,"Yes")=0),"Renewal due",IF(X324&lt;&gt;"Yes","",IF(OR(L324="",M324=""),"Missing next action",IF(M324&lt;S_Today,"Overdue",IF(AND(C324="Contacted",_xlfn.MAXIFS(Interactions!$A$3:$A$502,Interactions!$B$3:$B$502,A324,Interactions!$F$3:$F$502,"Sent by us")&gt;0,_xlfn.MAXIFS(Interactions!$A$3:$A$502,Interactions!$B$3:$B$502,A324,Interactions!$F$3:$F$502,"Sent by us")&lt;=S_Today-S_NoReplyDays,MAX(_xlfn.MAXIFS(Interactions!$A$3:$A$502,Interactions!$B$3:$B$502,A324,Interactions!$F$3:$F$502,"Received from them"),_xlfn.MAXIFS(Interactions!$A$3:$A$502,Interactions!$B$3:$B$502,A324,Interactions!$F$3:$F$502,"Two-way"))&lt;_xlfn.MAXIFS(Interactions!$A$3:$A$502,Interactions!$B$3:$B$502,A324,Interactions!$F$3:$F$502,"Sent by us")),"No reply",IF(M324&lt;=S_Today+7,"Due this week","")))))))</f>
        <v/>
      </c>
      <c r="Z324" s="34" t="str">
        <f aca="false">IF(OR(A324="",Y324=""),"",IF(Y324="Renewal due",100000,IF(Y324="Overdue",200000,IF(Y324="No reply",300000,IF(Y324="Due this week",400000,500000))))+IF(Y324="Renewal due",P324-40000,IF(Y324="Missing next action",0,M324-40000))+ROW()/100000)</f>
        <v/>
      </c>
      <c r="AA324" s="32" t="str">
        <f aca="false">IF(A324="","",_xlfn.TEXTJOIN(", ",TRUE(),IF(AND(X324="Yes",D324=""),"No owner",IF(AND(D324&lt;&gt;"",COUNTIFS(R_TeamName,D324,R_TeamActive,"No")&gt;0),"Needs new owner","")),IF(AND(OR(C324="Proposal sent",C324="Negotiation"),H324="",I324="",K324=""),"Add package or proposed value",""),IF(AND(C324="Won",OR(P324="",V324="")),"Won needs renewal date and closed on",""),IF(AND(C324="Won",G324="Cash",J324=""),"Add agreed value",""),IF(AND(C324="Lost",OR(S324="",V324="")),"Lost needs reason and closed on",""),IF(AND(C324="Nurture",OR(T324="",U324="")),"Nurture needs reason and date","")))</f>
        <v/>
      </c>
      <c r="AB324" s="34" t="str">
        <f aca="false">IF(AND(C324="Won",V324&lt;&gt;"",V324&gt;=S_SemStart,V324&lt;=S_SemEnd),V324+ROW()/100000,"")</f>
        <v/>
      </c>
      <c r="AC324" s="34" t="str">
        <f aca="false">IF(AND(C324="Lost",V324&lt;&gt;"",V324&gt;=S_SemStart,V324&lt;=S_SemEnd),V324+ROW()/100000,"")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9"/>
      <c r="J325" s="29"/>
      <c r="K325" s="27"/>
      <c r="L325" s="27"/>
      <c r="M325" s="28"/>
      <c r="N325" s="28"/>
      <c r="O325" s="28"/>
      <c r="P325" s="28"/>
      <c r="Q325" s="27"/>
      <c r="R325" s="27"/>
      <c r="S325" s="27"/>
      <c r="T325" s="27"/>
      <c r="U325" s="28"/>
      <c r="V325" s="28"/>
      <c r="W325" s="27"/>
      <c r="X325" s="32" t="str">
        <f aca="false">IF(A325="","",IF(OR(C325="Planned",C325="Contacted",C325="Meeting",C325="Proposal sent",C325="Negotiation"),"Yes","No"))</f>
        <v/>
      </c>
      <c r="Y325" s="32" t="str">
        <f aca="false">IF(A325="","",IF(AND(C325="Won",P325&lt;&gt;"",P325&lt;=S_Today+S_RenewalDays,COUNTIFS($A$3:$A$502,A325,$F$3:$F$502,"Yes",$X$3:$X$502,"Yes")=0),"Renewal due",IF(X325&lt;&gt;"Yes","",IF(OR(L325="",M325=""),"Missing next action",IF(M325&lt;S_Today,"Overdue",IF(AND(C325="Contacted",_xlfn.MAXIFS(Interactions!$A$3:$A$502,Interactions!$B$3:$B$502,A325,Interactions!$F$3:$F$502,"Sent by us")&gt;0,_xlfn.MAXIFS(Interactions!$A$3:$A$502,Interactions!$B$3:$B$502,A325,Interactions!$F$3:$F$502,"Sent by us")&lt;=S_Today-S_NoReplyDays,MAX(_xlfn.MAXIFS(Interactions!$A$3:$A$502,Interactions!$B$3:$B$502,A325,Interactions!$F$3:$F$502,"Received from them"),_xlfn.MAXIFS(Interactions!$A$3:$A$502,Interactions!$B$3:$B$502,A325,Interactions!$F$3:$F$502,"Two-way"))&lt;_xlfn.MAXIFS(Interactions!$A$3:$A$502,Interactions!$B$3:$B$502,A325,Interactions!$F$3:$F$502,"Sent by us")),"No reply",IF(M325&lt;=S_Today+7,"Due this week","")))))))</f>
        <v/>
      </c>
      <c r="Z325" s="34" t="str">
        <f aca="false">IF(OR(A325="",Y325=""),"",IF(Y325="Renewal due",100000,IF(Y325="Overdue",200000,IF(Y325="No reply",300000,IF(Y325="Due this week",400000,500000))))+IF(Y325="Renewal due",P325-40000,IF(Y325="Missing next action",0,M325-40000))+ROW()/100000)</f>
        <v/>
      </c>
      <c r="AA325" s="32" t="str">
        <f aca="false">IF(A325="","",_xlfn.TEXTJOIN(", ",TRUE(),IF(AND(X325="Yes",D325=""),"No owner",IF(AND(D325&lt;&gt;"",COUNTIFS(R_TeamName,D325,R_TeamActive,"No")&gt;0),"Needs new owner","")),IF(AND(OR(C325="Proposal sent",C325="Negotiation"),H325="",I325="",K325=""),"Add package or proposed value",""),IF(AND(C325="Won",OR(P325="",V325="")),"Won needs renewal date and closed on",""),IF(AND(C325="Won",G325="Cash",J325=""),"Add agreed value",""),IF(AND(C325="Lost",OR(S325="",V325="")),"Lost needs reason and closed on",""),IF(AND(C325="Nurture",OR(T325="",U325="")),"Nurture needs reason and date","")))</f>
        <v/>
      </c>
      <c r="AB325" s="34" t="str">
        <f aca="false">IF(AND(C325="Won",V325&lt;&gt;"",V325&gt;=S_SemStart,V325&lt;=S_SemEnd),V325+ROW()/100000,"")</f>
        <v/>
      </c>
      <c r="AC325" s="34" t="str">
        <f aca="false">IF(AND(C325="Lost",V325&lt;&gt;"",V325&gt;=S_SemStart,V325&lt;=S_SemEnd),V325+ROW()/100000,"")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9"/>
      <c r="J326" s="29"/>
      <c r="K326" s="27"/>
      <c r="L326" s="27"/>
      <c r="M326" s="28"/>
      <c r="N326" s="28"/>
      <c r="O326" s="28"/>
      <c r="P326" s="28"/>
      <c r="Q326" s="27"/>
      <c r="R326" s="27"/>
      <c r="S326" s="27"/>
      <c r="T326" s="27"/>
      <c r="U326" s="28"/>
      <c r="V326" s="28"/>
      <c r="W326" s="27"/>
      <c r="X326" s="32" t="str">
        <f aca="false">IF(A326="","",IF(OR(C326="Planned",C326="Contacted",C326="Meeting",C326="Proposal sent",C326="Negotiation"),"Yes","No"))</f>
        <v/>
      </c>
      <c r="Y326" s="32" t="str">
        <f aca="false">IF(A326="","",IF(AND(C326="Won",P326&lt;&gt;"",P326&lt;=S_Today+S_RenewalDays,COUNTIFS($A$3:$A$502,A326,$F$3:$F$502,"Yes",$X$3:$X$502,"Yes")=0),"Renewal due",IF(X326&lt;&gt;"Yes","",IF(OR(L326="",M326=""),"Missing next action",IF(M326&lt;S_Today,"Overdue",IF(AND(C326="Contacted",_xlfn.MAXIFS(Interactions!$A$3:$A$502,Interactions!$B$3:$B$502,A326,Interactions!$F$3:$F$502,"Sent by us")&gt;0,_xlfn.MAXIFS(Interactions!$A$3:$A$502,Interactions!$B$3:$B$502,A326,Interactions!$F$3:$F$502,"Sent by us")&lt;=S_Today-S_NoReplyDays,MAX(_xlfn.MAXIFS(Interactions!$A$3:$A$502,Interactions!$B$3:$B$502,A326,Interactions!$F$3:$F$502,"Received from them"),_xlfn.MAXIFS(Interactions!$A$3:$A$502,Interactions!$B$3:$B$502,A326,Interactions!$F$3:$F$502,"Two-way"))&lt;_xlfn.MAXIFS(Interactions!$A$3:$A$502,Interactions!$B$3:$B$502,A326,Interactions!$F$3:$F$502,"Sent by us")),"No reply",IF(M326&lt;=S_Today+7,"Due this week","")))))))</f>
        <v/>
      </c>
      <c r="Z326" s="34" t="str">
        <f aca="false">IF(OR(A326="",Y326=""),"",IF(Y326="Renewal due",100000,IF(Y326="Overdue",200000,IF(Y326="No reply",300000,IF(Y326="Due this week",400000,500000))))+IF(Y326="Renewal due",P326-40000,IF(Y326="Missing next action",0,M326-40000))+ROW()/100000)</f>
        <v/>
      </c>
      <c r="AA326" s="32" t="str">
        <f aca="false">IF(A326="","",_xlfn.TEXTJOIN(", ",TRUE(),IF(AND(X326="Yes",D326=""),"No owner",IF(AND(D326&lt;&gt;"",COUNTIFS(R_TeamName,D326,R_TeamActive,"No")&gt;0),"Needs new owner","")),IF(AND(OR(C326="Proposal sent",C326="Negotiation"),H326="",I326="",K326=""),"Add package or proposed value",""),IF(AND(C326="Won",OR(P326="",V326="")),"Won needs renewal date and closed on",""),IF(AND(C326="Won",G326="Cash",J326=""),"Add agreed value",""),IF(AND(C326="Lost",OR(S326="",V326="")),"Lost needs reason and closed on",""),IF(AND(C326="Nurture",OR(T326="",U326="")),"Nurture needs reason and date","")))</f>
        <v/>
      </c>
      <c r="AB326" s="34" t="str">
        <f aca="false">IF(AND(C326="Won",V326&lt;&gt;"",V326&gt;=S_SemStart,V326&lt;=S_SemEnd),V326+ROW()/100000,"")</f>
        <v/>
      </c>
      <c r="AC326" s="34" t="str">
        <f aca="false">IF(AND(C326="Lost",V326&lt;&gt;"",V326&gt;=S_SemStart,V326&lt;=S_SemEnd),V326+ROW()/100000,"")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9"/>
      <c r="J327" s="29"/>
      <c r="K327" s="27"/>
      <c r="L327" s="27"/>
      <c r="M327" s="28"/>
      <c r="N327" s="28"/>
      <c r="O327" s="28"/>
      <c r="P327" s="28"/>
      <c r="Q327" s="27"/>
      <c r="R327" s="27"/>
      <c r="S327" s="27"/>
      <c r="T327" s="27"/>
      <c r="U327" s="28"/>
      <c r="V327" s="28"/>
      <c r="W327" s="27"/>
      <c r="X327" s="32" t="str">
        <f aca="false">IF(A327="","",IF(OR(C327="Planned",C327="Contacted",C327="Meeting",C327="Proposal sent",C327="Negotiation"),"Yes","No"))</f>
        <v/>
      </c>
      <c r="Y327" s="32" t="str">
        <f aca="false">IF(A327="","",IF(AND(C327="Won",P327&lt;&gt;"",P327&lt;=S_Today+S_RenewalDays,COUNTIFS($A$3:$A$502,A327,$F$3:$F$502,"Yes",$X$3:$X$502,"Yes")=0),"Renewal due",IF(X327&lt;&gt;"Yes","",IF(OR(L327="",M327=""),"Missing next action",IF(M327&lt;S_Today,"Overdue",IF(AND(C327="Contacted",_xlfn.MAXIFS(Interactions!$A$3:$A$502,Interactions!$B$3:$B$502,A327,Interactions!$F$3:$F$502,"Sent by us")&gt;0,_xlfn.MAXIFS(Interactions!$A$3:$A$502,Interactions!$B$3:$B$502,A327,Interactions!$F$3:$F$502,"Sent by us")&lt;=S_Today-S_NoReplyDays,MAX(_xlfn.MAXIFS(Interactions!$A$3:$A$502,Interactions!$B$3:$B$502,A327,Interactions!$F$3:$F$502,"Received from them"),_xlfn.MAXIFS(Interactions!$A$3:$A$502,Interactions!$B$3:$B$502,A327,Interactions!$F$3:$F$502,"Two-way"))&lt;_xlfn.MAXIFS(Interactions!$A$3:$A$502,Interactions!$B$3:$B$502,A327,Interactions!$F$3:$F$502,"Sent by us")),"No reply",IF(M327&lt;=S_Today+7,"Due this week","")))))))</f>
        <v/>
      </c>
      <c r="Z327" s="34" t="str">
        <f aca="false">IF(OR(A327="",Y327=""),"",IF(Y327="Renewal due",100000,IF(Y327="Overdue",200000,IF(Y327="No reply",300000,IF(Y327="Due this week",400000,500000))))+IF(Y327="Renewal due",P327-40000,IF(Y327="Missing next action",0,M327-40000))+ROW()/100000)</f>
        <v/>
      </c>
      <c r="AA327" s="32" t="str">
        <f aca="false">IF(A327="","",_xlfn.TEXTJOIN(", ",TRUE(),IF(AND(X327="Yes",D327=""),"No owner",IF(AND(D327&lt;&gt;"",COUNTIFS(R_TeamName,D327,R_TeamActive,"No")&gt;0),"Needs new owner","")),IF(AND(OR(C327="Proposal sent",C327="Negotiation"),H327="",I327="",K327=""),"Add package or proposed value",""),IF(AND(C327="Won",OR(P327="",V327="")),"Won needs renewal date and closed on",""),IF(AND(C327="Won",G327="Cash",J327=""),"Add agreed value",""),IF(AND(C327="Lost",OR(S327="",V327="")),"Lost needs reason and closed on",""),IF(AND(C327="Nurture",OR(T327="",U327="")),"Nurture needs reason and date","")))</f>
        <v/>
      </c>
      <c r="AB327" s="34" t="str">
        <f aca="false">IF(AND(C327="Won",V327&lt;&gt;"",V327&gt;=S_SemStart,V327&lt;=S_SemEnd),V327+ROW()/100000,"")</f>
        <v/>
      </c>
      <c r="AC327" s="34" t="str">
        <f aca="false">IF(AND(C327="Lost",V327&lt;&gt;"",V327&gt;=S_SemStart,V327&lt;=S_SemEnd),V327+ROW()/100000,"")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9"/>
      <c r="J328" s="29"/>
      <c r="K328" s="27"/>
      <c r="L328" s="27"/>
      <c r="M328" s="28"/>
      <c r="N328" s="28"/>
      <c r="O328" s="28"/>
      <c r="P328" s="28"/>
      <c r="Q328" s="27"/>
      <c r="R328" s="27"/>
      <c r="S328" s="27"/>
      <c r="T328" s="27"/>
      <c r="U328" s="28"/>
      <c r="V328" s="28"/>
      <c r="W328" s="27"/>
      <c r="X328" s="32" t="str">
        <f aca="false">IF(A328="","",IF(OR(C328="Planned",C328="Contacted",C328="Meeting",C328="Proposal sent",C328="Negotiation"),"Yes","No"))</f>
        <v/>
      </c>
      <c r="Y328" s="32" t="str">
        <f aca="false">IF(A328="","",IF(AND(C328="Won",P328&lt;&gt;"",P328&lt;=S_Today+S_RenewalDays,COUNTIFS($A$3:$A$502,A328,$F$3:$F$502,"Yes",$X$3:$X$502,"Yes")=0),"Renewal due",IF(X328&lt;&gt;"Yes","",IF(OR(L328="",M328=""),"Missing next action",IF(M328&lt;S_Today,"Overdue",IF(AND(C328="Contacted",_xlfn.MAXIFS(Interactions!$A$3:$A$502,Interactions!$B$3:$B$502,A328,Interactions!$F$3:$F$502,"Sent by us")&gt;0,_xlfn.MAXIFS(Interactions!$A$3:$A$502,Interactions!$B$3:$B$502,A328,Interactions!$F$3:$F$502,"Sent by us")&lt;=S_Today-S_NoReplyDays,MAX(_xlfn.MAXIFS(Interactions!$A$3:$A$502,Interactions!$B$3:$B$502,A328,Interactions!$F$3:$F$502,"Received from them"),_xlfn.MAXIFS(Interactions!$A$3:$A$502,Interactions!$B$3:$B$502,A328,Interactions!$F$3:$F$502,"Two-way"))&lt;_xlfn.MAXIFS(Interactions!$A$3:$A$502,Interactions!$B$3:$B$502,A328,Interactions!$F$3:$F$502,"Sent by us")),"No reply",IF(M328&lt;=S_Today+7,"Due this week","")))))))</f>
        <v/>
      </c>
      <c r="Z328" s="34" t="str">
        <f aca="false">IF(OR(A328="",Y328=""),"",IF(Y328="Renewal due",100000,IF(Y328="Overdue",200000,IF(Y328="No reply",300000,IF(Y328="Due this week",400000,500000))))+IF(Y328="Renewal due",P328-40000,IF(Y328="Missing next action",0,M328-40000))+ROW()/100000)</f>
        <v/>
      </c>
      <c r="AA328" s="32" t="str">
        <f aca="false">IF(A328="","",_xlfn.TEXTJOIN(", ",TRUE(),IF(AND(X328="Yes",D328=""),"No owner",IF(AND(D328&lt;&gt;"",COUNTIFS(R_TeamName,D328,R_TeamActive,"No")&gt;0),"Needs new owner","")),IF(AND(OR(C328="Proposal sent",C328="Negotiation"),H328="",I328="",K328=""),"Add package or proposed value",""),IF(AND(C328="Won",OR(P328="",V328="")),"Won needs renewal date and closed on",""),IF(AND(C328="Won",G328="Cash",J328=""),"Add agreed value",""),IF(AND(C328="Lost",OR(S328="",V328="")),"Lost needs reason and closed on",""),IF(AND(C328="Nurture",OR(T328="",U328="")),"Nurture needs reason and date","")))</f>
        <v/>
      </c>
      <c r="AB328" s="34" t="str">
        <f aca="false">IF(AND(C328="Won",V328&lt;&gt;"",V328&gt;=S_SemStart,V328&lt;=S_SemEnd),V328+ROW()/100000,"")</f>
        <v/>
      </c>
      <c r="AC328" s="34" t="str">
        <f aca="false">IF(AND(C328="Lost",V328&lt;&gt;"",V328&gt;=S_SemStart,V328&lt;=S_SemEnd),V328+ROW()/100000,"")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9"/>
      <c r="J329" s="29"/>
      <c r="K329" s="27"/>
      <c r="L329" s="27"/>
      <c r="M329" s="28"/>
      <c r="N329" s="28"/>
      <c r="O329" s="28"/>
      <c r="P329" s="28"/>
      <c r="Q329" s="27"/>
      <c r="R329" s="27"/>
      <c r="S329" s="27"/>
      <c r="T329" s="27"/>
      <c r="U329" s="28"/>
      <c r="V329" s="28"/>
      <c r="W329" s="27"/>
      <c r="X329" s="32" t="str">
        <f aca="false">IF(A329="","",IF(OR(C329="Planned",C329="Contacted",C329="Meeting",C329="Proposal sent",C329="Negotiation"),"Yes","No"))</f>
        <v/>
      </c>
      <c r="Y329" s="32" t="str">
        <f aca="false">IF(A329="","",IF(AND(C329="Won",P329&lt;&gt;"",P329&lt;=S_Today+S_RenewalDays,COUNTIFS($A$3:$A$502,A329,$F$3:$F$502,"Yes",$X$3:$X$502,"Yes")=0),"Renewal due",IF(X329&lt;&gt;"Yes","",IF(OR(L329="",M329=""),"Missing next action",IF(M329&lt;S_Today,"Overdue",IF(AND(C329="Contacted",_xlfn.MAXIFS(Interactions!$A$3:$A$502,Interactions!$B$3:$B$502,A329,Interactions!$F$3:$F$502,"Sent by us")&gt;0,_xlfn.MAXIFS(Interactions!$A$3:$A$502,Interactions!$B$3:$B$502,A329,Interactions!$F$3:$F$502,"Sent by us")&lt;=S_Today-S_NoReplyDays,MAX(_xlfn.MAXIFS(Interactions!$A$3:$A$502,Interactions!$B$3:$B$502,A329,Interactions!$F$3:$F$502,"Received from them"),_xlfn.MAXIFS(Interactions!$A$3:$A$502,Interactions!$B$3:$B$502,A329,Interactions!$F$3:$F$502,"Two-way"))&lt;_xlfn.MAXIFS(Interactions!$A$3:$A$502,Interactions!$B$3:$B$502,A329,Interactions!$F$3:$F$502,"Sent by us")),"No reply",IF(M329&lt;=S_Today+7,"Due this week","")))))))</f>
        <v/>
      </c>
      <c r="Z329" s="34" t="str">
        <f aca="false">IF(OR(A329="",Y329=""),"",IF(Y329="Renewal due",100000,IF(Y329="Overdue",200000,IF(Y329="No reply",300000,IF(Y329="Due this week",400000,500000))))+IF(Y329="Renewal due",P329-40000,IF(Y329="Missing next action",0,M329-40000))+ROW()/100000)</f>
        <v/>
      </c>
      <c r="AA329" s="32" t="str">
        <f aca="false">IF(A329="","",_xlfn.TEXTJOIN(", ",TRUE(),IF(AND(X329="Yes",D329=""),"No owner",IF(AND(D329&lt;&gt;"",COUNTIFS(R_TeamName,D329,R_TeamActive,"No")&gt;0),"Needs new owner","")),IF(AND(OR(C329="Proposal sent",C329="Negotiation"),H329="",I329="",K329=""),"Add package or proposed value",""),IF(AND(C329="Won",OR(P329="",V329="")),"Won needs renewal date and closed on",""),IF(AND(C329="Won",G329="Cash",J329=""),"Add agreed value",""),IF(AND(C329="Lost",OR(S329="",V329="")),"Lost needs reason and closed on",""),IF(AND(C329="Nurture",OR(T329="",U329="")),"Nurture needs reason and date","")))</f>
        <v/>
      </c>
      <c r="AB329" s="34" t="str">
        <f aca="false">IF(AND(C329="Won",V329&lt;&gt;"",V329&gt;=S_SemStart,V329&lt;=S_SemEnd),V329+ROW()/100000,"")</f>
        <v/>
      </c>
      <c r="AC329" s="34" t="str">
        <f aca="false">IF(AND(C329="Lost",V329&lt;&gt;"",V329&gt;=S_SemStart,V329&lt;=S_SemEnd),V329+ROW()/100000,"")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9"/>
      <c r="J330" s="29"/>
      <c r="K330" s="27"/>
      <c r="L330" s="27"/>
      <c r="M330" s="28"/>
      <c r="N330" s="28"/>
      <c r="O330" s="28"/>
      <c r="P330" s="28"/>
      <c r="Q330" s="27"/>
      <c r="R330" s="27"/>
      <c r="S330" s="27"/>
      <c r="T330" s="27"/>
      <c r="U330" s="28"/>
      <c r="V330" s="28"/>
      <c r="W330" s="27"/>
      <c r="X330" s="32" t="str">
        <f aca="false">IF(A330="","",IF(OR(C330="Planned",C330="Contacted",C330="Meeting",C330="Proposal sent",C330="Negotiation"),"Yes","No"))</f>
        <v/>
      </c>
      <c r="Y330" s="32" t="str">
        <f aca="false">IF(A330="","",IF(AND(C330="Won",P330&lt;&gt;"",P330&lt;=S_Today+S_RenewalDays,COUNTIFS($A$3:$A$502,A330,$F$3:$F$502,"Yes",$X$3:$X$502,"Yes")=0),"Renewal due",IF(X330&lt;&gt;"Yes","",IF(OR(L330="",M330=""),"Missing next action",IF(M330&lt;S_Today,"Overdue",IF(AND(C330="Contacted",_xlfn.MAXIFS(Interactions!$A$3:$A$502,Interactions!$B$3:$B$502,A330,Interactions!$F$3:$F$502,"Sent by us")&gt;0,_xlfn.MAXIFS(Interactions!$A$3:$A$502,Interactions!$B$3:$B$502,A330,Interactions!$F$3:$F$502,"Sent by us")&lt;=S_Today-S_NoReplyDays,MAX(_xlfn.MAXIFS(Interactions!$A$3:$A$502,Interactions!$B$3:$B$502,A330,Interactions!$F$3:$F$502,"Received from them"),_xlfn.MAXIFS(Interactions!$A$3:$A$502,Interactions!$B$3:$B$502,A330,Interactions!$F$3:$F$502,"Two-way"))&lt;_xlfn.MAXIFS(Interactions!$A$3:$A$502,Interactions!$B$3:$B$502,A330,Interactions!$F$3:$F$502,"Sent by us")),"No reply",IF(M330&lt;=S_Today+7,"Due this week","")))))))</f>
        <v/>
      </c>
      <c r="Z330" s="34" t="str">
        <f aca="false">IF(OR(A330="",Y330=""),"",IF(Y330="Renewal due",100000,IF(Y330="Overdue",200000,IF(Y330="No reply",300000,IF(Y330="Due this week",400000,500000))))+IF(Y330="Renewal due",P330-40000,IF(Y330="Missing next action",0,M330-40000))+ROW()/100000)</f>
        <v/>
      </c>
      <c r="AA330" s="32" t="str">
        <f aca="false">IF(A330="","",_xlfn.TEXTJOIN(", ",TRUE(),IF(AND(X330="Yes",D330=""),"No owner",IF(AND(D330&lt;&gt;"",COUNTIFS(R_TeamName,D330,R_TeamActive,"No")&gt;0),"Needs new owner","")),IF(AND(OR(C330="Proposal sent",C330="Negotiation"),H330="",I330="",K330=""),"Add package or proposed value",""),IF(AND(C330="Won",OR(P330="",V330="")),"Won needs renewal date and closed on",""),IF(AND(C330="Won",G330="Cash",J330=""),"Add agreed value",""),IF(AND(C330="Lost",OR(S330="",V330="")),"Lost needs reason and closed on",""),IF(AND(C330="Nurture",OR(T330="",U330="")),"Nurture needs reason and date","")))</f>
        <v/>
      </c>
      <c r="AB330" s="34" t="str">
        <f aca="false">IF(AND(C330="Won",V330&lt;&gt;"",V330&gt;=S_SemStart,V330&lt;=S_SemEnd),V330+ROW()/100000,"")</f>
        <v/>
      </c>
      <c r="AC330" s="34" t="str">
        <f aca="false">IF(AND(C330="Lost",V330&lt;&gt;"",V330&gt;=S_SemStart,V330&lt;=S_SemEnd),V330+ROW()/100000,"")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9"/>
      <c r="J331" s="29"/>
      <c r="K331" s="27"/>
      <c r="L331" s="27"/>
      <c r="M331" s="28"/>
      <c r="N331" s="28"/>
      <c r="O331" s="28"/>
      <c r="P331" s="28"/>
      <c r="Q331" s="27"/>
      <c r="R331" s="27"/>
      <c r="S331" s="27"/>
      <c r="T331" s="27"/>
      <c r="U331" s="28"/>
      <c r="V331" s="28"/>
      <c r="W331" s="27"/>
      <c r="X331" s="32" t="str">
        <f aca="false">IF(A331="","",IF(OR(C331="Planned",C331="Contacted",C331="Meeting",C331="Proposal sent",C331="Negotiation"),"Yes","No"))</f>
        <v/>
      </c>
      <c r="Y331" s="32" t="str">
        <f aca="false">IF(A331="","",IF(AND(C331="Won",P331&lt;&gt;"",P331&lt;=S_Today+S_RenewalDays,COUNTIFS($A$3:$A$502,A331,$F$3:$F$502,"Yes",$X$3:$X$502,"Yes")=0),"Renewal due",IF(X331&lt;&gt;"Yes","",IF(OR(L331="",M331=""),"Missing next action",IF(M331&lt;S_Today,"Overdue",IF(AND(C331="Contacted",_xlfn.MAXIFS(Interactions!$A$3:$A$502,Interactions!$B$3:$B$502,A331,Interactions!$F$3:$F$502,"Sent by us")&gt;0,_xlfn.MAXIFS(Interactions!$A$3:$A$502,Interactions!$B$3:$B$502,A331,Interactions!$F$3:$F$502,"Sent by us")&lt;=S_Today-S_NoReplyDays,MAX(_xlfn.MAXIFS(Interactions!$A$3:$A$502,Interactions!$B$3:$B$502,A331,Interactions!$F$3:$F$502,"Received from them"),_xlfn.MAXIFS(Interactions!$A$3:$A$502,Interactions!$B$3:$B$502,A331,Interactions!$F$3:$F$502,"Two-way"))&lt;_xlfn.MAXIFS(Interactions!$A$3:$A$502,Interactions!$B$3:$B$502,A331,Interactions!$F$3:$F$502,"Sent by us")),"No reply",IF(M331&lt;=S_Today+7,"Due this week","")))))))</f>
        <v/>
      </c>
      <c r="Z331" s="34" t="str">
        <f aca="false">IF(OR(A331="",Y331=""),"",IF(Y331="Renewal due",100000,IF(Y331="Overdue",200000,IF(Y331="No reply",300000,IF(Y331="Due this week",400000,500000))))+IF(Y331="Renewal due",P331-40000,IF(Y331="Missing next action",0,M331-40000))+ROW()/100000)</f>
        <v/>
      </c>
      <c r="AA331" s="32" t="str">
        <f aca="false">IF(A331="","",_xlfn.TEXTJOIN(", ",TRUE(),IF(AND(X331="Yes",D331=""),"No owner",IF(AND(D331&lt;&gt;"",COUNTIFS(R_TeamName,D331,R_TeamActive,"No")&gt;0),"Needs new owner","")),IF(AND(OR(C331="Proposal sent",C331="Negotiation"),H331="",I331="",K331=""),"Add package or proposed value",""),IF(AND(C331="Won",OR(P331="",V331="")),"Won needs renewal date and closed on",""),IF(AND(C331="Won",G331="Cash",J331=""),"Add agreed value",""),IF(AND(C331="Lost",OR(S331="",V331="")),"Lost needs reason and closed on",""),IF(AND(C331="Nurture",OR(T331="",U331="")),"Nurture needs reason and date","")))</f>
        <v/>
      </c>
      <c r="AB331" s="34" t="str">
        <f aca="false">IF(AND(C331="Won",V331&lt;&gt;"",V331&gt;=S_SemStart,V331&lt;=S_SemEnd),V331+ROW()/100000,"")</f>
        <v/>
      </c>
      <c r="AC331" s="34" t="str">
        <f aca="false">IF(AND(C331="Lost",V331&lt;&gt;"",V331&gt;=S_SemStart,V331&lt;=S_SemEnd),V331+ROW()/100000,"")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9"/>
      <c r="J332" s="29"/>
      <c r="K332" s="27"/>
      <c r="L332" s="27"/>
      <c r="M332" s="28"/>
      <c r="N332" s="28"/>
      <c r="O332" s="28"/>
      <c r="P332" s="28"/>
      <c r="Q332" s="27"/>
      <c r="R332" s="27"/>
      <c r="S332" s="27"/>
      <c r="T332" s="27"/>
      <c r="U332" s="28"/>
      <c r="V332" s="28"/>
      <c r="W332" s="27"/>
      <c r="X332" s="32" t="str">
        <f aca="false">IF(A332="","",IF(OR(C332="Planned",C332="Contacted",C332="Meeting",C332="Proposal sent",C332="Negotiation"),"Yes","No"))</f>
        <v/>
      </c>
      <c r="Y332" s="32" t="str">
        <f aca="false">IF(A332="","",IF(AND(C332="Won",P332&lt;&gt;"",P332&lt;=S_Today+S_RenewalDays,COUNTIFS($A$3:$A$502,A332,$F$3:$F$502,"Yes",$X$3:$X$502,"Yes")=0),"Renewal due",IF(X332&lt;&gt;"Yes","",IF(OR(L332="",M332=""),"Missing next action",IF(M332&lt;S_Today,"Overdue",IF(AND(C332="Contacted",_xlfn.MAXIFS(Interactions!$A$3:$A$502,Interactions!$B$3:$B$502,A332,Interactions!$F$3:$F$502,"Sent by us")&gt;0,_xlfn.MAXIFS(Interactions!$A$3:$A$502,Interactions!$B$3:$B$502,A332,Interactions!$F$3:$F$502,"Sent by us")&lt;=S_Today-S_NoReplyDays,MAX(_xlfn.MAXIFS(Interactions!$A$3:$A$502,Interactions!$B$3:$B$502,A332,Interactions!$F$3:$F$502,"Received from them"),_xlfn.MAXIFS(Interactions!$A$3:$A$502,Interactions!$B$3:$B$502,A332,Interactions!$F$3:$F$502,"Two-way"))&lt;_xlfn.MAXIFS(Interactions!$A$3:$A$502,Interactions!$B$3:$B$502,A332,Interactions!$F$3:$F$502,"Sent by us")),"No reply",IF(M332&lt;=S_Today+7,"Due this week","")))))))</f>
        <v/>
      </c>
      <c r="Z332" s="34" t="str">
        <f aca="false">IF(OR(A332="",Y332=""),"",IF(Y332="Renewal due",100000,IF(Y332="Overdue",200000,IF(Y332="No reply",300000,IF(Y332="Due this week",400000,500000))))+IF(Y332="Renewal due",P332-40000,IF(Y332="Missing next action",0,M332-40000))+ROW()/100000)</f>
        <v/>
      </c>
      <c r="AA332" s="32" t="str">
        <f aca="false">IF(A332="","",_xlfn.TEXTJOIN(", ",TRUE(),IF(AND(X332="Yes",D332=""),"No owner",IF(AND(D332&lt;&gt;"",COUNTIFS(R_TeamName,D332,R_TeamActive,"No")&gt;0),"Needs new owner","")),IF(AND(OR(C332="Proposal sent",C332="Negotiation"),H332="",I332="",K332=""),"Add package or proposed value",""),IF(AND(C332="Won",OR(P332="",V332="")),"Won needs renewal date and closed on",""),IF(AND(C332="Won",G332="Cash",J332=""),"Add agreed value",""),IF(AND(C332="Lost",OR(S332="",V332="")),"Lost needs reason and closed on",""),IF(AND(C332="Nurture",OR(T332="",U332="")),"Nurture needs reason and date","")))</f>
        <v/>
      </c>
      <c r="AB332" s="34" t="str">
        <f aca="false">IF(AND(C332="Won",V332&lt;&gt;"",V332&gt;=S_SemStart,V332&lt;=S_SemEnd),V332+ROW()/100000,"")</f>
        <v/>
      </c>
      <c r="AC332" s="34" t="str">
        <f aca="false">IF(AND(C332="Lost",V332&lt;&gt;"",V332&gt;=S_SemStart,V332&lt;=S_SemEnd),V332+ROW()/100000,"")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9"/>
      <c r="J333" s="29"/>
      <c r="K333" s="27"/>
      <c r="L333" s="27"/>
      <c r="M333" s="28"/>
      <c r="N333" s="28"/>
      <c r="O333" s="28"/>
      <c r="P333" s="28"/>
      <c r="Q333" s="27"/>
      <c r="R333" s="27"/>
      <c r="S333" s="27"/>
      <c r="T333" s="27"/>
      <c r="U333" s="28"/>
      <c r="V333" s="28"/>
      <c r="W333" s="27"/>
      <c r="X333" s="32" t="str">
        <f aca="false">IF(A333="","",IF(OR(C333="Planned",C333="Contacted",C333="Meeting",C333="Proposal sent",C333="Negotiation"),"Yes","No"))</f>
        <v/>
      </c>
      <c r="Y333" s="32" t="str">
        <f aca="false">IF(A333="","",IF(AND(C333="Won",P333&lt;&gt;"",P333&lt;=S_Today+S_RenewalDays,COUNTIFS($A$3:$A$502,A333,$F$3:$F$502,"Yes",$X$3:$X$502,"Yes")=0),"Renewal due",IF(X333&lt;&gt;"Yes","",IF(OR(L333="",M333=""),"Missing next action",IF(M333&lt;S_Today,"Overdue",IF(AND(C333="Contacted",_xlfn.MAXIFS(Interactions!$A$3:$A$502,Interactions!$B$3:$B$502,A333,Interactions!$F$3:$F$502,"Sent by us")&gt;0,_xlfn.MAXIFS(Interactions!$A$3:$A$502,Interactions!$B$3:$B$502,A333,Interactions!$F$3:$F$502,"Sent by us")&lt;=S_Today-S_NoReplyDays,MAX(_xlfn.MAXIFS(Interactions!$A$3:$A$502,Interactions!$B$3:$B$502,A333,Interactions!$F$3:$F$502,"Received from them"),_xlfn.MAXIFS(Interactions!$A$3:$A$502,Interactions!$B$3:$B$502,A333,Interactions!$F$3:$F$502,"Two-way"))&lt;_xlfn.MAXIFS(Interactions!$A$3:$A$502,Interactions!$B$3:$B$502,A333,Interactions!$F$3:$F$502,"Sent by us")),"No reply",IF(M333&lt;=S_Today+7,"Due this week","")))))))</f>
        <v/>
      </c>
      <c r="Z333" s="34" t="str">
        <f aca="false">IF(OR(A333="",Y333=""),"",IF(Y333="Renewal due",100000,IF(Y333="Overdue",200000,IF(Y333="No reply",300000,IF(Y333="Due this week",400000,500000))))+IF(Y333="Renewal due",P333-40000,IF(Y333="Missing next action",0,M333-40000))+ROW()/100000)</f>
        <v/>
      </c>
      <c r="AA333" s="32" t="str">
        <f aca="false">IF(A333="","",_xlfn.TEXTJOIN(", ",TRUE(),IF(AND(X333="Yes",D333=""),"No owner",IF(AND(D333&lt;&gt;"",COUNTIFS(R_TeamName,D333,R_TeamActive,"No")&gt;0),"Needs new owner","")),IF(AND(OR(C333="Proposal sent",C333="Negotiation"),H333="",I333="",K333=""),"Add package or proposed value",""),IF(AND(C333="Won",OR(P333="",V333="")),"Won needs renewal date and closed on",""),IF(AND(C333="Won",G333="Cash",J333=""),"Add agreed value",""),IF(AND(C333="Lost",OR(S333="",V333="")),"Lost needs reason and closed on",""),IF(AND(C333="Nurture",OR(T333="",U333="")),"Nurture needs reason and date","")))</f>
        <v/>
      </c>
      <c r="AB333" s="34" t="str">
        <f aca="false">IF(AND(C333="Won",V333&lt;&gt;"",V333&gt;=S_SemStart,V333&lt;=S_SemEnd),V333+ROW()/100000,"")</f>
        <v/>
      </c>
      <c r="AC333" s="34" t="str">
        <f aca="false">IF(AND(C333="Lost",V333&lt;&gt;"",V333&gt;=S_SemStart,V333&lt;=S_SemEnd),V333+ROW()/100000,"")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9"/>
      <c r="J334" s="29"/>
      <c r="K334" s="27"/>
      <c r="L334" s="27"/>
      <c r="M334" s="28"/>
      <c r="N334" s="28"/>
      <c r="O334" s="28"/>
      <c r="P334" s="28"/>
      <c r="Q334" s="27"/>
      <c r="R334" s="27"/>
      <c r="S334" s="27"/>
      <c r="T334" s="27"/>
      <c r="U334" s="28"/>
      <c r="V334" s="28"/>
      <c r="W334" s="27"/>
      <c r="X334" s="32" t="str">
        <f aca="false">IF(A334="","",IF(OR(C334="Planned",C334="Contacted",C334="Meeting",C334="Proposal sent",C334="Negotiation"),"Yes","No"))</f>
        <v/>
      </c>
      <c r="Y334" s="32" t="str">
        <f aca="false">IF(A334="","",IF(AND(C334="Won",P334&lt;&gt;"",P334&lt;=S_Today+S_RenewalDays,COUNTIFS($A$3:$A$502,A334,$F$3:$F$502,"Yes",$X$3:$X$502,"Yes")=0),"Renewal due",IF(X334&lt;&gt;"Yes","",IF(OR(L334="",M334=""),"Missing next action",IF(M334&lt;S_Today,"Overdue",IF(AND(C334="Contacted",_xlfn.MAXIFS(Interactions!$A$3:$A$502,Interactions!$B$3:$B$502,A334,Interactions!$F$3:$F$502,"Sent by us")&gt;0,_xlfn.MAXIFS(Interactions!$A$3:$A$502,Interactions!$B$3:$B$502,A334,Interactions!$F$3:$F$502,"Sent by us")&lt;=S_Today-S_NoReplyDays,MAX(_xlfn.MAXIFS(Interactions!$A$3:$A$502,Interactions!$B$3:$B$502,A334,Interactions!$F$3:$F$502,"Received from them"),_xlfn.MAXIFS(Interactions!$A$3:$A$502,Interactions!$B$3:$B$502,A334,Interactions!$F$3:$F$502,"Two-way"))&lt;_xlfn.MAXIFS(Interactions!$A$3:$A$502,Interactions!$B$3:$B$502,A334,Interactions!$F$3:$F$502,"Sent by us")),"No reply",IF(M334&lt;=S_Today+7,"Due this week","")))))))</f>
        <v/>
      </c>
      <c r="Z334" s="34" t="str">
        <f aca="false">IF(OR(A334="",Y334=""),"",IF(Y334="Renewal due",100000,IF(Y334="Overdue",200000,IF(Y334="No reply",300000,IF(Y334="Due this week",400000,500000))))+IF(Y334="Renewal due",P334-40000,IF(Y334="Missing next action",0,M334-40000))+ROW()/100000)</f>
        <v/>
      </c>
      <c r="AA334" s="32" t="str">
        <f aca="false">IF(A334="","",_xlfn.TEXTJOIN(", ",TRUE(),IF(AND(X334="Yes",D334=""),"No owner",IF(AND(D334&lt;&gt;"",COUNTIFS(R_TeamName,D334,R_TeamActive,"No")&gt;0),"Needs new owner","")),IF(AND(OR(C334="Proposal sent",C334="Negotiation"),H334="",I334="",K334=""),"Add package or proposed value",""),IF(AND(C334="Won",OR(P334="",V334="")),"Won needs renewal date and closed on",""),IF(AND(C334="Won",G334="Cash",J334=""),"Add agreed value",""),IF(AND(C334="Lost",OR(S334="",V334="")),"Lost needs reason and closed on",""),IF(AND(C334="Nurture",OR(T334="",U334="")),"Nurture needs reason and date","")))</f>
        <v/>
      </c>
      <c r="AB334" s="34" t="str">
        <f aca="false">IF(AND(C334="Won",V334&lt;&gt;"",V334&gt;=S_SemStart,V334&lt;=S_SemEnd),V334+ROW()/100000,"")</f>
        <v/>
      </c>
      <c r="AC334" s="34" t="str">
        <f aca="false">IF(AND(C334="Lost",V334&lt;&gt;"",V334&gt;=S_SemStart,V334&lt;=S_SemEnd),V334+ROW()/100000,"")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9"/>
      <c r="J335" s="29"/>
      <c r="K335" s="27"/>
      <c r="L335" s="27"/>
      <c r="M335" s="28"/>
      <c r="N335" s="28"/>
      <c r="O335" s="28"/>
      <c r="P335" s="28"/>
      <c r="Q335" s="27"/>
      <c r="R335" s="27"/>
      <c r="S335" s="27"/>
      <c r="T335" s="27"/>
      <c r="U335" s="28"/>
      <c r="V335" s="28"/>
      <c r="W335" s="27"/>
      <c r="X335" s="32" t="str">
        <f aca="false">IF(A335="","",IF(OR(C335="Planned",C335="Contacted",C335="Meeting",C335="Proposal sent",C335="Negotiation"),"Yes","No"))</f>
        <v/>
      </c>
      <c r="Y335" s="32" t="str">
        <f aca="false">IF(A335="","",IF(AND(C335="Won",P335&lt;&gt;"",P335&lt;=S_Today+S_RenewalDays,COUNTIFS($A$3:$A$502,A335,$F$3:$F$502,"Yes",$X$3:$X$502,"Yes")=0),"Renewal due",IF(X335&lt;&gt;"Yes","",IF(OR(L335="",M335=""),"Missing next action",IF(M335&lt;S_Today,"Overdue",IF(AND(C335="Contacted",_xlfn.MAXIFS(Interactions!$A$3:$A$502,Interactions!$B$3:$B$502,A335,Interactions!$F$3:$F$502,"Sent by us")&gt;0,_xlfn.MAXIFS(Interactions!$A$3:$A$502,Interactions!$B$3:$B$502,A335,Interactions!$F$3:$F$502,"Sent by us")&lt;=S_Today-S_NoReplyDays,MAX(_xlfn.MAXIFS(Interactions!$A$3:$A$502,Interactions!$B$3:$B$502,A335,Interactions!$F$3:$F$502,"Received from them"),_xlfn.MAXIFS(Interactions!$A$3:$A$502,Interactions!$B$3:$B$502,A335,Interactions!$F$3:$F$502,"Two-way"))&lt;_xlfn.MAXIFS(Interactions!$A$3:$A$502,Interactions!$B$3:$B$502,A335,Interactions!$F$3:$F$502,"Sent by us")),"No reply",IF(M335&lt;=S_Today+7,"Due this week","")))))))</f>
        <v/>
      </c>
      <c r="Z335" s="34" t="str">
        <f aca="false">IF(OR(A335="",Y335=""),"",IF(Y335="Renewal due",100000,IF(Y335="Overdue",200000,IF(Y335="No reply",300000,IF(Y335="Due this week",400000,500000))))+IF(Y335="Renewal due",P335-40000,IF(Y335="Missing next action",0,M335-40000))+ROW()/100000)</f>
        <v/>
      </c>
      <c r="AA335" s="32" t="str">
        <f aca="false">IF(A335="","",_xlfn.TEXTJOIN(", ",TRUE(),IF(AND(X335="Yes",D335=""),"No owner",IF(AND(D335&lt;&gt;"",COUNTIFS(R_TeamName,D335,R_TeamActive,"No")&gt;0),"Needs new owner","")),IF(AND(OR(C335="Proposal sent",C335="Negotiation"),H335="",I335="",K335=""),"Add package or proposed value",""),IF(AND(C335="Won",OR(P335="",V335="")),"Won needs renewal date and closed on",""),IF(AND(C335="Won",G335="Cash",J335=""),"Add agreed value",""),IF(AND(C335="Lost",OR(S335="",V335="")),"Lost needs reason and closed on",""),IF(AND(C335="Nurture",OR(T335="",U335="")),"Nurture needs reason and date","")))</f>
        <v/>
      </c>
      <c r="AB335" s="34" t="str">
        <f aca="false">IF(AND(C335="Won",V335&lt;&gt;"",V335&gt;=S_SemStart,V335&lt;=S_SemEnd),V335+ROW()/100000,"")</f>
        <v/>
      </c>
      <c r="AC335" s="34" t="str">
        <f aca="false">IF(AND(C335="Lost",V335&lt;&gt;"",V335&gt;=S_SemStart,V335&lt;=S_SemEnd),V335+ROW()/100000,"")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9"/>
      <c r="J336" s="29"/>
      <c r="K336" s="27"/>
      <c r="L336" s="27"/>
      <c r="M336" s="28"/>
      <c r="N336" s="28"/>
      <c r="O336" s="28"/>
      <c r="P336" s="28"/>
      <c r="Q336" s="27"/>
      <c r="R336" s="27"/>
      <c r="S336" s="27"/>
      <c r="T336" s="27"/>
      <c r="U336" s="28"/>
      <c r="V336" s="28"/>
      <c r="W336" s="27"/>
      <c r="X336" s="32" t="str">
        <f aca="false">IF(A336="","",IF(OR(C336="Planned",C336="Contacted",C336="Meeting",C336="Proposal sent",C336="Negotiation"),"Yes","No"))</f>
        <v/>
      </c>
      <c r="Y336" s="32" t="str">
        <f aca="false">IF(A336="","",IF(AND(C336="Won",P336&lt;&gt;"",P336&lt;=S_Today+S_RenewalDays,COUNTIFS($A$3:$A$502,A336,$F$3:$F$502,"Yes",$X$3:$X$502,"Yes")=0),"Renewal due",IF(X336&lt;&gt;"Yes","",IF(OR(L336="",M336=""),"Missing next action",IF(M336&lt;S_Today,"Overdue",IF(AND(C336="Contacted",_xlfn.MAXIFS(Interactions!$A$3:$A$502,Interactions!$B$3:$B$502,A336,Interactions!$F$3:$F$502,"Sent by us")&gt;0,_xlfn.MAXIFS(Interactions!$A$3:$A$502,Interactions!$B$3:$B$502,A336,Interactions!$F$3:$F$502,"Sent by us")&lt;=S_Today-S_NoReplyDays,MAX(_xlfn.MAXIFS(Interactions!$A$3:$A$502,Interactions!$B$3:$B$502,A336,Interactions!$F$3:$F$502,"Received from them"),_xlfn.MAXIFS(Interactions!$A$3:$A$502,Interactions!$B$3:$B$502,A336,Interactions!$F$3:$F$502,"Two-way"))&lt;_xlfn.MAXIFS(Interactions!$A$3:$A$502,Interactions!$B$3:$B$502,A336,Interactions!$F$3:$F$502,"Sent by us")),"No reply",IF(M336&lt;=S_Today+7,"Due this week","")))))))</f>
        <v/>
      </c>
      <c r="Z336" s="34" t="str">
        <f aca="false">IF(OR(A336="",Y336=""),"",IF(Y336="Renewal due",100000,IF(Y336="Overdue",200000,IF(Y336="No reply",300000,IF(Y336="Due this week",400000,500000))))+IF(Y336="Renewal due",P336-40000,IF(Y336="Missing next action",0,M336-40000))+ROW()/100000)</f>
        <v/>
      </c>
      <c r="AA336" s="32" t="str">
        <f aca="false">IF(A336="","",_xlfn.TEXTJOIN(", ",TRUE(),IF(AND(X336="Yes",D336=""),"No owner",IF(AND(D336&lt;&gt;"",COUNTIFS(R_TeamName,D336,R_TeamActive,"No")&gt;0),"Needs new owner","")),IF(AND(OR(C336="Proposal sent",C336="Negotiation"),H336="",I336="",K336=""),"Add package or proposed value",""),IF(AND(C336="Won",OR(P336="",V336="")),"Won needs renewal date and closed on",""),IF(AND(C336="Won",G336="Cash",J336=""),"Add agreed value",""),IF(AND(C336="Lost",OR(S336="",V336="")),"Lost needs reason and closed on",""),IF(AND(C336="Nurture",OR(T336="",U336="")),"Nurture needs reason and date","")))</f>
        <v/>
      </c>
      <c r="AB336" s="34" t="str">
        <f aca="false">IF(AND(C336="Won",V336&lt;&gt;"",V336&gt;=S_SemStart,V336&lt;=S_SemEnd),V336+ROW()/100000,"")</f>
        <v/>
      </c>
      <c r="AC336" s="34" t="str">
        <f aca="false">IF(AND(C336="Lost",V336&lt;&gt;"",V336&gt;=S_SemStart,V336&lt;=S_SemEnd),V336+ROW()/100000,"")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9"/>
      <c r="J337" s="29"/>
      <c r="K337" s="27"/>
      <c r="L337" s="27"/>
      <c r="M337" s="28"/>
      <c r="N337" s="28"/>
      <c r="O337" s="28"/>
      <c r="P337" s="28"/>
      <c r="Q337" s="27"/>
      <c r="R337" s="27"/>
      <c r="S337" s="27"/>
      <c r="T337" s="27"/>
      <c r="U337" s="28"/>
      <c r="V337" s="28"/>
      <c r="W337" s="27"/>
      <c r="X337" s="32" t="str">
        <f aca="false">IF(A337="","",IF(OR(C337="Planned",C337="Contacted",C337="Meeting",C337="Proposal sent",C337="Negotiation"),"Yes","No"))</f>
        <v/>
      </c>
      <c r="Y337" s="32" t="str">
        <f aca="false">IF(A337="","",IF(AND(C337="Won",P337&lt;&gt;"",P337&lt;=S_Today+S_RenewalDays,COUNTIFS($A$3:$A$502,A337,$F$3:$F$502,"Yes",$X$3:$X$502,"Yes")=0),"Renewal due",IF(X337&lt;&gt;"Yes","",IF(OR(L337="",M337=""),"Missing next action",IF(M337&lt;S_Today,"Overdue",IF(AND(C337="Contacted",_xlfn.MAXIFS(Interactions!$A$3:$A$502,Interactions!$B$3:$B$502,A337,Interactions!$F$3:$F$502,"Sent by us")&gt;0,_xlfn.MAXIFS(Interactions!$A$3:$A$502,Interactions!$B$3:$B$502,A337,Interactions!$F$3:$F$502,"Sent by us")&lt;=S_Today-S_NoReplyDays,MAX(_xlfn.MAXIFS(Interactions!$A$3:$A$502,Interactions!$B$3:$B$502,A337,Interactions!$F$3:$F$502,"Received from them"),_xlfn.MAXIFS(Interactions!$A$3:$A$502,Interactions!$B$3:$B$502,A337,Interactions!$F$3:$F$502,"Two-way"))&lt;_xlfn.MAXIFS(Interactions!$A$3:$A$502,Interactions!$B$3:$B$502,A337,Interactions!$F$3:$F$502,"Sent by us")),"No reply",IF(M337&lt;=S_Today+7,"Due this week","")))))))</f>
        <v/>
      </c>
      <c r="Z337" s="34" t="str">
        <f aca="false">IF(OR(A337="",Y337=""),"",IF(Y337="Renewal due",100000,IF(Y337="Overdue",200000,IF(Y337="No reply",300000,IF(Y337="Due this week",400000,500000))))+IF(Y337="Renewal due",P337-40000,IF(Y337="Missing next action",0,M337-40000))+ROW()/100000)</f>
        <v/>
      </c>
      <c r="AA337" s="32" t="str">
        <f aca="false">IF(A337="","",_xlfn.TEXTJOIN(", ",TRUE(),IF(AND(X337="Yes",D337=""),"No owner",IF(AND(D337&lt;&gt;"",COUNTIFS(R_TeamName,D337,R_TeamActive,"No")&gt;0),"Needs new owner","")),IF(AND(OR(C337="Proposal sent",C337="Negotiation"),H337="",I337="",K337=""),"Add package or proposed value",""),IF(AND(C337="Won",OR(P337="",V337="")),"Won needs renewal date and closed on",""),IF(AND(C337="Won",G337="Cash",J337=""),"Add agreed value",""),IF(AND(C337="Lost",OR(S337="",V337="")),"Lost needs reason and closed on",""),IF(AND(C337="Nurture",OR(T337="",U337="")),"Nurture needs reason and date","")))</f>
        <v/>
      </c>
      <c r="AB337" s="34" t="str">
        <f aca="false">IF(AND(C337="Won",V337&lt;&gt;"",V337&gt;=S_SemStart,V337&lt;=S_SemEnd),V337+ROW()/100000,"")</f>
        <v/>
      </c>
      <c r="AC337" s="34" t="str">
        <f aca="false">IF(AND(C337="Lost",V337&lt;&gt;"",V337&gt;=S_SemStart,V337&lt;=S_SemEnd),V337+ROW()/100000,"")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9"/>
      <c r="J338" s="29"/>
      <c r="K338" s="27"/>
      <c r="L338" s="27"/>
      <c r="M338" s="28"/>
      <c r="N338" s="28"/>
      <c r="O338" s="28"/>
      <c r="P338" s="28"/>
      <c r="Q338" s="27"/>
      <c r="R338" s="27"/>
      <c r="S338" s="27"/>
      <c r="T338" s="27"/>
      <c r="U338" s="28"/>
      <c r="V338" s="28"/>
      <c r="W338" s="27"/>
      <c r="X338" s="32" t="str">
        <f aca="false">IF(A338="","",IF(OR(C338="Planned",C338="Contacted",C338="Meeting",C338="Proposal sent",C338="Negotiation"),"Yes","No"))</f>
        <v/>
      </c>
      <c r="Y338" s="32" t="str">
        <f aca="false">IF(A338="","",IF(AND(C338="Won",P338&lt;&gt;"",P338&lt;=S_Today+S_RenewalDays,COUNTIFS($A$3:$A$502,A338,$F$3:$F$502,"Yes",$X$3:$X$502,"Yes")=0),"Renewal due",IF(X338&lt;&gt;"Yes","",IF(OR(L338="",M338=""),"Missing next action",IF(M338&lt;S_Today,"Overdue",IF(AND(C338="Contacted",_xlfn.MAXIFS(Interactions!$A$3:$A$502,Interactions!$B$3:$B$502,A338,Interactions!$F$3:$F$502,"Sent by us")&gt;0,_xlfn.MAXIFS(Interactions!$A$3:$A$502,Interactions!$B$3:$B$502,A338,Interactions!$F$3:$F$502,"Sent by us")&lt;=S_Today-S_NoReplyDays,MAX(_xlfn.MAXIFS(Interactions!$A$3:$A$502,Interactions!$B$3:$B$502,A338,Interactions!$F$3:$F$502,"Received from them"),_xlfn.MAXIFS(Interactions!$A$3:$A$502,Interactions!$B$3:$B$502,A338,Interactions!$F$3:$F$502,"Two-way"))&lt;_xlfn.MAXIFS(Interactions!$A$3:$A$502,Interactions!$B$3:$B$502,A338,Interactions!$F$3:$F$502,"Sent by us")),"No reply",IF(M338&lt;=S_Today+7,"Due this week","")))))))</f>
        <v/>
      </c>
      <c r="Z338" s="34" t="str">
        <f aca="false">IF(OR(A338="",Y338=""),"",IF(Y338="Renewal due",100000,IF(Y338="Overdue",200000,IF(Y338="No reply",300000,IF(Y338="Due this week",400000,500000))))+IF(Y338="Renewal due",P338-40000,IF(Y338="Missing next action",0,M338-40000))+ROW()/100000)</f>
        <v/>
      </c>
      <c r="AA338" s="32" t="str">
        <f aca="false">IF(A338="","",_xlfn.TEXTJOIN(", ",TRUE(),IF(AND(X338="Yes",D338=""),"No owner",IF(AND(D338&lt;&gt;"",COUNTIFS(R_TeamName,D338,R_TeamActive,"No")&gt;0),"Needs new owner","")),IF(AND(OR(C338="Proposal sent",C338="Negotiation"),H338="",I338="",K338=""),"Add package or proposed value",""),IF(AND(C338="Won",OR(P338="",V338="")),"Won needs renewal date and closed on",""),IF(AND(C338="Won",G338="Cash",J338=""),"Add agreed value",""),IF(AND(C338="Lost",OR(S338="",V338="")),"Lost needs reason and closed on",""),IF(AND(C338="Nurture",OR(T338="",U338="")),"Nurture needs reason and date","")))</f>
        <v/>
      </c>
      <c r="AB338" s="34" t="str">
        <f aca="false">IF(AND(C338="Won",V338&lt;&gt;"",V338&gt;=S_SemStart,V338&lt;=S_SemEnd),V338+ROW()/100000,"")</f>
        <v/>
      </c>
      <c r="AC338" s="34" t="str">
        <f aca="false">IF(AND(C338="Lost",V338&lt;&gt;"",V338&gt;=S_SemStart,V338&lt;=S_SemEnd),V338+ROW()/100000,"")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9"/>
      <c r="J339" s="29"/>
      <c r="K339" s="27"/>
      <c r="L339" s="27"/>
      <c r="M339" s="28"/>
      <c r="N339" s="28"/>
      <c r="O339" s="28"/>
      <c r="P339" s="28"/>
      <c r="Q339" s="27"/>
      <c r="R339" s="27"/>
      <c r="S339" s="27"/>
      <c r="T339" s="27"/>
      <c r="U339" s="28"/>
      <c r="V339" s="28"/>
      <c r="W339" s="27"/>
      <c r="X339" s="32" t="str">
        <f aca="false">IF(A339="","",IF(OR(C339="Planned",C339="Contacted",C339="Meeting",C339="Proposal sent",C339="Negotiation"),"Yes","No"))</f>
        <v/>
      </c>
      <c r="Y339" s="32" t="str">
        <f aca="false">IF(A339="","",IF(AND(C339="Won",P339&lt;&gt;"",P339&lt;=S_Today+S_RenewalDays,COUNTIFS($A$3:$A$502,A339,$F$3:$F$502,"Yes",$X$3:$X$502,"Yes")=0),"Renewal due",IF(X339&lt;&gt;"Yes","",IF(OR(L339="",M339=""),"Missing next action",IF(M339&lt;S_Today,"Overdue",IF(AND(C339="Contacted",_xlfn.MAXIFS(Interactions!$A$3:$A$502,Interactions!$B$3:$B$502,A339,Interactions!$F$3:$F$502,"Sent by us")&gt;0,_xlfn.MAXIFS(Interactions!$A$3:$A$502,Interactions!$B$3:$B$502,A339,Interactions!$F$3:$F$502,"Sent by us")&lt;=S_Today-S_NoReplyDays,MAX(_xlfn.MAXIFS(Interactions!$A$3:$A$502,Interactions!$B$3:$B$502,A339,Interactions!$F$3:$F$502,"Received from them"),_xlfn.MAXIFS(Interactions!$A$3:$A$502,Interactions!$B$3:$B$502,A339,Interactions!$F$3:$F$502,"Two-way"))&lt;_xlfn.MAXIFS(Interactions!$A$3:$A$502,Interactions!$B$3:$B$502,A339,Interactions!$F$3:$F$502,"Sent by us")),"No reply",IF(M339&lt;=S_Today+7,"Due this week","")))))))</f>
        <v/>
      </c>
      <c r="Z339" s="34" t="str">
        <f aca="false">IF(OR(A339="",Y339=""),"",IF(Y339="Renewal due",100000,IF(Y339="Overdue",200000,IF(Y339="No reply",300000,IF(Y339="Due this week",400000,500000))))+IF(Y339="Renewal due",P339-40000,IF(Y339="Missing next action",0,M339-40000))+ROW()/100000)</f>
        <v/>
      </c>
      <c r="AA339" s="32" t="str">
        <f aca="false">IF(A339="","",_xlfn.TEXTJOIN(", ",TRUE(),IF(AND(X339="Yes",D339=""),"No owner",IF(AND(D339&lt;&gt;"",COUNTIFS(R_TeamName,D339,R_TeamActive,"No")&gt;0),"Needs new owner","")),IF(AND(OR(C339="Proposal sent",C339="Negotiation"),H339="",I339="",K339=""),"Add package or proposed value",""),IF(AND(C339="Won",OR(P339="",V339="")),"Won needs renewal date and closed on",""),IF(AND(C339="Won",G339="Cash",J339=""),"Add agreed value",""),IF(AND(C339="Lost",OR(S339="",V339="")),"Lost needs reason and closed on",""),IF(AND(C339="Nurture",OR(T339="",U339="")),"Nurture needs reason and date","")))</f>
        <v/>
      </c>
      <c r="AB339" s="34" t="str">
        <f aca="false">IF(AND(C339="Won",V339&lt;&gt;"",V339&gt;=S_SemStart,V339&lt;=S_SemEnd),V339+ROW()/100000,"")</f>
        <v/>
      </c>
      <c r="AC339" s="34" t="str">
        <f aca="false">IF(AND(C339="Lost",V339&lt;&gt;"",V339&gt;=S_SemStart,V339&lt;=S_SemEnd),V339+ROW()/100000,"")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9"/>
      <c r="J340" s="29"/>
      <c r="K340" s="27"/>
      <c r="L340" s="27"/>
      <c r="M340" s="28"/>
      <c r="N340" s="28"/>
      <c r="O340" s="28"/>
      <c r="P340" s="28"/>
      <c r="Q340" s="27"/>
      <c r="R340" s="27"/>
      <c r="S340" s="27"/>
      <c r="T340" s="27"/>
      <c r="U340" s="28"/>
      <c r="V340" s="28"/>
      <c r="W340" s="27"/>
      <c r="X340" s="32" t="str">
        <f aca="false">IF(A340="","",IF(OR(C340="Planned",C340="Contacted",C340="Meeting",C340="Proposal sent",C340="Negotiation"),"Yes","No"))</f>
        <v/>
      </c>
      <c r="Y340" s="32" t="str">
        <f aca="false">IF(A340="","",IF(AND(C340="Won",P340&lt;&gt;"",P340&lt;=S_Today+S_RenewalDays,COUNTIFS($A$3:$A$502,A340,$F$3:$F$502,"Yes",$X$3:$X$502,"Yes")=0),"Renewal due",IF(X340&lt;&gt;"Yes","",IF(OR(L340="",M340=""),"Missing next action",IF(M340&lt;S_Today,"Overdue",IF(AND(C340="Contacted",_xlfn.MAXIFS(Interactions!$A$3:$A$502,Interactions!$B$3:$B$502,A340,Interactions!$F$3:$F$502,"Sent by us")&gt;0,_xlfn.MAXIFS(Interactions!$A$3:$A$502,Interactions!$B$3:$B$502,A340,Interactions!$F$3:$F$502,"Sent by us")&lt;=S_Today-S_NoReplyDays,MAX(_xlfn.MAXIFS(Interactions!$A$3:$A$502,Interactions!$B$3:$B$502,A340,Interactions!$F$3:$F$502,"Received from them"),_xlfn.MAXIFS(Interactions!$A$3:$A$502,Interactions!$B$3:$B$502,A340,Interactions!$F$3:$F$502,"Two-way"))&lt;_xlfn.MAXIFS(Interactions!$A$3:$A$502,Interactions!$B$3:$B$502,A340,Interactions!$F$3:$F$502,"Sent by us")),"No reply",IF(M340&lt;=S_Today+7,"Due this week","")))))))</f>
        <v/>
      </c>
      <c r="Z340" s="34" t="str">
        <f aca="false">IF(OR(A340="",Y340=""),"",IF(Y340="Renewal due",100000,IF(Y340="Overdue",200000,IF(Y340="No reply",300000,IF(Y340="Due this week",400000,500000))))+IF(Y340="Renewal due",P340-40000,IF(Y340="Missing next action",0,M340-40000))+ROW()/100000)</f>
        <v/>
      </c>
      <c r="AA340" s="32" t="str">
        <f aca="false">IF(A340="","",_xlfn.TEXTJOIN(", ",TRUE(),IF(AND(X340="Yes",D340=""),"No owner",IF(AND(D340&lt;&gt;"",COUNTIFS(R_TeamName,D340,R_TeamActive,"No")&gt;0),"Needs new owner","")),IF(AND(OR(C340="Proposal sent",C340="Negotiation"),H340="",I340="",K340=""),"Add package or proposed value",""),IF(AND(C340="Won",OR(P340="",V340="")),"Won needs renewal date and closed on",""),IF(AND(C340="Won",G340="Cash",J340=""),"Add agreed value",""),IF(AND(C340="Lost",OR(S340="",V340="")),"Lost needs reason and closed on",""),IF(AND(C340="Nurture",OR(T340="",U340="")),"Nurture needs reason and date","")))</f>
        <v/>
      </c>
      <c r="AB340" s="34" t="str">
        <f aca="false">IF(AND(C340="Won",V340&lt;&gt;"",V340&gt;=S_SemStart,V340&lt;=S_SemEnd),V340+ROW()/100000,"")</f>
        <v/>
      </c>
      <c r="AC340" s="34" t="str">
        <f aca="false">IF(AND(C340="Lost",V340&lt;&gt;"",V340&gt;=S_SemStart,V340&lt;=S_SemEnd),V340+ROW()/100000,"")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9"/>
      <c r="J341" s="29"/>
      <c r="K341" s="27"/>
      <c r="L341" s="27"/>
      <c r="M341" s="28"/>
      <c r="N341" s="28"/>
      <c r="O341" s="28"/>
      <c r="P341" s="28"/>
      <c r="Q341" s="27"/>
      <c r="R341" s="27"/>
      <c r="S341" s="27"/>
      <c r="T341" s="27"/>
      <c r="U341" s="28"/>
      <c r="V341" s="28"/>
      <c r="W341" s="27"/>
      <c r="X341" s="32" t="str">
        <f aca="false">IF(A341="","",IF(OR(C341="Planned",C341="Contacted",C341="Meeting",C341="Proposal sent",C341="Negotiation"),"Yes","No"))</f>
        <v/>
      </c>
      <c r="Y341" s="32" t="str">
        <f aca="false">IF(A341="","",IF(AND(C341="Won",P341&lt;&gt;"",P341&lt;=S_Today+S_RenewalDays,COUNTIFS($A$3:$A$502,A341,$F$3:$F$502,"Yes",$X$3:$X$502,"Yes")=0),"Renewal due",IF(X341&lt;&gt;"Yes","",IF(OR(L341="",M341=""),"Missing next action",IF(M341&lt;S_Today,"Overdue",IF(AND(C341="Contacted",_xlfn.MAXIFS(Interactions!$A$3:$A$502,Interactions!$B$3:$B$502,A341,Interactions!$F$3:$F$502,"Sent by us")&gt;0,_xlfn.MAXIFS(Interactions!$A$3:$A$502,Interactions!$B$3:$B$502,A341,Interactions!$F$3:$F$502,"Sent by us")&lt;=S_Today-S_NoReplyDays,MAX(_xlfn.MAXIFS(Interactions!$A$3:$A$502,Interactions!$B$3:$B$502,A341,Interactions!$F$3:$F$502,"Received from them"),_xlfn.MAXIFS(Interactions!$A$3:$A$502,Interactions!$B$3:$B$502,A341,Interactions!$F$3:$F$502,"Two-way"))&lt;_xlfn.MAXIFS(Interactions!$A$3:$A$502,Interactions!$B$3:$B$502,A341,Interactions!$F$3:$F$502,"Sent by us")),"No reply",IF(M341&lt;=S_Today+7,"Due this week","")))))))</f>
        <v/>
      </c>
      <c r="Z341" s="34" t="str">
        <f aca="false">IF(OR(A341="",Y341=""),"",IF(Y341="Renewal due",100000,IF(Y341="Overdue",200000,IF(Y341="No reply",300000,IF(Y341="Due this week",400000,500000))))+IF(Y341="Renewal due",P341-40000,IF(Y341="Missing next action",0,M341-40000))+ROW()/100000)</f>
        <v/>
      </c>
      <c r="AA341" s="32" t="str">
        <f aca="false">IF(A341="","",_xlfn.TEXTJOIN(", ",TRUE(),IF(AND(X341="Yes",D341=""),"No owner",IF(AND(D341&lt;&gt;"",COUNTIFS(R_TeamName,D341,R_TeamActive,"No")&gt;0),"Needs new owner","")),IF(AND(OR(C341="Proposal sent",C341="Negotiation"),H341="",I341="",K341=""),"Add package or proposed value",""),IF(AND(C341="Won",OR(P341="",V341="")),"Won needs renewal date and closed on",""),IF(AND(C341="Won",G341="Cash",J341=""),"Add agreed value",""),IF(AND(C341="Lost",OR(S341="",V341="")),"Lost needs reason and closed on",""),IF(AND(C341="Nurture",OR(T341="",U341="")),"Nurture needs reason and date","")))</f>
        <v/>
      </c>
      <c r="AB341" s="34" t="str">
        <f aca="false">IF(AND(C341="Won",V341&lt;&gt;"",V341&gt;=S_SemStart,V341&lt;=S_SemEnd),V341+ROW()/100000,"")</f>
        <v/>
      </c>
      <c r="AC341" s="34" t="str">
        <f aca="false">IF(AND(C341="Lost",V341&lt;&gt;"",V341&gt;=S_SemStart,V341&lt;=S_SemEnd),V341+ROW()/100000,"")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9"/>
      <c r="J342" s="29"/>
      <c r="K342" s="27"/>
      <c r="L342" s="27"/>
      <c r="M342" s="28"/>
      <c r="N342" s="28"/>
      <c r="O342" s="28"/>
      <c r="P342" s="28"/>
      <c r="Q342" s="27"/>
      <c r="R342" s="27"/>
      <c r="S342" s="27"/>
      <c r="T342" s="27"/>
      <c r="U342" s="28"/>
      <c r="V342" s="28"/>
      <c r="W342" s="27"/>
      <c r="X342" s="32" t="str">
        <f aca="false">IF(A342="","",IF(OR(C342="Planned",C342="Contacted",C342="Meeting",C342="Proposal sent",C342="Negotiation"),"Yes","No"))</f>
        <v/>
      </c>
      <c r="Y342" s="32" t="str">
        <f aca="false">IF(A342="","",IF(AND(C342="Won",P342&lt;&gt;"",P342&lt;=S_Today+S_RenewalDays,COUNTIFS($A$3:$A$502,A342,$F$3:$F$502,"Yes",$X$3:$X$502,"Yes")=0),"Renewal due",IF(X342&lt;&gt;"Yes","",IF(OR(L342="",M342=""),"Missing next action",IF(M342&lt;S_Today,"Overdue",IF(AND(C342="Contacted",_xlfn.MAXIFS(Interactions!$A$3:$A$502,Interactions!$B$3:$B$502,A342,Interactions!$F$3:$F$502,"Sent by us")&gt;0,_xlfn.MAXIFS(Interactions!$A$3:$A$502,Interactions!$B$3:$B$502,A342,Interactions!$F$3:$F$502,"Sent by us")&lt;=S_Today-S_NoReplyDays,MAX(_xlfn.MAXIFS(Interactions!$A$3:$A$502,Interactions!$B$3:$B$502,A342,Interactions!$F$3:$F$502,"Received from them"),_xlfn.MAXIFS(Interactions!$A$3:$A$502,Interactions!$B$3:$B$502,A342,Interactions!$F$3:$F$502,"Two-way"))&lt;_xlfn.MAXIFS(Interactions!$A$3:$A$502,Interactions!$B$3:$B$502,A342,Interactions!$F$3:$F$502,"Sent by us")),"No reply",IF(M342&lt;=S_Today+7,"Due this week","")))))))</f>
        <v/>
      </c>
      <c r="Z342" s="34" t="str">
        <f aca="false">IF(OR(A342="",Y342=""),"",IF(Y342="Renewal due",100000,IF(Y342="Overdue",200000,IF(Y342="No reply",300000,IF(Y342="Due this week",400000,500000))))+IF(Y342="Renewal due",P342-40000,IF(Y342="Missing next action",0,M342-40000))+ROW()/100000)</f>
        <v/>
      </c>
      <c r="AA342" s="32" t="str">
        <f aca="false">IF(A342="","",_xlfn.TEXTJOIN(", ",TRUE(),IF(AND(X342="Yes",D342=""),"No owner",IF(AND(D342&lt;&gt;"",COUNTIFS(R_TeamName,D342,R_TeamActive,"No")&gt;0),"Needs new owner","")),IF(AND(OR(C342="Proposal sent",C342="Negotiation"),H342="",I342="",K342=""),"Add package or proposed value",""),IF(AND(C342="Won",OR(P342="",V342="")),"Won needs renewal date and closed on",""),IF(AND(C342="Won",G342="Cash",J342=""),"Add agreed value",""),IF(AND(C342="Lost",OR(S342="",V342="")),"Lost needs reason and closed on",""),IF(AND(C342="Nurture",OR(T342="",U342="")),"Nurture needs reason and date","")))</f>
        <v/>
      </c>
      <c r="AB342" s="34" t="str">
        <f aca="false">IF(AND(C342="Won",V342&lt;&gt;"",V342&gt;=S_SemStart,V342&lt;=S_SemEnd),V342+ROW()/100000,"")</f>
        <v/>
      </c>
      <c r="AC342" s="34" t="str">
        <f aca="false">IF(AND(C342="Lost",V342&lt;&gt;"",V342&gt;=S_SemStart,V342&lt;=S_SemEnd),V342+ROW()/100000,"")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9"/>
      <c r="J343" s="29"/>
      <c r="K343" s="27"/>
      <c r="L343" s="27"/>
      <c r="M343" s="28"/>
      <c r="N343" s="28"/>
      <c r="O343" s="28"/>
      <c r="P343" s="28"/>
      <c r="Q343" s="27"/>
      <c r="R343" s="27"/>
      <c r="S343" s="27"/>
      <c r="T343" s="27"/>
      <c r="U343" s="28"/>
      <c r="V343" s="28"/>
      <c r="W343" s="27"/>
      <c r="X343" s="32" t="str">
        <f aca="false">IF(A343="","",IF(OR(C343="Planned",C343="Contacted",C343="Meeting",C343="Proposal sent",C343="Negotiation"),"Yes","No"))</f>
        <v/>
      </c>
      <c r="Y343" s="32" t="str">
        <f aca="false">IF(A343="","",IF(AND(C343="Won",P343&lt;&gt;"",P343&lt;=S_Today+S_RenewalDays,COUNTIFS($A$3:$A$502,A343,$F$3:$F$502,"Yes",$X$3:$X$502,"Yes")=0),"Renewal due",IF(X343&lt;&gt;"Yes","",IF(OR(L343="",M343=""),"Missing next action",IF(M343&lt;S_Today,"Overdue",IF(AND(C343="Contacted",_xlfn.MAXIFS(Interactions!$A$3:$A$502,Interactions!$B$3:$B$502,A343,Interactions!$F$3:$F$502,"Sent by us")&gt;0,_xlfn.MAXIFS(Interactions!$A$3:$A$502,Interactions!$B$3:$B$502,A343,Interactions!$F$3:$F$502,"Sent by us")&lt;=S_Today-S_NoReplyDays,MAX(_xlfn.MAXIFS(Interactions!$A$3:$A$502,Interactions!$B$3:$B$502,A343,Interactions!$F$3:$F$502,"Received from them"),_xlfn.MAXIFS(Interactions!$A$3:$A$502,Interactions!$B$3:$B$502,A343,Interactions!$F$3:$F$502,"Two-way"))&lt;_xlfn.MAXIFS(Interactions!$A$3:$A$502,Interactions!$B$3:$B$502,A343,Interactions!$F$3:$F$502,"Sent by us")),"No reply",IF(M343&lt;=S_Today+7,"Due this week","")))))))</f>
        <v/>
      </c>
      <c r="Z343" s="34" t="str">
        <f aca="false">IF(OR(A343="",Y343=""),"",IF(Y343="Renewal due",100000,IF(Y343="Overdue",200000,IF(Y343="No reply",300000,IF(Y343="Due this week",400000,500000))))+IF(Y343="Renewal due",P343-40000,IF(Y343="Missing next action",0,M343-40000))+ROW()/100000)</f>
        <v/>
      </c>
      <c r="AA343" s="32" t="str">
        <f aca="false">IF(A343="","",_xlfn.TEXTJOIN(", ",TRUE(),IF(AND(X343="Yes",D343=""),"No owner",IF(AND(D343&lt;&gt;"",COUNTIFS(R_TeamName,D343,R_TeamActive,"No")&gt;0),"Needs new owner","")),IF(AND(OR(C343="Proposal sent",C343="Negotiation"),H343="",I343="",K343=""),"Add package or proposed value",""),IF(AND(C343="Won",OR(P343="",V343="")),"Won needs renewal date and closed on",""),IF(AND(C343="Won",G343="Cash",J343=""),"Add agreed value",""),IF(AND(C343="Lost",OR(S343="",V343="")),"Lost needs reason and closed on",""),IF(AND(C343="Nurture",OR(T343="",U343="")),"Nurture needs reason and date","")))</f>
        <v/>
      </c>
      <c r="AB343" s="34" t="str">
        <f aca="false">IF(AND(C343="Won",V343&lt;&gt;"",V343&gt;=S_SemStart,V343&lt;=S_SemEnd),V343+ROW()/100000,"")</f>
        <v/>
      </c>
      <c r="AC343" s="34" t="str">
        <f aca="false">IF(AND(C343="Lost",V343&lt;&gt;"",V343&gt;=S_SemStart,V343&lt;=S_SemEnd),V343+ROW()/100000,"")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9"/>
      <c r="J344" s="29"/>
      <c r="K344" s="27"/>
      <c r="L344" s="27"/>
      <c r="M344" s="28"/>
      <c r="N344" s="28"/>
      <c r="O344" s="28"/>
      <c r="P344" s="28"/>
      <c r="Q344" s="27"/>
      <c r="R344" s="27"/>
      <c r="S344" s="27"/>
      <c r="T344" s="27"/>
      <c r="U344" s="28"/>
      <c r="V344" s="28"/>
      <c r="W344" s="27"/>
      <c r="X344" s="32" t="str">
        <f aca="false">IF(A344="","",IF(OR(C344="Planned",C344="Contacted",C344="Meeting",C344="Proposal sent",C344="Negotiation"),"Yes","No"))</f>
        <v/>
      </c>
      <c r="Y344" s="32" t="str">
        <f aca="false">IF(A344="","",IF(AND(C344="Won",P344&lt;&gt;"",P344&lt;=S_Today+S_RenewalDays,COUNTIFS($A$3:$A$502,A344,$F$3:$F$502,"Yes",$X$3:$X$502,"Yes")=0),"Renewal due",IF(X344&lt;&gt;"Yes","",IF(OR(L344="",M344=""),"Missing next action",IF(M344&lt;S_Today,"Overdue",IF(AND(C344="Contacted",_xlfn.MAXIFS(Interactions!$A$3:$A$502,Interactions!$B$3:$B$502,A344,Interactions!$F$3:$F$502,"Sent by us")&gt;0,_xlfn.MAXIFS(Interactions!$A$3:$A$502,Interactions!$B$3:$B$502,A344,Interactions!$F$3:$F$502,"Sent by us")&lt;=S_Today-S_NoReplyDays,MAX(_xlfn.MAXIFS(Interactions!$A$3:$A$502,Interactions!$B$3:$B$502,A344,Interactions!$F$3:$F$502,"Received from them"),_xlfn.MAXIFS(Interactions!$A$3:$A$502,Interactions!$B$3:$B$502,A344,Interactions!$F$3:$F$502,"Two-way"))&lt;_xlfn.MAXIFS(Interactions!$A$3:$A$502,Interactions!$B$3:$B$502,A344,Interactions!$F$3:$F$502,"Sent by us")),"No reply",IF(M344&lt;=S_Today+7,"Due this week","")))))))</f>
        <v/>
      </c>
      <c r="Z344" s="34" t="str">
        <f aca="false">IF(OR(A344="",Y344=""),"",IF(Y344="Renewal due",100000,IF(Y344="Overdue",200000,IF(Y344="No reply",300000,IF(Y344="Due this week",400000,500000))))+IF(Y344="Renewal due",P344-40000,IF(Y344="Missing next action",0,M344-40000))+ROW()/100000)</f>
        <v/>
      </c>
      <c r="AA344" s="32" t="str">
        <f aca="false">IF(A344="","",_xlfn.TEXTJOIN(", ",TRUE(),IF(AND(X344="Yes",D344=""),"No owner",IF(AND(D344&lt;&gt;"",COUNTIFS(R_TeamName,D344,R_TeamActive,"No")&gt;0),"Needs new owner","")),IF(AND(OR(C344="Proposal sent",C344="Negotiation"),H344="",I344="",K344=""),"Add package or proposed value",""),IF(AND(C344="Won",OR(P344="",V344="")),"Won needs renewal date and closed on",""),IF(AND(C344="Won",G344="Cash",J344=""),"Add agreed value",""),IF(AND(C344="Lost",OR(S344="",V344="")),"Lost needs reason and closed on",""),IF(AND(C344="Nurture",OR(T344="",U344="")),"Nurture needs reason and date","")))</f>
        <v/>
      </c>
      <c r="AB344" s="34" t="str">
        <f aca="false">IF(AND(C344="Won",V344&lt;&gt;"",V344&gt;=S_SemStart,V344&lt;=S_SemEnd),V344+ROW()/100000,"")</f>
        <v/>
      </c>
      <c r="AC344" s="34" t="str">
        <f aca="false">IF(AND(C344="Lost",V344&lt;&gt;"",V344&gt;=S_SemStart,V344&lt;=S_SemEnd),V344+ROW()/100000,"")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9"/>
      <c r="J345" s="29"/>
      <c r="K345" s="27"/>
      <c r="L345" s="27"/>
      <c r="M345" s="28"/>
      <c r="N345" s="28"/>
      <c r="O345" s="28"/>
      <c r="P345" s="28"/>
      <c r="Q345" s="27"/>
      <c r="R345" s="27"/>
      <c r="S345" s="27"/>
      <c r="T345" s="27"/>
      <c r="U345" s="28"/>
      <c r="V345" s="28"/>
      <c r="W345" s="27"/>
      <c r="X345" s="32" t="str">
        <f aca="false">IF(A345="","",IF(OR(C345="Planned",C345="Contacted",C345="Meeting",C345="Proposal sent",C345="Negotiation"),"Yes","No"))</f>
        <v/>
      </c>
      <c r="Y345" s="32" t="str">
        <f aca="false">IF(A345="","",IF(AND(C345="Won",P345&lt;&gt;"",P345&lt;=S_Today+S_RenewalDays,COUNTIFS($A$3:$A$502,A345,$F$3:$F$502,"Yes",$X$3:$X$502,"Yes")=0),"Renewal due",IF(X345&lt;&gt;"Yes","",IF(OR(L345="",M345=""),"Missing next action",IF(M345&lt;S_Today,"Overdue",IF(AND(C345="Contacted",_xlfn.MAXIFS(Interactions!$A$3:$A$502,Interactions!$B$3:$B$502,A345,Interactions!$F$3:$F$502,"Sent by us")&gt;0,_xlfn.MAXIFS(Interactions!$A$3:$A$502,Interactions!$B$3:$B$502,A345,Interactions!$F$3:$F$502,"Sent by us")&lt;=S_Today-S_NoReplyDays,MAX(_xlfn.MAXIFS(Interactions!$A$3:$A$502,Interactions!$B$3:$B$502,A345,Interactions!$F$3:$F$502,"Received from them"),_xlfn.MAXIFS(Interactions!$A$3:$A$502,Interactions!$B$3:$B$502,A345,Interactions!$F$3:$F$502,"Two-way"))&lt;_xlfn.MAXIFS(Interactions!$A$3:$A$502,Interactions!$B$3:$B$502,A345,Interactions!$F$3:$F$502,"Sent by us")),"No reply",IF(M345&lt;=S_Today+7,"Due this week","")))))))</f>
        <v/>
      </c>
      <c r="Z345" s="34" t="str">
        <f aca="false">IF(OR(A345="",Y345=""),"",IF(Y345="Renewal due",100000,IF(Y345="Overdue",200000,IF(Y345="No reply",300000,IF(Y345="Due this week",400000,500000))))+IF(Y345="Renewal due",P345-40000,IF(Y345="Missing next action",0,M345-40000))+ROW()/100000)</f>
        <v/>
      </c>
      <c r="AA345" s="32" t="str">
        <f aca="false">IF(A345="","",_xlfn.TEXTJOIN(", ",TRUE(),IF(AND(X345="Yes",D345=""),"No owner",IF(AND(D345&lt;&gt;"",COUNTIFS(R_TeamName,D345,R_TeamActive,"No")&gt;0),"Needs new owner","")),IF(AND(OR(C345="Proposal sent",C345="Negotiation"),H345="",I345="",K345=""),"Add package or proposed value",""),IF(AND(C345="Won",OR(P345="",V345="")),"Won needs renewal date and closed on",""),IF(AND(C345="Won",G345="Cash",J345=""),"Add agreed value",""),IF(AND(C345="Lost",OR(S345="",V345="")),"Lost needs reason and closed on",""),IF(AND(C345="Nurture",OR(T345="",U345="")),"Nurture needs reason and date","")))</f>
        <v/>
      </c>
      <c r="AB345" s="34" t="str">
        <f aca="false">IF(AND(C345="Won",V345&lt;&gt;"",V345&gt;=S_SemStart,V345&lt;=S_SemEnd),V345+ROW()/100000,"")</f>
        <v/>
      </c>
      <c r="AC345" s="34" t="str">
        <f aca="false">IF(AND(C345="Lost",V345&lt;&gt;"",V345&gt;=S_SemStart,V345&lt;=S_SemEnd),V345+ROW()/100000,"")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9"/>
      <c r="J346" s="29"/>
      <c r="K346" s="27"/>
      <c r="L346" s="27"/>
      <c r="M346" s="28"/>
      <c r="N346" s="28"/>
      <c r="O346" s="28"/>
      <c r="P346" s="28"/>
      <c r="Q346" s="27"/>
      <c r="R346" s="27"/>
      <c r="S346" s="27"/>
      <c r="T346" s="27"/>
      <c r="U346" s="28"/>
      <c r="V346" s="28"/>
      <c r="W346" s="27"/>
      <c r="X346" s="32" t="str">
        <f aca="false">IF(A346="","",IF(OR(C346="Planned",C346="Contacted",C346="Meeting",C346="Proposal sent",C346="Negotiation"),"Yes","No"))</f>
        <v/>
      </c>
      <c r="Y346" s="32" t="str">
        <f aca="false">IF(A346="","",IF(AND(C346="Won",P346&lt;&gt;"",P346&lt;=S_Today+S_RenewalDays,COUNTIFS($A$3:$A$502,A346,$F$3:$F$502,"Yes",$X$3:$X$502,"Yes")=0),"Renewal due",IF(X346&lt;&gt;"Yes","",IF(OR(L346="",M346=""),"Missing next action",IF(M346&lt;S_Today,"Overdue",IF(AND(C346="Contacted",_xlfn.MAXIFS(Interactions!$A$3:$A$502,Interactions!$B$3:$B$502,A346,Interactions!$F$3:$F$502,"Sent by us")&gt;0,_xlfn.MAXIFS(Interactions!$A$3:$A$502,Interactions!$B$3:$B$502,A346,Interactions!$F$3:$F$502,"Sent by us")&lt;=S_Today-S_NoReplyDays,MAX(_xlfn.MAXIFS(Interactions!$A$3:$A$502,Interactions!$B$3:$B$502,A346,Interactions!$F$3:$F$502,"Received from them"),_xlfn.MAXIFS(Interactions!$A$3:$A$502,Interactions!$B$3:$B$502,A346,Interactions!$F$3:$F$502,"Two-way"))&lt;_xlfn.MAXIFS(Interactions!$A$3:$A$502,Interactions!$B$3:$B$502,A346,Interactions!$F$3:$F$502,"Sent by us")),"No reply",IF(M346&lt;=S_Today+7,"Due this week","")))))))</f>
        <v/>
      </c>
      <c r="Z346" s="34" t="str">
        <f aca="false">IF(OR(A346="",Y346=""),"",IF(Y346="Renewal due",100000,IF(Y346="Overdue",200000,IF(Y346="No reply",300000,IF(Y346="Due this week",400000,500000))))+IF(Y346="Renewal due",P346-40000,IF(Y346="Missing next action",0,M346-40000))+ROW()/100000)</f>
        <v/>
      </c>
      <c r="AA346" s="32" t="str">
        <f aca="false">IF(A346="","",_xlfn.TEXTJOIN(", ",TRUE(),IF(AND(X346="Yes",D346=""),"No owner",IF(AND(D346&lt;&gt;"",COUNTIFS(R_TeamName,D346,R_TeamActive,"No")&gt;0),"Needs new owner","")),IF(AND(OR(C346="Proposal sent",C346="Negotiation"),H346="",I346="",K346=""),"Add package or proposed value",""),IF(AND(C346="Won",OR(P346="",V346="")),"Won needs renewal date and closed on",""),IF(AND(C346="Won",G346="Cash",J346=""),"Add agreed value",""),IF(AND(C346="Lost",OR(S346="",V346="")),"Lost needs reason and closed on",""),IF(AND(C346="Nurture",OR(T346="",U346="")),"Nurture needs reason and date","")))</f>
        <v/>
      </c>
      <c r="AB346" s="34" t="str">
        <f aca="false">IF(AND(C346="Won",V346&lt;&gt;"",V346&gt;=S_SemStart,V346&lt;=S_SemEnd),V346+ROW()/100000,"")</f>
        <v/>
      </c>
      <c r="AC346" s="34" t="str">
        <f aca="false">IF(AND(C346="Lost",V346&lt;&gt;"",V346&gt;=S_SemStart,V346&lt;=S_SemEnd),V346+ROW()/100000,"")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9"/>
      <c r="J347" s="29"/>
      <c r="K347" s="27"/>
      <c r="L347" s="27"/>
      <c r="M347" s="28"/>
      <c r="N347" s="28"/>
      <c r="O347" s="28"/>
      <c r="P347" s="28"/>
      <c r="Q347" s="27"/>
      <c r="R347" s="27"/>
      <c r="S347" s="27"/>
      <c r="T347" s="27"/>
      <c r="U347" s="28"/>
      <c r="V347" s="28"/>
      <c r="W347" s="27"/>
      <c r="X347" s="32" t="str">
        <f aca="false">IF(A347="","",IF(OR(C347="Planned",C347="Contacted",C347="Meeting",C347="Proposal sent",C347="Negotiation"),"Yes","No"))</f>
        <v/>
      </c>
      <c r="Y347" s="32" t="str">
        <f aca="false">IF(A347="","",IF(AND(C347="Won",P347&lt;&gt;"",P347&lt;=S_Today+S_RenewalDays,COUNTIFS($A$3:$A$502,A347,$F$3:$F$502,"Yes",$X$3:$X$502,"Yes")=0),"Renewal due",IF(X347&lt;&gt;"Yes","",IF(OR(L347="",M347=""),"Missing next action",IF(M347&lt;S_Today,"Overdue",IF(AND(C347="Contacted",_xlfn.MAXIFS(Interactions!$A$3:$A$502,Interactions!$B$3:$B$502,A347,Interactions!$F$3:$F$502,"Sent by us")&gt;0,_xlfn.MAXIFS(Interactions!$A$3:$A$502,Interactions!$B$3:$B$502,A347,Interactions!$F$3:$F$502,"Sent by us")&lt;=S_Today-S_NoReplyDays,MAX(_xlfn.MAXIFS(Interactions!$A$3:$A$502,Interactions!$B$3:$B$502,A347,Interactions!$F$3:$F$502,"Received from them"),_xlfn.MAXIFS(Interactions!$A$3:$A$502,Interactions!$B$3:$B$502,A347,Interactions!$F$3:$F$502,"Two-way"))&lt;_xlfn.MAXIFS(Interactions!$A$3:$A$502,Interactions!$B$3:$B$502,A347,Interactions!$F$3:$F$502,"Sent by us")),"No reply",IF(M347&lt;=S_Today+7,"Due this week","")))))))</f>
        <v/>
      </c>
      <c r="Z347" s="34" t="str">
        <f aca="false">IF(OR(A347="",Y347=""),"",IF(Y347="Renewal due",100000,IF(Y347="Overdue",200000,IF(Y347="No reply",300000,IF(Y347="Due this week",400000,500000))))+IF(Y347="Renewal due",P347-40000,IF(Y347="Missing next action",0,M347-40000))+ROW()/100000)</f>
        <v/>
      </c>
      <c r="AA347" s="32" t="str">
        <f aca="false">IF(A347="","",_xlfn.TEXTJOIN(", ",TRUE(),IF(AND(X347="Yes",D347=""),"No owner",IF(AND(D347&lt;&gt;"",COUNTIFS(R_TeamName,D347,R_TeamActive,"No")&gt;0),"Needs new owner","")),IF(AND(OR(C347="Proposal sent",C347="Negotiation"),H347="",I347="",K347=""),"Add package or proposed value",""),IF(AND(C347="Won",OR(P347="",V347="")),"Won needs renewal date and closed on",""),IF(AND(C347="Won",G347="Cash",J347=""),"Add agreed value",""),IF(AND(C347="Lost",OR(S347="",V347="")),"Lost needs reason and closed on",""),IF(AND(C347="Nurture",OR(T347="",U347="")),"Nurture needs reason and date","")))</f>
        <v/>
      </c>
      <c r="AB347" s="34" t="str">
        <f aca="false">IF(AND(C347="Won",V347&lt;&gt;"",V347&gt;=S_SemStart,V347&lt;=S_SemEnd),V347+ROW()/100000,"")</f>
        <v/>
      </c>
      <c r="AC347" s="34" t="str">
        <f aca="false">IF(AND(C347="Lost",V347&lt;&gt;"",V347&gt;=S_SemStart,V347&lt;=S_SemEnd),V347+ROW()/100000,"")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9"/>
      <c r="J348" s="29"/>
      <c r="K348" s="27"/>
      <c r="L348" s="27"/>
      <c r="M348" s="28"/>
      <c r="N348" s="28"/>
      <c r="O348" s="28"/>
      <c r="P348" s="28"/>
      <c r="Q348" s="27"/>
      <c r="R348" s="27"/>
      <c r="S348" s="27"/>
      <c r="T348" s="27"/>
      <c r="U348" s="28"/>
      <c r="V348" s="28"/>
      <c r="W348" s="27"/>
      <c r="X348" s="32" t="str">
        <f aca="false">IF(A348="","",IF(OR(C348="Planned",C348="Contacted",C348="Meeting",C348="Proposal sent",C348="Negotiation"),"Yes","No"))</f>
        <v/>
      </c>
      <c r="Y348" s="32" t="str">
        <f aca="false">IF(A348="","",IF(AND(C348="Won",P348&lt;&gt;"",P348&lt;=S_Today+S_RenewalDays,COUNTIFS($A$3:$A$502,A348,$F$3:$F$502,"Yes",$X$3:$X$502,"Yes")=0),"Renewal due",IF(X348&lt;&gt;"Yes","",IF(OR(L348="",M348=""),"Missing next action",IF(M348&lt;S_Today,"Overdue",IF(AND(C348="Contacted",_xlfn.MAXIFS(Interactions!$A$3:$A$502,Interactions!$B$3:$B$502,A348,Interactions!$F$3:$F$502,"Sent by us")&gt;0,_xlfn.MAXIFS(Interactions!$A$3:$A$502,Interactions!$B$3:$B$502,A348,Interactions!$F$3:$F$502,"Sent by us")&lt;=S_Today-S_NoReplyDays,MAX(_xlfn.MAXIFS(Interactions!$A$3:$A$502,Interactions!$B$3:$B$502,A348,Interactions!$F$3:$F$502,"Received from them"),_xlfn.MAXIFS(Interactions!$A$3:$A$502,Interactions!$B$3:$B$502,A348,Interactions!$F$3:$F$502,"Two-way"))&lt;_xlfn.MAXIFS(Interactions!$A$3:$A$502,Interactions!$B$3:$B$502,A348,Interactions!$F$3:$F$502,"Sent by us")),"No reply",IF(M348&lt;=S_Today+7,"Due this week","")))))))</f>
        <v/>
      </c>
      <c r="Z348" s="34" t="str">
        <f aca="false">IF(OR(A348="",Y348=""),"",IF(Y348="Renewal due",100000,IF(Y348="Overdue",200000,IF(Y348="No reply",300000,IF(Y348="Due this week",400000,500000))))+IF(Y348="Renewal due",P348-40000,IF(Y348="Missing next action",0,M348-40000))+ROW()/100000)</f>
        <v/>
      </c>
      <c r="AA348" s="32" t="str">
        <f aca="false">IF(A348="","",_xlfn.TEXTJOIN(", ",TRUE(),IF(AND(X348="Yes",D348=""),"No owner",IF(AND(D348&lt;&gt;"",COUNTIFS(R_TeamName,D348,R_TeamActive,"No")&gt;0),"Needs new owner","")),IF(AND(OR(C348="Proposal sent",C348="Negotiation"),H348="",I348="",K348=""),"Add package or proposed value",""),IF(AND(C348="Won",OR(P348="",V348="")),"Won needs renewal date and closed on",""),IF(AND(C348="Won",G348="Cash",J348=""),"Add agreed value",""),IF(AND(C348="Lost",OR(S348="",V348="")),"Lost needs reason and closed on",""),IF(AND(C348="Nurture",OR(T348="",U348="")),"Nurture needs reason and date","")))</f>
        <v/>
      </c>
      <c r="AB348" s="34" t="str">
        <f aca="false">IF(AND(C348="Won",V348&lt;&gt;"",V348&gt;=S_SemStart,V348&lt;=S_SemEnd),V348+ROW()/100000,"")</f>
        <v/>
      </c>
      <c r="AC348" s="34" t="str">
        <f aca="false">IF(AND(C348="Lost",V348&lt;&gt;"",V348&gt;=S_SemStart,V348&lt;=S_SemEnd),V348+ROW()/100000,"")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9"/>
      <c r="J349" s="29"/>
      <c r="K349" s="27"/>
      <c r="L349" s="27"/>
      <c r="M349" s="28"/>
      <c r="N349" s="28"/>
      <c r="O349" s="28"/>
      <c r="P349" s="28"/>
      <c r="Q349" s="27"/>
      <c r="R349" s="27"/>
      <c r="S349" s="27"/>
      <c r="T349" s="27"/>
      <c r="U349" s="28"/>
      <c r="V349" s="28"/>
      <c r="W349" s="27"/>
      <c r="X349" s="32" t="str">
        <f aca="false">IF(A349="","",IF(OR(C349="Planned",C349="Contacted",C349="Meeting",C349="Proposal sent",C349="Negotiation"),"Yes","No"))</f>
        <v/>
      </c>
      <c r="Y349" s="32" t="str">
        <f aca="false">IF(A349="","",IF(AND(C349="Won",P349&lt;&gt;"",P349&lt;=S_Today+S_RenewalDays,COUNTIFS($A$3:$A$502,A349,$F$3:$F$502,"Yes",$X$3:$X$502,"Yes")=0),"Renewal due",IF(X349&lt;&gt;"Yes","",IF(OR(L349="",M349=""),"Missing next action",IF(M349&lt;S_Today,"Overdue",IF(AND(C349="Contacted",_xlfn.MAXIFS(Interactions!$A$3:$A$502,Interactions!$B$3:$B$502,A349,Interactions!$F$3:$F$502,"Sent by us")&gt;0,_xlfn.MAXIFS(Interactions!$A$3:$A$502,Interactions!$B$3:$B$502,A349,Interactions!$F$3:$F$502,"Sent by us")&lt;=S_Today-S_NoReplyDays,MAX(_xlfn.MAXIFS(Interactions!$A$3:$A$502,Interactions!$B$3:$B$502,A349,Interactions!$F$3:$F$502,"Received from them"),_xlfn.MAXIFS(Interactions!$A$3:$A$502,Interactions!$B$3:$B$502,A349,Interactions!$F$3:$F$502,"Two-way"))&lt;_xlfn.MAXIFS(Interactions!$A$3:$A$502,Interactions!$B$3:$B$502,A349,Interactions!$F$3:$F$502,"Sent by us")),"No reply",IF(M349&lt;=S_Today+7,"Due this week","")))))))</f>
        <v/>
      </c>
      <c r="Z349" s="34" t="str">
        <f aca="false">IF(OR(A349="",Y349=""),"",IF(Y349="Renewal due",100000,IF(Y349="Overdue",200000,IF(Y349="No reply",300000,IF(Y349="Due this week",400000,500000))))+IF(Y349="Renewal due",P349-40000,IF(Y349="Missing next action",0,M349-40000))+ROW()/100000)</f>
        <v/>
      </c>
      <c r="AA349" s="32" t="str">
        <f aca="false">IF(A349="","",_xlfn.TEXTJOIN(", ",TRUE(),IF(AND(X349="Yes",D349=""),"No owner",IF(AND(D349&lt;&gt;"",COUNTIFS(R_TeamName,D349,R_TeamActive,"No")&gt;0),"Needs new owner","")),IF(AND(OR(C349="Proposal sent",C349="Negotiation"),H349="",I349="",K349=""),"Add package or proposed value",""),IF(AND(C349="Won",OR(P349="",V349="")),"Won needs renewal date and closed on",""),IF(AND(C349="Won",G349="Cash",J349=""),"Add agreed value",""),IF(AND(C349="Lost",OR(S349="",V349="")),"Lost needs reason and closed on",""),IF(AND(C349="Nurture",OR(T349="",U349="")),"Nurture needs reason and date","")))</f>
        <v/>
      </c>
      <c r="AB349" s="34" t="str">
        <f aca="false">IF(AND(C349="Won",V349&lt;&gt;"",V349&gt;=S_SemStart,V349&lt;=S_SemEnd),V349+ROW()/100000,"")</f>
        <v/>
      </c>
      <c r="AC349" s="34" t="str">
        <f aca="false">IF(AND(C349="Lost",V349&lt;&gt;"",V349&gt;=S_SemStart,V349&lt;=S_SemEnd),V349+ROW()/100000,"")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9"/>
      <c r="J350" s="29"/>
      <c r="K350" s="27"/>
      <c r="L350" s="27"/>
      <c r="M350" s="28"/>
      <c r="N350" s="28"/>
      <c r="O350" s="28"/>
      <c r="P350" s="28"/>
      <c r="Q350" s="27"/>
      <c r="R350" s="27"/>
      <c r="S350" s="27"/>
      <c r="T350" s="27"/>
      <c r="U350" s="28"/>
      <c r="V350" s="28"/>
      <c r="W350" s="27"/>
      <c r="X350" s="32" t="str">
        <f aca="false">IF(A350="","",IF(OR(C350="Planned",C350="Contacted",C350="Meeting",C350="Proposal sent",C350="Negotiation"),"Yes","No"))</f>
        <v/>
      </c>
      <c r="Y350" s="32" t="str">
        <f aca="false">IF(A350="","",IF(AND(C350="Won",P350&lt;&gt;"",P350&lt;=S_Today+S_RenewalDays,COUNTIFS($A$3:$A$502,A350,$F$3:$F$502,"Yes",$X$3:$X$502,"Yes")=0),"Renewal due",IF(X350&lt;&gt;"Yes","",IF(OR(L350="",M350=""),"Missing next action",IF(M350&lt;S_Today,"Overdue",IF(AND(C350="Contacted",_xlfn.MAXIFS(Interactions!$A$3:$A$502,Interactions!$B$3:$B$502,A350,Interactions!$F$3:$F$502,"Sent by us")&gt;0,_xlfn.MAXIFS(Interactions!$A$3:$A$502,Interactions!$B$3:$B$502,A350,Interactions!$F$3:$F$502,"Sent by us")&lt;=S_Today-S_NoReplyDays,MAX(_xlfn.MAXIFS(Interactions!$A$3:$A$502,Interactions!$B$3:$B$502,A350,Interactions!$F$3:$F$502,"Received from them"),_xlfn.MAXIFS(Interactions!$A$3:$A$502,Interactions!$B$3:$B$502,A350,Interactions!$F$3:$F$502,"Two-way"))&lt;_xlfn.MAXIFS(Interactions!$A$3:$A$502,Interactions!$B$3:$B$502,A350,Interactions!$F$3:$F$502,"Sent by us")),"No reply",IF(M350&lt;=S_Today+7,"Due this week","")))))))</f>
        <v/>
      </c>
      <c r="Z350" s="34" t="str">
        <f aca="false">IF(OR(A350="",Y350=""),"",IF(Y350="Renewal due",100000,IF(Y350="Overdue",200000,IF(Y350="No reply",300000,IF(Y350="Due this week",400000,500000))))+IF(Y350="Renewal due",P350-40000,IF(Y350="Missing next action",0,M350-40000))+ROW()/100000)</f>
        <v/>
      </c>
      <c r="AA350" s="32" t="str">
        <f aca="false">IF(A350="","",_xlfn.TEXTJOIN(", ",TRUE(),IF(AND(X350="Yes",D350=""),"No owner",IF(AND(D350&lt;&gt;"",COUNTIFS(R_TeamName,D350,R_TeamActive,"No")&gt;0),"Needs new owner","")),IF(AND(OR(C350="Proposal sent",C350="Negotiation"),H350="",I350="",K350=""),"Add package or proposed value",""),IF(AND(C350="Won",OR(P350="",V350="")),"Won needs renewal date and closed on",""),IF(AND(C350="Won",G350="Cash",J350=""),"Add agreed value",""),IF(AND(C350="Lost",OR(S350="",V350="")),"Lost needs reason and closed on",""),IF(AND(C350="Nurture",OR(T350="",U350="")),"Nurture needs reason and date","")))</f>
        <v/>
      </c>
      <c r="AB350" s="34" t="str">
        <f aca="false">IF(AND(C350="Won",V350&lt;&gt;"",V350&gt;=S_SemStart,V350&lt;=S_SemEnd),V350+ROW()/100000,"")</f>
        <v/>
      </c>
      <c r="AC350" s="34" t="str">
        <f aca="false">IF(AND(C350="Lost",V350&lt;&gt;"",V350&gt;=S_SemStart,V350&lt;=S_SemEnd),V350+ROW()/100000,"")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9"/>
      <c r="J351" s="29"/>
      <c r="K351" s="27"/>
      <c r="L351" s="27"/>
      <c r="M351" s="28"/>
      <c r="N351" s="28"/>
      <c r="O351" s="28"/>
      <c r="P351" s="28"/>
      <c r="Q351" s="27"/>
      <c r="R351" s="27"/>
      <c r="S351" s="27"/>
      <c r="T351" s="27"/>
      <c r="U351" s="28"/>
      <c r="V351" s="28"/>
      <c r="W351" s="27"/>
      <c r="X351" s="32" t="str">
        <f aca="false">IF(A351="","",IF(OR(C351="Planned",C351="Contacted",C351="Meeting",C351="Proposal sent",C351="Negotiation"),"Yes","No"))</f>
        <v/>
      </c>
      <c r="Y351" s="32" t="str">
        <f aca="false">IF(A351="","",IF(AND(C351="Won",P351&lt;&gt;"",P351&lt;=S_Today+S_RenewalDays,COUNTIFS($A$3:$A$502,A351,$F$3:$F$502,"Yes",$X$3:$X$502,"Yes")=0),"Renewal due",IF(X351&lt;&gt;"Yes","",IF(OR(L351="",M351=""),"Missing next action",IF(M351&lt;S_Today,"Overdue",IF(AND(C351="Contacted",_xlfn.MAXIFS(Interactions!$A$3:$A$502,Interactions!$B$3:$B$502,A351,Interactions!$F$3:$F$502,"Sent by us")&gt;0,_xlfn.MAXIFS(Interactions!$A$3:$A$502,Interactions!$B$3:$B$502,A351,Interactions!$F$3:$F$502,"Sent by us")&lt;=S_Today-S_NoReplyDays,MAX(_xlfn.MAXIFS(Interactions!$A$3:$A$502,Interactions!$B$3:$B$502,A351,Interactions!$F$3:$F$502,"Received from them"),_xlfn.MAXIFS(Interactions!$A$3:$A$502,Interactions!$B$3:$B$502,A351,Interactions!$F$3:$F$502,"Two-way"))&lt;_xlfn.MAXIFS(Interactions!$A$3:$A$502,Interactions!$B$3:$B$502,A351,Interactions!$F$3:$F$502,"Sent by us")),"No reply",IF(M351&lt;=S_Today+7,"Due this week","")))))))</f>
        <v/>
      </c>
      <c r="Z351" s="34" t="str">
        <f aca="false">IF(OR(A351="",Y351=""),"",IF(Y351="Renewal due",100000,IF(Y351="Overdue",200000,IF(Y351="No reply",300000,IF(Y351="Due this week",400000,500000))))+IF(Y351="Renewal due",P351-40000,IF(Y351="Missing next action",0,M351-40000))+ROW()/100000)</f>
        <v/>
      </c>
      <c r="AA351" s="32" t="str">
        <f aca="false">IF(A351="","",_xlfn.TEXTJOIN(", ",TRUE(),IF(AND(X351="Yes",D351=""),"No owner",IF(AND(D351&lt;&gt;"",COUNTIFS(R_TeamName,D351,R_TeamActive,"No")&gt;0),"Needs new owner","")),IF(AND(OR(C351="Proposal sent",C351="Negotiation"),H351="",I351="",K351=""),"Add package or proposed value",""),IF(AND(C351="Won",OR(P351="",V351="")),"Won needs renewal date and closed on",""),IF(AND(C351="Won",G351="Cash",J351=""),"Add agreed value",""),IF(AND(C351="Lost",OR(S351="",V351="")),"Lost needs reason and closed on",""),IF(AND(C351="Nurture",OR(T351="",U351="")),"Nurture needs reason and date","")))</f>
        <v/>
      </c>
      <c r="AB351" s="34" t="str">
        <f aca="false">IF(AND(C351="Won",V351&lt;&gt;"",V351&gt;=S_SemStart,V351&lt;=S_SemEnd),V351+ROW()/100000,"")</f>
        <v/>
      </c>
      <c r="AC351" s="34" t="str">
        <f aca="false">IF(AND(C351="Lost",V351&lt;&gt;"",V351&gt;=S_SemStart,V351&lt;=S_SemEnd),V351+ROW()/100000,"")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9"/>
      <c r="J352" s="29"/>
      <c r="K352" s="27"/>
      <c r="L352" s="27"/>
      <c r="M352" s="28"/>
      <c r="N352" s="28"/>
      <c r="O352" s="28"/>
      <c r="P352" s="28"/>
      <c r="Q352" s="27"/>
      <c r="R352" s="27"/>
      <c r="S352" s="27"/>
      <c r="T352" s="27"/>
      <c r="U352" s="28"/>
      <c r="V352" s="28"/>
      <c r="W352" s="27"/>
      <c r="X352" s="32" t="str">
        <f aca="false">IF(A352="","",IF(OR(C352="Planned",C352="Contacted",C352="Meeting",C352="Proposal sent",C352="Negotiation"),"Yes","No"))</f>
        <v/>
      </c>
      <c r="Y352" s="32" t="str">
        <f aca="false">IF(A352="","",IF(AND(C352="Won",P352&lt;&gt;"",P352&lt;=S_Today+S_RenewalDays,COUNTIFS($A$3:$A$502,A352,$F$3:$F$502,"Yes",$X$3:$X$502,"Yes")=0),"Renewal due",IF(X352&lt;&gt;"Yes","",IF(OR(L352="",M352=""),"Missing next action",IF(M352&lt;S_Today,"Overdue",IF(AND(C352="Contacted",_xlfn.MAXIFS(Interactions!$A$3:$A$502,Interactions!$B$3:$B$502,A352,Interactions!$F$3:$F$502,"Sent by us")&gt;0,_xlfn.MAXIFS(Interactions!$A$3:$A$502,Interactions!$B$3:$B$502,A352,Interactions!$F$3:$F$502,"Sent by us")&lt;=S_Today-S_NoReplyDays,MAX(_xlfn.MAXIFS(Interactions!$A$3:$A$502,Interactions!$B$3:$B$502,A352,Interactions!$F$3:$F$502,"Received from them"),_xlfn.MAXIFS(Interactions!$A$3:$A$502,Interactions!$B$3:$B$502,A352,Interactions!$F$3:$F$502,"Two-way"))&lt;_xlfn.MAXIFS(Interactions!$A$3:$A$502,Interactions!$B$3:$B$502,A352,Interactions!$F$3:$F$502,"Sent by us")),"No reply",IF(M352&lt;=S_Today+7,"Due this week","")))))))</f>
        <v/>
      </c>
      <c r="Z352" s="34" t="str">
        <f aca="false">IF(OR(A352="",Y352=""),"",IF(Y352="Renewal due",100000,IF(Y352="Overdue",200000,IF(Y352="No reply",300000,IF(Y352="Due this week",400000,500000))))+IF(Y352="Renewal due",P352-40000,IF(Y352="Missing next action",0,M352-40000))+ROW()/100000)</f>
        <v/>
      </c>
      <c r="AA352" s="32" t="str">
        <f aca="false">IF(A352="","",_xlfn.TEXTJOIN(", ",TRUE(),IF(AND(X352="Yes",D352=""),"No owner",IF(AND(D352&lt;&gt;"",COUNTIFS(R_TeamName,D352,R_TeamActive,"No")&gt;0),"Needs new owner","")),IF(AND(OR(C352="Proposal sent",C352="Negotiation"),H352="",I352="",K352=""),"Add package or proposed value",""),IF(AND(C352="Won",OR(P352="",V352="")),"Won needs renewal date and closed on",""),IF(AND(C352="Won",G352="Cash",J352=""),"Add agreed value",""),IF(AND(C352="Lost",OR(S352="",V352="")),"Lost needs reason and closed on",""),IF(AND(C352="Nurture",OR(T352="",U352="")),"Nurture needs reason and date","")))</f>
        <v/>
      </c>
      <c r="AB352" s="34" t="str">
        <f aca="false">IF(AND(C352="Won",V352&lt;&gt;"",V352&gt;=S_SemStart,V352&lt;=S_SemEnd),V352+ROW()/100000,"")</f>
        <v/>
      </c>
      <c r="AC352" s="34" t="str">
        <f aca="false">IF(AND(C352="Lost",V352&lt;&gt;"",V352&gt;=S_SemStart,V352&lt;=S_SemEnd),V352+ROW()/100000,"")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9"/>
      <c r="J353" s="29"/>
      <c r="K353" s="27"/>
      <c r="L353" s="27"/>
      <c r="M353" s="28"/>
      <c r="N353" s="28"/>
      <c r="O353" s="28"/>
      <c r="P353" s="28"/>
      <c r="Q353" s="27"/>
      <c r="R353" s="27"/>
      <c r="S353" s="27"/>
      <c r="T353" s="27"/>
      <c r="U353" s="28"/>
      <c r="V353" s="28"/>
      <c r="W353" s="27"/>
      <c r="X353" s="32" t="str">
        <f aca="false">IF(A353="","",IF(OR(C353="Planned",C353="Contacted",C353="Meeting",C353="Proposal sent",C353="Negotiation"),"Yes","No"))</f>
        <v/>
      </c>
      <c r="Y353" s="32" t="str">
        <f aca="false">IF(A353="","",IF(AND(C353="Won",P353&lt;&gt;"",P353&lt;=S_Today+S_RenewalDays,COUNTIFS($A$3:$A$502,A353,$F$3:$F$502,"Yes",$X$3:$X$502,"Yes")=0),"Renewal due",IF(X353&lt;&gt;"Yes","",IF(OR(L353="",M353=""),"Missing next action",IF(M353&lt;S_Today,"Overdue",IF(AND(C353="Contacted",_xlfn.MAXIFS(Interactions!$A$3:$A$502,Interactions!$B$3:$B$502,A353,Interactions!$F$3:$F$502,"Sent by us")&gt;0,_xlfn.MAXIFS(Interactions!$A$3:$A$502,Interactions!$B$3:$B$502,A353,Interactions!$F$3:$F$502,"Sent by us")&lt;=S_Today-S_NoReplyDays,MAX(_xlfn.MAXIFS(Interactions!$A$3:$A$502,Interactions!$B$3:$B$502,A353,Interactions!$F$3:$F$502,"Received from them"),_xlfn.MAXIFS(Interactions!$A$3:$A$502,Interactions!$B$3:$B$502,A353,Interactions!$F$3:$F$502,"Two-way"))&lt;_xlfn.MAXIFS(Interactions!$A$3:$A$502,Interactions!$B$3:$B$502,A353,Interactions!$F$3:$F$502,"Sent by us")),"No reply",IF(M353&lt;=S_Today+7,"Due this week","")))))))</f>
        <v/>
      </c>
      <c r="Z353" s="34" t="str">
        <f aca="false">IF(OR(A353="",Y353=""),"",IF(Y353="Renewal due",100000,IF(Y353="Overdue",200000,IF(Y353="No reply",300000,IF(Y353="Due this week",400000,500000))))+IF(Y353="Renewal due",P353-40000,IF(Y353="Missing next action",0,M353-40000))+ROW()/100000)</f>
        <v/>
      </c>
      <c r="AA353" s="32" t="str">
        <f aca="false">IF(A353="","",_xlfn.TEXTJOIN(", ",TRUE(),IF(AND(X353="Yes",D353=""),"No owner",IF(AND(D353&lt;&gt;"",COUNTIFS(R_TeamName,D353,R_TeamActive,"No")&gt;0),"Needs new owner","")),IF(AND(OR(C353="Proposal sent",C353="Negotiation"),H353="",I353="",K353=""),"Add package or proposed value",""),IF(AND(C353="Won",OR(P353="",V353="")),"Won needs renewal date and closed on",""),IF(AND(C353="Won",G353="Cash",J353=""),"Add agreed value",""),IF(AND(C353="Lost",OR(S353="",V353="")),"Lost needs reason and closed on",""),IF(AND(C353="Nurture",OR(T353="",U353="")),"Nurture needs reason and date","")))</f>
        <v/>
      </c>
      <c r="AB353" s="34" t="str">
        <f aca="false">IF(AND(C353="Won",V353&lt;&gt;"",V353&gt;=S_SemStart,V353&lt;=S_SemEnd),V353+ROW()/100000,"")</f>
        <v/>
      </c>
      <c r="AC353" s="34" t="str">
        <f aca="false">IF(AND(C353="Lost",V353&lt;&gt;"",V353&gt;=S_SemStart,V353&lt;=S_SemEnd),V353+ROW()/100000,"")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9"/>
      <c r="J354" s="29"/>
      <c r="K354" s="27"/>
      <c r="L354" s="27"/>
      <c r="M354" s="28"/>
      <c r="N354" s="28"/>
      <c r="O354" s="28"/>
      <c r="P354" s="28"/>
      <c r="Q354" s="27"/>
      <c r="R354" s="27"/>
      <c r="S354" s="27"/>
      <c r="T354" s="27"/>
      <c r="U354" s="28"/>
      <c r="V354" s="28"/>
      <c r="W354" s="27"/>
      <c r="X354" s="32" t="str">
        <f aca="false">IF(A354="","",IF(OR(C354="Planned",C354="Contacted",C354="Meeting",C354="Proposal sent",C354="Negotiation"),"Yes","No"))</f>
        <v/>
      </c>
      <c r="Y354" s="32" t="str">
        <f aca="false">IF(A354="","",IF(AND(C354="Won",P354&lt;&gt;"",P354&lt;=S_Today+S_RenewalDays,COUNTIFS($A$3:$A$502,A354,$F$3:$F$502,"Yes",$X$3:$X$502,"Yes")=0),"Renewal due",IF(X354&lt;&gt;"Yes","",IF(OR(L354="",M354=""),"Missing next action",IF(M354&lt;S_Today,"Overdue",IF(AND(C354="Contacted",_xlfn.MAXIFS(Interactions!$A$3:$A$502,Interactions!$B$3:$B$502,A354,Interactions!$F$3:$F$502,"Sent by us")&gt;0,_xlfn.MAXIFS(Interactions!$A$3:$A$502,Interactions!$B$3:$B$502,A354,Interactions!$F$3:$F$502,"Sent by us")&lt;=S_Today-S_NoReplyDays,MAX(_xlfn.MAXIFS(Interactions!$A$3:$A$502,Interactions!$B$3:$B$502,A354,Interactions!$F$3:$F$502,"Received from them"),_xlfn.MAXIFS(Interactions!$A$3:$A$502,Interactions!$B$3:$B$502,A354,Interactions!$F$3:$F$502,"Two-way"))&lt;_xlfn.MAXIFS(Interactions!$A$3:$A$502,Interactions!$B$3:$B$502,A354,Interactions!$F$3:$F$502,"Sent by us")),"No reply",IF(M354&lt;=S_Today+7,"Due this week","")))))))</f>
        <v/>
      </c>
      <c r="Z354" s="34" t="str">
        <f aca="false">IF(OR(A354="",Y354=""),"",IF(Y354="Renewal due",100000,IF(Y354="Overdue",200000,IF(Y354="No reply",300000,IF(Y354="Due this week",400000,500000))))+IF(Y354="Renewal due",P354-40000,IF(Y354="Missing next action",0,M354-40000))+ROW()/100000)</f>
        <v/>
      </c>
      <c r="AA354" s="32" t="str">
        <f aca="false">IF(A354="","",_xlfn.TEXTJOIN(", ",TRUE(),IF(AND(X354="Yes",D354=""),"No owner",IF(AND(D354&lt;&gt;"",COUNTIFS(R_TeamName,D354,R_TeamActive,"No")&gt;0),"Needs new owner","")),IF(AND(OR(C354="Proposal sent",C354="Negotiation"),H354="",I354="",K354=""),"Add package or proposed value",""),IF(AND(C354="Won",OR(P354="",V354="")),"Won needs renewal date and closed on",""),IF(AND(C354="Won",G354="Cash",J354=""),"Add agreed value",""),IF(AND(C354="Lost",OR(S354="",V354="")),"Lost needs reason and closed on",""),IF(AND(C354="Nurture",OR(T354="",U354="")),"Nurture needs reason and date","")))</f>
        <v/>
      </c>
      <c r="AB354" s="34" t="str">
        <f aca="false">IF(AND(C354="Won",V354&lt;&gt;"",V354&gt;=S_SemStart,V354&lt;=S_SemEnd),V354+ROW()/100000,"")</f>
        <v/>
      </c>
      <c r="AC354" s="34" t="str">
        <f aca="false">IF(AND(C354="Lost",V354&lt;&gt;"",V354&gt;=S_SemStart,V354&lt;=S_SemEnd),V354+ROW()/100000,"")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9"/>
      <c r="J355" s="29"/>
      <c r="K355" s="27"/>
      <c r="L355" s="27"/>
      <c r="M355" s="28"/>
      <c r="N355" s="28"/>
      <c r="O355" s="28"/>
      <c r="P355" s="28"/>
      <c r="Q355" s="27"/>
      <c r="R355" s="27"/>
      <c r="S355" s="27"/>
      <c r="T355" s="27"/>
      <c r="U355" s="28"/>
      <c r="V355" s="28"/>
      <c r="W355" s="27"/>
      <c r="X355" s="32" t="str">
        <f aca="false">IF(A355="","",IF(OR(C355="Planned",C355="Contacted",C355="Meeting",C355="Proposal sent",C355="Negotiation"),"Yes","No"))</f>
        <v/>
      </c>
      <c r="Y355" s="32" t="str">
        <f aca="false">IF(A355="","",IF(AND(C355="Won",P355&lt;&gt;"",P355&lt;=S_Today+S_RenewalDays,COUNTIFS($A$3:$A$502,A355,$F$3:$F$502,"Yes",$X$3:$X$502,"Yes")=0),"Renewal due",IF(X355&lt;&gt;"Yes","",IF(OR(L355="",M355=""),"Missing next action",IF(M355&lt;S_Today,"Overdue",IF(AND(C355="Contacted",_xlfn.MAXIFS(Interactions!$A$3:$A$502,Interactions!$B$3:$B$502,A355,Interactions!$F$3:$F$502,"Sent by us")&gt;0,_xlfn.MAXIFS(Interactions!$A$3:$A$502,Interactions!$B$3:$B$502,A355,Interactions!$F$3:$F$502,"Sent by us")&lt;=S_Today-S_NoReplyDays,MAX(_xlfn.MAXIFS(Interactions!$A$3:$A$502,Interactions!$B$3:$B$502,A355,Interactions!$F$3:$F$502,"Received from them"),_xlfn.MAXIFS(Interactions!$A$3:$A$502,Interactions!$B$3:$B$502,A355,Interactions!$F$3:$F$502,"Two-way"))&lt;_xlfn.MAXIFS(Interactions!$A$3:$A$502,Interactions!$B$3:$B$502,A355,Interactions!$F$3:$F$502,"Sent by us")),"No reply",IF(M355&lt;=S_Today+7,"Due this week","")))))))</f>
        <v/>
      </c>
      <c r="Z355" s="34" t="str">
        <f aca="false">IF(OR(A355="",Y355=""),"",IF(Y355="Renewal due",100000,IF(Y355="Overdue",200000,IF(Y355="No reply",300000,IF(Y355="Due this week",400000,500000))))+IF(Y355="Renewal due",P355-40000,IF(Y355="Missing next action",0,M355-40000))+ROW()/100000)</f>
        <v/>
      </c>
      <c r="AA355" s="32" t="str">
        <f aca="false">IF(A355="","",_xlfn.TEXTJOIN(", ",TRUE(),IF(AND(X355="Yes",D355=""),"No owner",IF(AND(D355&lt;&gt;"",COUNTIFS(R_TeamName,D355,R_TeamActive,"No")&gt;0),"Needs new owner","")),IF(AND(OR(C355="Proposal sent",C355="Negotiation"),H355="",I355="",K355=""),"Add package or proposed value",""),IF(AND(C355="Won",OR(P355="",V355="")),"Won needs renewal date and closed on",""),IF(AND(C355="Won",G355="Cash",J355=""),"Add agreed value",""),IF(AND(C355="Lost",OR(S355="",V355="")),"Lost needs reason and closed on",""),IF(AND(C355="Nurture",OR(T355="",U355="")),"Nurture needs reason and date","")))</f>
        <v/>
      </c>
      <c r="AB355" s="34" t="str">
        <f aca="false">IF(AND(C355="Won",V355&lt;&gt;"",V355&gt;=S_SemStart,V355&lt;=S_SemEnd),V355+ROW()/100000,"")</f>
        <v/>
      </c>
      <c r="AC355" s="34" t="str">
        <f aca="false">IF(AND(C355="Lost",V355&lt;&gt;"",V355&gt;=S_SemStart,V355&lt;=S_SemEnd),V355+ROW()/100000,"")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9"/>
      <c r="J356" s="29"/>
      <c r="K356" s="27"/>
      <c r="L356" s="27"/>
      <c r="M356" s="28"/>
      <c r="N356" s="28"/>
      <c r="O356" s="28"/>
      <c r="P356" s="28"/>
      <c r="Q356" s="27"/>
      <c r="R356" s="27"/>
      <c r="S356" s="27"/>
      <c r="T356" s="27"/>
      <c r="U356" s="28"/>
      <c r="V356" s="28"/>
      <c r="W356" s="27"/>
      <c r="X356" s="32" t="str">
        <f aca="false">IF(A356="","",IF(OR(C356="Planned",C356="Contacted",C356="Meeting",C356="Proposal sent",C356="Negotiation"),"Yes","No"))</f>
        <v/>
      </c>
      <c r="Y356" s="32" t="str">
        <f aca="false">IF(A356="","",IF(AND(C356="Won",P356&lt;&gt;"",P356&lt;=S_Today+S_RenewalDays,COUNTIFS($A$3:$A$502,A356,$F$3:$F$502,"Yes",$X$3:$X$502,"Yes")=0),"Renewal due",IF(X356&lt;&gt;"Yes","",IF(OR(L356="",M356=""),"Missing next action",IF(M356&lt;S_Today,"Overdue",IF(AND(C356="Contacted",_xlfn.MAXIFS(Interactions!$A$3:$A$502,Interactions!$B$3:$B$502,A356,Interactions!$F$3:$F$502,"Sent by us")&gt;0,_xlfn.MAXIFS(Interactions!$A$3:$A$502,Interactions!$B$3:$B$502,A356,Interactions!$F$3:$F$502,"Sent by us")&lt;=S_Today-S_NoReplyDays,MAX(_xlfn.MAXIFS(Interactions!$A$3:$A$502,Interactions!$B$3:$B$502,A356,Interactions!$F$3:$F$502,"Received from them"),_xlfn.MAXIFS(Interactions!$A$3:$A$502,Interactions!$B$3:$B$502,A356,Interactions!$F$3:$F$502,"Two-way"))&lt;_xlfn.MAXIFS(Interactions!$A$3:$A$502,Interactions!$B$3:$B$502,A356,Interactions!$F$3:$F$502,"Sent by us")),"No reply",IF(M356&lt;=S_Today+7,"Due this week","")))))))</f>
        <v/>
      </c>
      <c r="Z356" s="34" t="str">
        <f aca="false">IF(OR(A356="",Y356=""),"",IF(Y356="Renewal due",100000,IF(Y356="Overdue",200000,IF(Y356="No reply",300000,IF(Y356="Due this week",400000,500000))))+IF(Y356="Renewal due",P356-40000,IF(Y356="Missing next action",0,M356-40000))+ROW()/100000)</f>
        <v/>
      </c>
      <c r="AA356" s="32" t="str">
        <f aca="false">IF(A356="","",_xlfn.TEXTJOIN(", ",TRUE(),IF(AND(X356="Yes",D356=""),"No owner",IF(AND(D356&lt;&gt;"",COUNTIFS(R_TeamName,D356,R_TeamActive,"No")&gt;0),"Needs new owner","")),IF(AND(OR(C356="Proposal sent",C356="Negotiation"),H356="",I356="",K356=""),"Add package or proposed value",""),IF(AND(C356="Won",OR(P356="",V356="")),"Won needs renewal date and closed on",""),IF(AND(C356="Won",G356="Cash",J356=""),"Add agreed value",""),IF(AND(C356="Lost",OR(S356="",V356="")),"Lost needs reason and closed on",""),IF(AND(C356="Nurture",OR(T356="",U356="")),"Nurture needs reason and date","")))</f>
        <v/>
      </c>
      <c r="AB356" s="34" t="str">
        <f aca="false">IF(AND(C356="Won",V356&lt;&gt;"",V356&gt;=S_SemStart,V356&lt;=S_SemEnd),V356+ROW()/100000,"")</f>
        <v/>
      </c>
      <c r="AC356" s="34" t="str">
        <f aca="false">IF(AND(C356="Lost",V356&lt;&gt;"",V356&gt;=S_SemStart,V356&lt;=S_SemEnd),V356+ROW()/100000,"")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9"/>
      <c r="J357" s="29"/>
      <c r="K357" s="27"/>
      <c r="L357" s="27"/>
      <c r="M357" s="28"/>
      <c r="N357" s="28"/>
      <c r="O357" s="28"/>
      <c r="P357" s="28"/>
      <c r="Q357" s="27"/>
      <c r="R357" s="27"/>
      <c r="S357" s="27"/>
      <c r="T357" s="27"/>
      <c r="U357" s="28"/>
      <c r="V357" s="28"/>
      <c r="W357" s="27"/>
      <c r="X357" s="32" t="str">
        <f aca="false">IF(A357="","",IF(OR(C357="Planned",C357="Contacted",C357="Meeting",C357="Proposal sent",C357="Negotiation"),"Yes","No"))</f>
        <v/>
      </c>
      <c r="Y357" s="32" t="str">
        <f aca="false">IF(A357="","",IF(AND(C357="Won",P357&lt;&gt;"",P357&lt;=S_Today+S_RenewalDays,COUNTIFS($A$3:$A$502,A357,$F$3:$F$502,"Yes",$X$3:$X$502,"Yes")=0),"Renewal due",IF(X357&lt;&gt;"Yes","",IF(OR(L357="",M357=""),"Missing next action",IF(M357&lt;S_Today,"Overdue",IF(AND(C357="Contacted",_xlfn.MAXIFS(Interactions!$A$3:$A$502,Interactions!$B$3:$B$502,A357,Interactions!$F$3:$F$502,"Sent by us")&gt;0,_xlfn.MAXIFS(Interactions!$A$3:$A$502,Interactions!$B$3:$B$502,A357,Interactions!$F$3:$F$502,"Sent by us")&lt;=S_Today-S_NoReplyDays,MAX(_xlfn.MAXIFS(Interactions!$A$3:$A$502,Interactions!$B$3:$B$502,A357,Interactions!$F$3:$F$502,"Received from them"),_xlfn.MAXIFS(Interactions!$A$3:$A$502,Interactions!$B$3:$B$502,A357,Interactions!$F$3:$F$502,"Two-way"))&lt;_xlfn.MAXIFS(Interactions!$A$3:$A$502,Interactions!$B$3:$B$502,A357,Interactions!$F$3:$F$502,"Sent by us")),"No reply",IF(M357&lt;=S_Today+7,"Due this week","")))))))</f>
        <v/>
      </c>
      <c r="Z357" s="34" t="str">
        <f aca="false">IF(OR(A357="",Y357=""),"",IF(Y357="Renewal due",100000,IF(Y357="Overdue",200000,IF(Y357="No reply",300000,IF(Y357="Due this week",400000,500000))))+IF(Y357="Renewal due",P357-40000,IF(Y357="Missing next action",0,M357-40000))+ROW()/100000)</f>
        <v/>
      </c>
      <c r="AA357" s="32" t="str">
        <f aca="false">IF(A357="","",_xlfn.TEXTJOIN(", ",TRUE(),IF(AND(X357="Yes",D357=""),"No owner",IF(AND(D357&lt;&gt;"",COUNTIFS(R_TeamName,D357,R_TeamActive,"No")&gt;0),"Needs new owner","")),IF(AND(OR(C357="Proposal sent",C357="Negotiation"),H357="",I357="",K357=""),"Add package or proposed value",""),IF(AND(C357="Won",OR(P357="",V357="")),"Won needs renewal date and closed on",""),IF(AND(C357="Won",G357="Cash",J357=""),"Add agreed value",""),IF(AND(C357="Lost",OR(S357="",V357="")),"Lost needs reason and closed on",""),IF(AND(C357="Nurture",OR(T357="",U357="")),"Nurture needs reason and date","")))</f>
        <v/>
      </c>
      <c r="AB357" s="34" t="str">
        <f aca="false">IF(AND(C357="Won",V357&lt;&gt;"",V357&gt;=S_SemStart,V357&lt;=S_SemEnd),V357+ROW()/100000,"")</f>
        <v/>
      </c>
      <c r="AC357" s="34" t="str">
        <f aca="false">IF(AND(C357="Lost",V357&lt;&gt;"",V357&gt;=S_SemStart,V357&lt;=S_SemEnd),V357+ROW()/100000,"")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9"/>
      <c r="J358" s="29"/>
      <c r="K358" s="27"/>
      <c r="L358" s="27"/>
      <c r="M358" s="28"/>
      <c r="N358" s="28"/>
      <c r="O358" s="28"/>
      <c r="P358" s="28"/>
      <c r="Q358" s="27"/>
      <c r="R358" s="27"/>
      <c r="S358" s="27"/>
      <c r="T358" s="27"/>
      <c r="U358" s="28"/>
      <c r="V358" s="28"/>
      <c r="W358" s="27"/>
      <c r="X358" s="32" t="str">
        <f aca="false">IF(A358="","",IF(OR(C358="Planned",C358="Contacted",C358="Meeting",C358="Proposal sent",C358="Negotiation"),"Yes","No"))</f>
        <v/>
      </c>
      <c r="Y358" s="32" t="str">
        <f aca="false">IF(A358="","",IF(AND(C358="Won",P358&lt;&gt;"",P358&lt;=S_Today+S_RenewalDays,COUNTIFS($A$3:$A$502,A358,$F$3:$F$502,"Yes",$X$3:$X$502,"Yes")=0),"Renewal due",IF(X358&lt;&gt;"Yes","",IF(OR(L358="",M358=""),"Missing next action",IF(M358&lt;S_Today,"Overdue",IF(AND(C358="Contacted",_xlfn.MAXIFS(Interactions!$A$3:$A$502,Interactions!$B$3:$B$502,A358,Interactions!$F$3:$F$502,"Sent by us")&gt;0,_xlfn.MAXIFS(Interactions!$A$3:$A$502,Interactions!$B$3:$B$502,A358,Interactions!$F$3:$F$502,"Sent by us")&lt;=S_Today-S_NoReplyDays,MAX(_xlfn.MAXIFS(Interactions!$A$3:$A$502,Interactions!$B$3:$B$502,A358,Interactions!$F$3:$F$502,"Received from them"),_xlfn.MAXIFS(Interactions!$A$3:$A$502,Interactions!$B$3:$B$502,A358,Interactions!$F$3:$F$502,"Two-way"))&lt;_xlfn.MAXIFS(Interactions!$A$3:$A$502,Interactions!$B$3:$B$502,A358,Interactions!$F$3:$F$502,"Sent by us")),"No reply",IF(M358&lt;=S_Today+7,"Due this week","")))))))</f>
        <v/>
      </c>
      <c r="Z358" s="34" t="str">
        <f aca="false">IF(OR(A358="",Y358=""),"",IF(Y358="Renewal due",100000,IF(Y358="Overdue",200000,IF(Y358="No reply",300000,IF(Y358="Due this week",400000,500000))))+IF(Y358="Renewal due",P358-40000,IF(Y358="Missing next action",0,M358-40000))+ROW()/100000)</f>
        <v/>
      </c>
      <c r="AA358" s="32" t="str">
        <f aca="false">IF(A358="","",_xlfn.TEXTJOIN(", ",TRUE(),IF(AND(X358="Yes",D358=""),"No owner",IF(AND(D358&lt;&gt;"",COUNTIFS(R_TeamName,D358,R_TeamActive,"No")&gt;0),"Needs new owner","")),IF(AND(OR(C358="Proposal sent",C358="Negotiation"),H358="",I358="",K358=""),"Add package or proposed value",""),IF(AND(C358="Won",OR(P358="",V358="")),"Won needs renewal date and closed on",""),IF(AND(C358="Won",G358="Cash",J358=""),"Add agreed value",""),IF(AND(C358="Lost",OR(S358="",V358="")),"Lost needs reason and closed on",""),IF(AND(C358="Nurture",OR(T358="",U358="")),"Nurture needs reason and date","")))</f>
        <v/>
      </c>
      <c r="AB358" s="34" t="str">
        <f aca="false">IF(AND(C358="Won",V358&lt;&gt;"",V358&gt;=S_SemStart,V358&lt;=S_SemEnd),V358+ROW()/100000,"")</f>
        <v/>
      </c>
      <c r="AC358" s="34" t="str">
        <f aca="false">IF(AND(C358="Lost",V358&lt;&gt;"",V358&gt;=S_SemStart,V358&lt;=S_SemEnd),V358+ROW()/100000,"")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9"/>
      <c r="J359" s="29"/>
      <c r="K359" s="27"/>
      <c r="L359" s="27"/>
      <c r="M359" s="28"/>
      <c r="N359" s="28"/>
      <c r="O359" s="28"/>
      <c r="P359" s="28"/>
      <c r="Q359" s="27"/>
      <c r="R359" s="27"/>
      <c r="S359" s="27"/>
      <c r="T359" s="27"/>
      <c r="U359" s="28"/>
      <c r="V359" s="28"/>
      <c r="W359" s="27"/>
      <c r="X359" s="32" t="str">
        <f aca="false">IF(A359="","",IF(OR(C359="Planned",C359="Contacted",C359="Meeting",C359="Proposal sent",C359="Negotiation"),"Yes","No"))</f>
        <v/>
      </c>
      <c r="Y359" s="32" t="str">
        <f aca="false">IF(A359="","",IF(AND(C359="Won",P359&lt;&gt;"",P359&lt;=S_Today+S_RenewalDays,COUNTIFS($A$3:$A$502,A359,$F$3:$F$502,"Yes",$X$3:$X$502,"Yes")=0),"Renewal due",IF(X359&lt;&gt;"Yes","",IF(OR(L359="",M359=""),"Missing next action",IF(M359&lt;S_Today,"Overdue",IF(AND(C359="Contacted",_xlfn.MAXIFS(Interactions!$A$3:$A$502,Interactions!$B$3:$B$502,A359,Interactions!$F$3:$F$502,"Sent by us")&gt;0,_xlfn.MAXIFS(Interactions!$A$3:$A$502,Interactions!$B$3:$B$502,A359,Interactions!$F$3:$F$502,"Sent by us")&lt;=S_Today-S_NoReplyDays,MAX(_xlfn.MAXIFS(Interactions!$A$3:$A$502,Interactions!$B$3:$B$502,A359,Interactions!$F$3:$F$502,"Received from them"),_xlfn.MAXIFS(Interactions!$A$3:$A$502,Interactions!$B$3:$B$502,A359,Interactions!$F$3:$F$502,"Two-way"))&lt;_xlfn.MAXIFS(Interactions!$A$3:$A$502,Interactions!$B$3:$B$502,A359,Interactions!$F$3:$F$502,"Sent by us")),"No reply",IF(M359&lt;=S_Today+7,"Due this week","")))))))</f>
        <v/>
      </c>
      <c r="Z359" s="34" t="str">
        <f aca="false">IF(OR(A359="",Y359=""),"",IF(Y359="Renewal due",100000,IF(Y359="Overdue",200000,IF(Y359="No reply",300000,IF(Y359="Due this week",400000,500000))))+IF(Y359="Renewal due",P359-40000,IF(Y359="Missing next action",0,M359-40000))+ROW()/100000)</f>
        <v/>
      </c>
      <c r="AA359" s="32" t="str">
        <f aca="false">IF(A359="","",_xlfn.TEXTJOIN(", ",TRUE(),IF(AND(X359="Yes",D359=""),"No owner",IF(AND(D359&lt;&gt;"",COUNTIFS(R_TeamName,D359,R_TeamActive,"No")&gt;0),"Needs new owner","")),IF(AND(OR(C359="Proposal sent",C359="Negotiation"),H359="",I359="",K359=""),"Add package or proposed value",""),IF(AND(C359="Won",OR(P359="",V359="")),"Won needs renewal date and closed on",""),IF(AND(C359="Won",G359="Cash",J359=""),"Add agreed value",""),IF(AND(C359="Lost",OR(S359="",V359="")),"Lost needs reason and closed on",""),IF(AND(C359="Nurture",OR(T359="",U359="")),"Nurture needs reason and date","")))</f>
        <v/>
      </c>
      <c r="AB359" s="34" t="str">
        <f aca="false">IF(AND(C359="Won",V359&lt;&gt;"",V359&gt;=S_SemStart,V359&lt;=S_SemEnd),V359+ROW()/100000,"")</f>
        <v/>
      </c>
      <c r="AC359" s="34" t="str">
        <f aca="false">IF(AND(C359="Lost",V359&lt;&gt;"",V359&gt;=S_SemStart,V359&lt;=S_SemEnd),V359+ROW()/100000,"")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9"/>
      <c r="J360" s="29"/>
      <c r="K360" s="27"/>
      <c r="L360" s="27"/>
      <c r="M360" s="28"/>
      <c r="N360" s="28"/>
      <c r="O360" s="28"/>
      <c r="P360" s="28"/>
      <c r="Q360" s="27"/>
      <c r="R360" s="27"/>
      <c r="S360" s="27"/>
      <c r="T360" s="27"/>
      <c r="U360" s="28"/>
      <c r="V360" s="28"/>
      <c r="W360" s="27"/>
      <c r="X360" s="32" t="str">
        <f aca="false">IF(A360="","",IF(OR(C360="Planned",C360="Contacted",C360="Meeting",C360="Proposal sent",C360="Negotiation"),"Yes","No"))</f>
        <v/>
      </c>
      <c r="Y360" s="32" t="str">
        <f aca="false">IF(A360="","",IF(AND(C360="Won",P360&lt;&gt;"",P360&lt;=S_Today+S_RenewalDays,COUNTIFS($A$3:$A$502,A360,$F$3:$F$502,"Yes",$X$3:$X$502,"Yes")=0),"Renewal due",IF(X360&lt;&gt;"Yes","",IF(OR(L360="",M360=""),"Missing next action",IF(M360&lt;S_Today,"Overdue",IF(AND(C360="Contacted",_xlfn.MAXIFS(Interactions!$A$3:$A$502,Interactions!$B$3:$B$502,A360,Interactions!$F$3:$F$502,"Sent by us")&gt;0,_xlfn.MAXIFS(Interactions!$A$3:$A$502,Interactions!$B$3:$B$502,A360,Interactions!$F$3:$F$502,"Sent by us")&lt;=S_Today-S_NoReplyDays,MAX(_xlfn.MAXIFS(Interactions!$A$3:$A$502,Interactions!$B$3:$B$502,A360,Interactions!$F$3:$F$502,"Received from them"),_xlfn.MAXIFS(Interactions!$A$3:$A$502,Interactions!$B$3:$B$502,A360,Interactions!$F$3:$F$502,"Two-way"))&lt;_xlfn.MAXIFS(Interactions!$A$3:$A$502,Interactions!$B$3:$B$502,A360,Interactions!$F$3:$F$502,"Sent by us")),"No reply",IF(M360&lt;=S_Today+7,"Due this week","")))))))</f>
        <v/>
      </c>
      <c r="Z360" s="34" t="str">
        <f aca="false">IF(OR(A360="",Y360=""),"",IF(Y360="Renewal due",100000,IF(Y360="Overdue",200000,IF(Y360="No reply",300000,IF(Y360="Due this week",400000,500000))))+IF(Y360="Renewal due",P360-40000,IF(Y360="Missing next action",0,M360-40000))+ROW()/100000)</f>
        <v/>
      </c>
      <c r="AA360" s="32" t="str">
        <f aca="false">IF(A360="","",_xlfn.TEXTJOIN(", ",TRUE(),IF(AND(X360="Yes",D360=""),"No owner",IF(AND(D360&lt;&gt;"",COUNTIFS(R_TeamName,D360,R_TeamActive,"No")&gt;0),"Needs new owner","")),IF(AND(OR(C360="Proposal sent",C360="Negotiation"),H360="",I360="",K360=""),"Add package or proposed value",""),IF(AND(C360="Won",OR(P360="",V360="")),"Won needs renewal date and closed on",""),IF(AND(C360="Won",G360="Cash",J360=""),"Add agreed value",""),IF(AND(C360="Lost",OR(S360="",V360="")),"Lost needs reason and closed on",""),IF(AND(C360="Nurture",OR(T360="",U360="")),"Nurture needs reason and date","")))</f>
        <v/>
      </c>
      <c r="AB360" s="34" t="str">
        <f aca="false">IF(AND(C360="Won",V360&lt;&gt;"",V360&gt;=S_SemStart,V360&lt;=S_SemEnd),V360+ROW()/100000,"")</f>
        <v/>
      </c>
      <c r="AC360" s="34" t="str">
        <f aca="false">IF(AND(C360="Lost",V360&lt;&gt;"",V360&gt;=S_SemStart,V360&lt;=S_SemEnd),V360+ROW()/100000,"")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9"/>
      <c r="J361" s="29"/>
      <c r="K361" s="27"/>
      <c r="L361" s="27"/>
      <c r="M361" s="28"/>
      <c r="N361" s="28"/>
      <c r="O361" s="28"/>
      <c r="P361" s="28"/>
      <c r="Q361" s="27"/>
      <c r="R361" s="27"/>
      <c r="S361" s="27"/>
      <c r="T361" s="27"/>
      <c r="U361" s="28"/>
      <c r="V361" s="28"/>
      <c r="W361" s="27"/>
      <c r="X361" s="32" t="str">
        <f aca="false">IF(A361="","",IF(OR(C361="Planned",C361="Contacted",C361="Meeting",C361="Proposal sent",C361="Negotiation"),"Yes","No"))</f>
        <v/>
      </c>
      <c r="Y361" s="32" t="str">
        <f aca="false">IF(A361="","",IF(AND(C361="Won",P361&lt;&gt;"",P361&lt;=S_Today+S_RenewalDays,COUNTIFS($A$3:$A$502,A361,$F$3:$F$502,"Yes",$X$3:$X$502,"Yes")=0),"Renewal due",IF(X361&lt;&gt;"Yes","",IF(OR(L361="",M361=""),"Missing next action",IF(M361&lt;S_Today,"Overdue",IF(AND(C361="Contacted",_xlfn.MAXIFS(Interactions!$A$3:$A$502,Interactions!$B$3:$B$502,A361,Interactions!$F$3:$F$502,"Sent by us")&gt;0,_xlfn.MAXIFS(Interactions!$A$3:$A$502,Interactions!$B$3:$B$502,A361,Interactions!$F$3:$F$502,"Sent by us")&lt;=S_Today-S_NoReplyDays,MAX(_xlfn.MAXIFS(Interactions!$A$3:$A$502,Interactions!$B$3:$B$502,A361,Interactions!$F$3:$F$502,"Received from them"),_xlfn.MAXIFS(Interactions!$A$3:$A$502,Interactions!$B$3:$B$502,A361,Interactions!$F$3:$F$502,"Two-way"))&lt;_xlfn.MAXIFS(Interactions!$A$3:$A$502,Interactions!$B$3:$B$502,A361,Interactions!$F$3:$F$502,"Sent by us")),"No reply",IF(M361&lt;=S_Today+7,"Due this week","")))))))</f>
        <v/>
      </c>
      <c r="Z361" s="34" t="str">
        <f aca="false">IF(OR(A361="",Y361=""),"",IF(Y361="Renewal due",100000,IF(Y361="Overdue",200000,IF(Y361="No reply",300000,IF(Y361="Due this week",400000,500000))))+IF(Y361="Renewal due",P361-40000,IF(Y361="Missing next action",0,M361-40000))+ROW()/100000)</f>
        <v/>
      </c>
      <c r="AA361" s="32" t="str">
        <f aca="false">IF(A361="","",_xlfn.TEXTJOIN(", ",TRUE(),IF(AND(X361="Yes",D361=""),"No owner",IF(AND(D361&lt;&gt;"",COUNTIFS(R_TeamName,D361,R_TeamActive,"No")&gt;0),"Needs new owner","")),IF(AND(OR(C361="Proposal sent",C361="Negotiation"),H361="",I361="",K361=""),"Add package or proposed value",""),IF(AND(C361="Won",OR(P361="",V361="")),"Won needs renewal date and closed on",""),IF(AND(C361="Won",G361="Cash",J361=""),"Add agreed value",""),IF(AND(C361="Lost",OR(S361="",V361="")),"Lost needs reason and closed on",""),IF(AND(C361="Nurture",OR(T361="",U361="")),"Nurture needs reason and date","")))</f>
        <v/>
      </c>
      <c r="AB361" s="34" t="str">
        <f aca="false">IF(AND(C361="Won",V361&lt;&gt;"",V361&gt;=S_SemStart,V361&lt;=S_SemEnd),V361+ROW()/100000,"")</f>
        <v/>
      </c>
      <c r="AC361" s="34" t="str">
        <f aca="false">IF(AND(C361="Lost",V361&lt;&gt;"",V361&gt;=S_SemStart,V361&lt;=S_SemEnd),V361+ROW()/100000,"")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9"/>
      <c r="J362" s="29"/>
      <c r="K362" s="27"/>
      <c r="L362" s="27"/>
      <c r="M362" s="28"/>
      <c r="N362" s="28"/>
      <c r="O362" s="28"/>
      <c r="P362" s="28"/>
      <c r="Q362" s="27"/>
      <c r="R362" s="27"/>
      <c r="S362" s="27"/>
      <c r="T362" s="27"/>
      <c r="U362" s="28"/>
      <c r="V362" s="28"/>
      <c r="W362" s="27"/>
      <c r="X362" s="32" t="str">
        <f aca="false">IF(A362="","",IF(OR(C362="Planned",C362="Contacted",C362="Meeting",C362="Proposal sent",C362="Negotiation"),"Yes","No"))</f>
        <v/>
      </c>
      <c r="Y362" s="32" t="str">
        <f aca="false">IF(A362="","",IF(AND(C362="Won",P362&lt;&gt;"",P362&lt;=S_Today+S_RenewalDays,COUNTIFS($A$3:$A$502,A362,$F$3:$F$502,"Yes",$X$3:$X$502,"Yes")=0),"Renewal due",IF(X362&lt;&gt;"Yes","",IF(OR(L362="",M362=""),"Missing next action",IF(M362&lt;S_Today,"Overdue",IF(AND(C362="Contacted",_xlfn.MAXIFS(Interactions!$A$3:$A$502,Interactions!$B$3:$B$502,A362,Interactions!$F$3:$F$502,"Sent by us")&gt;0,_xlfn.MAXIFS(Interactions!$A$3:$A$502,Interactions!$B$3:$B$502,A362,Interactions!$F$3:$F$502,"Sent by us")&lt;=S_Today-S_NoReplyDays,MAX(_xlfn.MAXIFS(Interactions!$A$3:$A$502,Interactions!$B$3:$B$502,A362,Interactions!$F$3:$F$502,"Received from them"),_xlfn.MAXIFS(Interactions!$A$3:$A$502,Interactions!$B$3:$B$502,A362,Interactions!$F$3:$F$502,"Two-way"))&lt;_xlfn.MAXIFS(Interactions!$A$3:$A$502,Interactions!$B$3:$B$502,A362,Interactions!$F$3:$F$502,"Sent by us")),"No reply",IF(M362&lt;=S_Today+7,"Due this week","")))))))</f>
        <v/>
      </c>
      <c r="Z362" s="34" t="str">
        <f aca="false">IF(OR(A362="",Y362=""),"",IF(Y362="Renewal due",100000,IF(Y362="Overdue",200000,IF(Y362="No reply",300000,IF(Y362="Due this week",400000,500000))))+IF(Y362="Renewal due",P362-40000,IF(Y362="Missing next action",0,M362-40000))+ROW()/100000)</f>
        <v/>
      </c>
      <c r="AA362" s="32" t="str">
        <f aca="false">IF(A362="","",_xlfn.TEXTJOIN(", ",TRUE(),IF(AND(X362="Yes",D362=""),"No owner",IF(AND(D362&lt;&gt;"",COUNTIFS(R_TeamName,D362,R_TeamActive,"No")&gt;0),"Needs new owner","")),IF(AND(OR(C362="Proposal sent",C362="Negotiation"),H362="",I362="",K362=""),"Add package or proposed value",""),IF(AND(C362="Won",OR(P362="",V362="")),"Won needs renewal date and closed on",""),IF(AND(C362="Won",G362="Cash",J362=""),"Add agreed value",""),IF(AND(C362="Lost",OR(S362="",V362="")),"Lost needs reason and closed on",""),IF(AND(C362="Nurture",OR(T362="",U362="")),"Nurture needs reason and date","")))</f>
        <v/>
      </c>
      <c r="AB362" s="34" t="str">
        <f aca="false">IF(AND(C362="Won",V362&lt;&gt;"",V362&gt;=S_SemStart,V362&lt;=S_SemEnd),V362+ROW()/100000,"")</f>
        <v/>
      </c>
      <c r="AC362" s="34" t="str">
        <f aca="false">IF(AND(C362="Lost",V362&lt;&gt;"",V362&gt;=S_SemStart,V362&lt;=S_SemEnd),V362+ROW()/100000,"")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9"/>
      <c r="J363" s="29"/>
      <c r="K363" s="27"/>
      <c r="L363" s="27"/>
      <c r="M363" s="28"/>
      <c r="N363" s="28"/>
      <c r="O363" s="28"/>
      <c r="P363" s="28"/>
      <c r="Q363" s="27"/>
      <c r="R363" s="27"/>
      <c r="S363" s="27"/>
      <c r="T363" s="27"/>
      <c r="U363" s="28"/>
      <c r="V363" s="28"/>
      <c r="W363" s="27"/>
      <c r="X363" s="32" t="str">
        <f aca="false">IF(A363="","",IF(OR(C363="Planned",C363="Contacted",C363="Meeting",C363="Proposal sent",C363="Negotiation"),"Yes","No"))</f>
        <v/>
      </c>
      <c r="Y363" s="32" t="str">
        <f aca="false">IF(A363="","",IF(AND(C363="Won",P363&lt;&gt;"",P363&lt;=S_Today+S_RenewalDays,COUNTIFS($A$3:$A$502,A363,$F$3:$F$502,"Yes",$X$3:$X$502,"Yes")=0),"Renewal due",IF(X363&lt;&gt;"Yes","",IF(OR(L363="",M363=""),"Missing next action",IF(M363&lt;S_Today,"Overdue",IF(AND(C363="Contacted",_xlfn.MAXIFS(Interactions!$A$3:$A$502,Interactions!$B$3:$B$502,A363,Interactions!$F$3:$F$502,"Sent by us")&gt;0,_xlfn.MAXIFS(Interactions!$A$3:$A$502,Interactions!$B$3:$B$502,A363,Interactions!$F$3:$F$502,"Sent by us")&lt;=S_Today-S_NoReplyDays,MAX(_xlfn.MAXIFS(Interactions!$A$3:$A$502,Interactions!$B$3:$B$502,A363,Interactions!$F$3:$F$502,"Received from them"),_xlfn.MAXIFS(Interactions!$A$3:$A$502,Interactions!$B$3:$B$502,A363,Interactions!$F$3:$F$502,"Two-way"))&lt;_xlfn.MAXIFS(Interactions!$A$3:$A$502,Interactions!$B$3:$B$502,A363,Interactions!$F$3:$F$502,"Sent by us")),"No reply",IF(M363&lt;=S_Today+7,"Due this week","")))))))</f>
        <v/>
      </c>
      <c r="Z363" s="34" t="str">
        <f aca="false">IF(OR(A363="",Y363=""),"",IF(Y363="Renewal due",100000,IF(Y363="Overdue",200000,IF(Y363="No reply",300000,IF(Y363="Due this week",400000,500000))))+IF(Y363="Renewal due",P363-40000,IF(Y363="Missing next action",0,M363-40000))+ROW()/100000)</f>
        <v/>
      </c>
      <c r="AA363" s="32" t="str">
        <f aca="false">IF(A363="","",_xlfn.TEXTJOIN(", ",TRUE(),IF(AND(X363="Yes",D363=""),"No owner",IF(AND(D363&lt;&gt;"",COUNTIFS(R_TeamName,D363,R_TeamActive,"No")&gt;0),"Needs new owner","")),IF(AND(OR(C363="Proposal sent",C363="Negotiation"),H363="",I363="",K363=""),"Add package or proposed value",""),IF(AND(C363="Won",OR(P363="",V363="")),"Won needs renewal date and closed on",""),IF(AND(C363="Won",G363="Cash",J363=""),"Add agreed value",""),IF(AND(C363="Lost",OR(S363="",V363="")),"Lost needs reason and closed on",""),IF(AND(C363="Nurture",OR(T363="",U363="")),"Nurture needs reason and date","")))</f>
        <v/>
      </c>
      <c r="AB363" s="34" t="str">
        <f aca="false">IF(AND(C363="Won",V363&lt;&gt;"",V363&gt;=S_SemStart,V363&lt;=S_SemEnd),V363+ROW()/100000,"")</f>
        <v/>
      </c>
      <c r="AC363" s="34" t="str">
        <f aca="false">IF(AND(C363="Lost",V363&lt;&gt;"",V363&gt;=S_SemStart,V363&lt;=S_SemEnd),V363+ROW()/100000,"")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9"/>
      <c r="J364" s="29"/>
      <c r="K364" s="27"/>
      <c r="L364" s="27"/>
      <c r="M364" s="28"/>
      <c r="N364" s="28"/>
      <c r="O364" s="28"/>
      <c r="P364" s="28"/>
      <c r="Q364" s="27"/>
      <c r="R364" s="27"/>
      <c r="S364" s="27"/>
      <c r="T364" s="27"/>
      <c r="U364" s="28"/>
      <c r="V364" s="28"/>
      <c r="W364" s="27"/>
      <c r="X364" s="32" t="str">
        <f aca="false">IF(A364="","",IF(OR(C364="Planned",C364="Contacted",C364="Meeting",C364="Proposal sent",C364="Negotiation"),"Yes","No"))</f>
        <v/>
      </c>
      <c r="Y364" s="32" t="str">
        <f aca="false">IF(A364="","",IF(AND(C364="Won",P364&lt;&gt;"",P364&lt;=S_Today+S_RenewalDays,COUNTIFS($A$3:$A$502,A364,$F$3:$F$502,"Yes",$X$3:$X$502,"Yes")=0),"Renewal due",IF(X364&lt;&gt;"Yes","",IF(OR(L364="",M364=""),"Missing next action",IF(M364&lt;S_Today,"Overdue",IF(AND(C364="Contacted",_xlfn.MAXIFS(Interactions!$A$3:$A$502,Interactions!$B$3:$B$502,A364,Interactions!$F$3:$F$502,"Sent by us")&gt;0,_xlfn.MAXIFS(Interactions!$A$3:$A$502,Interactions!$B$3:$B$502,A364,Interactions!$F$3:$F$502,"Sent by us")&lt;=S_Today-S_NoReplyDays,MAX(_xlfn.MAXIFS(Interactions!$A$3:$A$502,Interactions!$B$3:$B$502,A364,Interactions!$F$3:$F$502,"Received from them"),_xlfn.MAXIFS(Interactions!$A$3:$A$502,Interactions!$B$3:$B$502,A364,Interactions!$F$3:$F$502,"Two-way"))&lt;_xlfn.MAXIFS(Interactions!$A$3:$A$502,Interactions!$B$3:$B$502,A364,Interactions!$F$3:$F$502,"Sent by us")),"No reply",IF(M364&lt;=S_Today+7,"Due this week","")))))))</f>
        <v/>
      </c>
      <c r="Z364" s="34" t="str">
        <f aca="false">IF(OR(A364="",Y364=""),"",IF(Y364="Renewal due",100000,IF(Y364="Overdue",200000,IF(Y364="No reply",300000,IF(Y364="Due this week",400000,500000))))+IF(Y364="Renewal due",P364-40000,IF(Y364="Missing next action",0,M364-40000))+ROW()/100000)</f>
        <v/>
      </c>
      <c r="AA364" s="32" t="str">
        <f aca="false">IF(A364="","",_xlfn.TEXTJOIN(", ",TRUE(),IF(AND(X364="Yes",D364=""),"No owner",IF(AND(D364&lt;&gt;"",COUNTIFS(R_TeamName,D364,R_TeamActive,"No")&gt;0),"Needs new owner","")),IF(AND(OR(C364="Proposal sent",C364="Negotiation"),H364="",I364="",K364=""),"Add package or proposed value",""),IF(AND(C364="Won",OR(P364="",V364="")),"Won needs renewal date and closed on",""),IF(AND(C364="Won",G364="Cash",J364=""),"Add agreed value",""),IF(AND(C364="Lost",OR(S364="",V364="")),"Lost needs reason and closed on",""),IF(AND(C364="Nurture",OR(T364="",U364="")),"Nurture needs reason and date","")))</f>
        <v/>
      </c>
      <c r="AB364" s="34" t="str">
        <f aca="false">IF(AND(C364="Won",V364&lt;&gt;"",V364&gt;=S_SemStart,V364&lt;=S_SemEnd),V364+ROW()/100000,"")</f>
        <v/>
      </c>
      <c r="AC364" s="34" t="str">
        <f aca="false">IF(AND(C364="Lost",V364&lt;&gt;"",V364&gt;=S_SemStart,V364&lt;=S_SemEnd),V364+ROW()/100000,"")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9"/>
      <c r="J365" s="29"/>
      <c r="K365" s="27"/>
      <c r="L365" s="27"/>
      <c r="M365" s="28"/>
      <c r="N365" s="28"/>
      <c r="O365" s="28"/>
      <c r="P365" s="28"/>
      <c r="Q365" s="27"/>
      <c r="R365" s="27"/>
      <c r="S365" s="27"/>
      <c r="T365" s="27"/>
      <c r="U365" s="28"/>
      <c r="V365" s="28"/>
      <c r="W365" s="27"/>
      <c r="X365" s="32" t="str">
        <f aca="false">IF(A365="","",IF(OR(C365="Planned",C365="Contacted",C365="Meeting",C365="Proposal sent",C365="Negotiation"),"Yes","No"))</f>
        <v/>
      </c>
      <c r="Y365" s="32" t="str">
        <f aca="false">IF(A365="","",IF(AND(C365="Won",P365&lt;&gt;"",P365&lt;=S_Today+S_RenewalDays,COUNTIFS($A$3:$A$502,A365,$F$3:$F$502,"Yes",$X$3:$X$502,"Yes")=0),"Renewal due",IF(X365&lt;&gt;"Yes","",IF(OR(L365="",M365=""),"Missing next action",IF(M365&lt;S_Today,"Overdue",IF(AND(C365="Contacted",_xlfn.MAXIFS(Interactions!$A$3:$A$502,Interactions!$B$3:$B$502,A365,Interactions!$F$3:$F$502,"Sent by us")&gt;0,_xlfn.MAXIFS(Interactions!$A$3:$A$502,Interactions!$B$3:$B$502,A365,Interactions!$F$3:$F$502,"Sent by us")&lt;=S_Today-S_NoReplyDays,MAX(_xlfn.MAXIFS(Interactions!$A$3:$A$502,Interactions!$B$3:$B$502,A365,Interactions!$F$3:$F$502,"Received from them"),_xlfn.MAXIFS(Interactions!$A$3:$A$502,Interactions!$B$3:$B$502,A365,Interactions!$F$3:$F$502,"Two-way"))&lt;_xlfn.MAXIFS(Interactions!$A$3:$A$502,Interactions!$B$3:$B$502,A365,Interactions!$F$3:$F$502,"Sent by us")),"No reply",IF(M365&lt;=S_Today+7,"Due this week","")))))))</f>
        <v/>
      </c>
      <c r="Z365" s="34" t="str">
        <f aca="false">IF(OR(A365="",Y365=""),"",IF(Y365="Renewal due",100000,IF(Y365="Overdue",200000,IF(Y365="No reply",300000,IF(Y365="Due this week",400000,500000))))+IF(Y365="Renewal due",P365-40000,IF(Y365="Missing next action",0,M365-40000))+ROW()/100000)</f>
        <v/>
      </c>
      <c r="AA365" s="32" t="str">
        <f aca="false">IF(A365="","",_xlfn.TEXTJOIN(", ",TRUE(),IF(AND(X365="Yes",D365=""),"No owner",IF(AND(D365&lt;&gt;"",COUNTIFS(R_TeamName,D365,R_TeamActive,"No")&gt;0),"Needs new owner","")),IF(AND(OR(C365="Proposal sent",C365="Negotiation"),H365="",I365="",K365=""),"Add package or proposed value",""),IF(AND(C365="Won",OR(P365="",V365="")),"Won needs renewal date and closed on",""),IF(AND(C365="Won",G365="Cash",J365=""),"Add agreed value",""),IF(AND(C365="Lost",OR(S365="",V365="")),"Lost needs reason and closed on",""),IF(AND(C365="Nurture",OR(T365="",U365="")),"Nurture needs reason and date","")))</f>
        <v/>
      </c>
      <c r="AB365" s="34" t="str">
        <f aca="false">IF(AND(C365="Won",V365&lt;&gt;"",V365&gt;=S_SemStart,V365&lt;=S_SemEnd),V365+ROW()/100000,"")</f>
        <v/>
      </c>
      <c r="AC365" s="34" t="str">
        <f aca="false">IF(AND(C365="Lost",V365&lt;&gt;"",V365&gt;=S_SemStart,V365&lt;=S_SemEnd),V365+ROW()/100000,"")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9"/>
      <c r="J366" s="29"/>
      <c r="K366" s="27"/>
      <c r="L366" s="27"/>
      <c r="M366" s="28"/>
      <c r="N366" s="28"/>
      <c r="O366" s="28"/>
      <c r="P366" s="28"/>
      <c r="Q366" s="27"/>
      <c r="R366" s="27"/>
      <c r="S366" s="27"/>
      <c r="T366" s="27"/>
      <c r="U366" s="28"/>
      <c r="V366" s="28"/>
      <c r="W366" s="27"/>
      <c r="X366" s="32" t="str">
        <f aca="false">IF(A366="","",IF(OR(C366="Planned",C366="Contacted",C366="Meeting",C366="Proposal sent",C366="Negotiation"),"Yes","No"))</f>
        <v/>
      </c>
      <c r="Y366" s="32" t="str">
        <f aca="false">IF(A366="","",IF(AND(C366="Won",P366&lt;&gt;"",P366&lt;=S_Today+S_RenewalDays,COUNTIFS($A$3:$A$502,A366,$F$3:$F$502,"Yes",$X$3:$X$502,"Yes")=0),"Renewal due",IF(X366&lt;&gt;"Yes","",IF(OR(L366="",M366=""),"Missing next action",IF(M366&lt;S_Today,"Overdue",IF(AND(C366="Contacted",_xlfn.MAXIFS(Interactions!$A$3:$A$502,Interactions!$B$3:$B$502,A366,Interactions!$F$3:$F$502,"Sent by us")&gt;0,_xlfn.MAXIFS(Interactions!$A$3:$A$502,Interactions!$B$3:$B$502,A366,Interactions!$F$3:$F$502,"Sent by us")&lt;=S_Today-S_NoReplyDays,MAX(_xlfn.MAXIFS(Interactions!$A$3:$A$502,Interactions!$B$3:$B$502,A366,Interactions!$F$3:$F$502,"Received from them"),_xlfn.MAXIFS(Interactions!$A$3:$A$502,Interactions!$B$3:$B$502,A366,Interactions!$F$3:$F$502,"Two-way"))&lt;_xlfn.MAXIFS(Interactions!$A$3:$A$502,Interactions!$B$3:$B$502,A366,Interactions!$F$3:$F$502,"Sent by us")),"No reply",IF(M366&lt;=S_Today+7,"Due this week","")))))))</f>
        <v/>
      </c>
      <c r="Z366" s="34" t="str">
        <f aca="false">IF(OR(A366="",Y366=""),"",IF(Y366="Renewal due",100000,IF(Y366="Overdue",200000,IF(Y366="No reply",300000,IF(Y366="Due this week",400000,500000))))+IF(Y366="Renewal due",P366-40000,IF(Y366="Missing next action",0,M366-40000))+ROW()/100000)</f>
        <v/>
      </c>
      <c r="AA366" s="32" t="str">
        <f aca="false">IF(A366="","",_xlfn.TEXTJOIN(", ",TRUE(),IF(AND(X366="Yes",D366=""),"No owner",IF(AND(D366&lt;&gt;"",COUNTIFS(R_TeamName,D366,R_TeamActive,"No")&gt;0),"Needs new owner","")),IF(AND(OR(C366="Proposal sent",C366="Negotiation"),H366="",I366="",K366=""),"Add package or proposed value",""),IF(AND(C366="Won",OR(P366="",V366="")),"Won needs renewal date and closed on",""),IF(AND(C366="Won",G366="Cash",J366=""),"Add agreed value",""),IF(AND(C366="Lost",OR(S366="",V366="")),"Lost needs reason and closed on",""),IF(AND(C366="Nurture",OR(T366="",U366="")),"Nurture needs reason and date","")))</f>
        <v/>
      </c>
      <c r="AB366" s="34" t="str">
        <f aca="false">IF(AND(C366="Won",V366&lt;&gt;"",V366&gt;=S_SemStart,V366&lt;=S_SemEnd),V366+ROW()/100000,"")</f>
        <v/>
      </c>
      <c r="AC366" s="34" t="str">
        <f aca="false">IF(AND(C366="Lost",V366&lt;&gt;"",V366&gt;=S_SemStart,V366&lt;=S_SemEnd),V366+ROW()/100000,"")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9"/>
      <c r="J367" s="29"/>
      <c r="K367" s="27"/>
      <c r="L367" s="27"/>
      <c r="M367" s="28"/>
      <c r="N367" s="28"/>
      <c r="O367" s="28"/>
      <c r="P367" s="28"/>
      <c r="Q367" s="27"/>
      <c r="R367" s="27"/>
      <c r="S367" s="27"/>
      <c r="T367" s="27"/>
      <c r="U367" s="28"/>
      <c r="V367" s="28"/>
      <c r="W367" s="27"/>
      <c r="X367" s="32" t="str">
        <f aca="false">IF(A367="","",IF(OR(C367="Planned",C367="Contacted",C367="Meeting",C367="Proposal sent",C367="Negotiation"),"Yes","No"))</f>
        <v/>
      </c>
      <c r="Y367" s="32" t="str">
        <f aca="false">IF(A367="","",IF(AND(C367="Won",P367&lt;&gt;"",P367&lt;=S_Today+S_RenewalDays,COUNTIFS($A$3:$A$502,A367,$F$3:$F$502,"Yes",$X$3:$X$502,"Yes")=0),"Renewal due",IF(X367&lt;&gt;"Yes","",IF(OR(L367="",M367=""),"Missing next action",IF(M367&lt;S_Today,"Overdue",IF(AND(C367="Contacted",_xlfn.MAXIFS(Interactions!$A$3:$A$502,Interactions!$B$3:$B$502,A367,Interactions!$F$3:$F$502,"Sent by us")&gt;0,_xlfn.MAXIFS(Interactions!$A$3:$A$502,Interactions!$B$3:$B$502,A367,Interactions!$F$3:$F$502,"Sent by us")&lt;=S_Today-S_NoReplyDays,MAX(_xlfn.MAXIFS(Interactions!$A$3:$A$502,Interactions!$B$3:$B$502,A367,Interactions!$F$3:$F$502,"Received from them"),_xlfn.MAXIFS(Interactions!$A$3:$A$502,Interactions!$B$3:$B$502,A367,Interactions!$F$3:$F$502,"Two-way"))&lt;_xlfn.MAXIFS(Interactions!$A$3:$A$502,Interactions!$B$3:$B$502,A367,Interactions!$F$3:$F$502,"Sent by us")),"No reply",IF(M367&lt;=S_Today+7,"Due this week","")))))))</f>
        <v/>
      </c>
      <c r="Z367" s="34" t="str">
        <f aca="false">IF(OR(A367="",Y367=""),"",IF(Y367="Renewal due",100000,IF(Y367="Overdue",200000,IF(Y367="No reply",300000,IF(Y367="Due this week",400000,500000))))+IF(Y367="Renewal due",P367-40000,IF(Y367="Missing next action",0,M367-40000))+ROW()/100000)</f>
        <v/>
      </c>
      <c r="AA367" s="32" t="str">
        <f aca="false">IF(A367="","",_xlfn.TEXTJOIN(", ",TRUE(),IF(AND(X367="Yes",D367=""),"No owner",IF(AND(D367&lt;&gt;"",COUNTIFS(R_TeamName,D367,R_TeamActive,"No")&gt;0),"Needs new owner","")),IF(AND(OR(C367="Proposal sent",C367="Negotiation"),H367="",I367="",K367=""),"Add package or proposed value",""),IF(AND(C367="Won",OR(P367="",V367="")),"Won needs renewal date and closed on",""),IF(AND(C367="Won",G367="Cash",J367=""),"Add agreed value",""),IF(AND(C367="Lost",OR(S367="",V367="")),"Lost needs reason and closed on",""),IF(AND(C367="Nurture",OR(T367="",U367="")),"Nurture needs reason and date","")))</f>
        <v/>
      </c>
      <c r="AB367" s="34" t="str">
        <f aca="false">IF(AND(C367="Won",V367&lt;&gt;"",V367&gt;=S_SemStart,V367&lt;=S_SemEnd),V367+ROW()/100000,"")</f>
        <v/>
      </c>
      <c r="AC367" s="34" t="str">
        <f aca="false">IF(AND(C367="Lost",V367&lt;&gt;"",V367&gt;=S_SemStart,V367&lt;=S_SemEnd),V367+ROW()/100000,"")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9"/>
      <c r="J368" s="29"/>
      <c r="K368" s="27"/>
      <c r="L368" s="27"/>
      <c r="M368" s="28"/>
      <c r="N368" s="28"/>
      <c r="O368" s="28"/>
      <c r="P368" s="28"/>
      <c r="Q368" s="27"/>
      <c r="R368" s="27"/>
      <c r="S368" s="27"/>
      <c r="T368" s="27"/>
      <c r="U368" s="28"/>
      <c r="V368" s="28"/>
      <c r="W368" s="27"/>
      <c r="X368" s="32" t="str">
        <f aca="false">IF(A368="","",IF(OR(C368="Planned",C368="Contacted",C368="Meeting",C368="Proposal sent",C368="Negotiation"),"Yes","No"))</f>
        <v/>
      </c>
      <c r="Y368" s="32" t="str">
        <f aca="false">IF(A368="","",IF(AND(C368="Won",P368&lt;&gt;"",P368&lt;=S_Today+S_RenewalDays,COUNTIFS($A$3:$A$502,A368,$F$3:$F$502,"Yes",$X$3:$X$502,"Yes")=0),"Renewal due",IF(X368&lt;&gt;"Yes","",IF(OR(L368="",M368=""),"Missing next action",IF(M368&lt;S_Today,"Overdue",IF(AND(C368="Contacted",_xlfn.MAXIFS(Interactions!$A$3:$A$502,Interactions!$B$3:$B$502,A368,Interactions!$F$3:$F$502,"Sent by us")&gt;0,_xlfn.MAXIFS(Interactions!$A$3:$A$502,Interactions!$B$3:$B$502,A368,Interactions!$F$3:$F$502,"Sent by us")&lt;=S_Today-S_NoReplyDays,MAX(_xlfn.MAXIFS(Interactions!$A$3:$A$502,Interactions!$B$3:$B$502,A368,Interactions!$F$3:$F$502,"Received from them"),_xlfn.MAXIFS(Interactions!$A$3:$A$502,Interactions!$B$3:$B$502,A368,Interactions!$F$3:$F$502,"Two-way"))&lt;_xlfn.MAXIFS(Interactions!$A$3:$A$502,Interactions!$B$3:$B$502,A368,Interactions!$F$3:$F$502,"Sent by us")),"No reply",IF(M368&lt;=S_Today+7,"Due this week","")))))))</f>
        <v/>
      </c>
      <c r="Z368" s="34" t="str">
        <f aca="false">IF(OR(A368="",Y368=""),"",IF(Y368="Renewal due",100000,IF(Y368="Overdue",200000,IF(Y368="No reply",300000,IF(Y368="Due this week",400000,500000))))+IF(Y368="Renewal due",P368-40000,IF(Y368="Missing next action",0,M368-40000))+ROW()/100000)</f>
        <v/>
      </c>
      <c r="AA368" s="32" t="str">
        <f aca="false">IF(A368="","",_xlfn.TEXTJOIN(", ",TRUE(),IF(AND(X368="Yes",D368=""),"No owner",IF(AND(D368&lt;&gt;"",COUNTIFS(R_TeamName,D368,R_TeamActive,"No")&gt;0),"Needs new owner","")),IF(AND(OR(C368="Proposal sent",C368="Negotiation"),H368="",I368="",K368=""),"Add package or proposed value",""),IF(AND(C368="Won",OR(P368="",V368="")),"Won needs renewal date and closed on",""),IF(AND(C368="Won",G368="Cash",J368=""),"Add agreed value",""),IF(AND(C368="Lost",OR(S368="",V368="")),"Lost needs reason and closed on",""),IF(AND(C368="Nurture",OR(T368="",U368="")),"Nurture needs reason and date","")))</f>
        <v/>
      </c>
      <c r="AB368" s="34" t="str">
        <f aca="false">IF(AND(C368="Won",V368&lt;&gt;"",V368&gt;=S_SemStart,V368&lt;=S_SemEnd),V368+ROW()/100000,"")</f>
        <v/>
      </c>
      <c r="AC368" s="34" t="str">
        <f aca="false">IF(AND(C368="Lost",V368&lt;&gt;"",V368&gt;=S_SemStart,V368&lt;=S_SemEnd),V368+ROW()/100000,"")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9"/>
      <c r="J369" s="29"/>
      <c r="K369" s="27"/>
      <c r="L369" s="27"/>
      <c r="M369" s="28"/>
      <c r="N369" s="28"/>
      <c r="O369" s="28"/>
      <c r="P369" s="28"/>
      <c r="Q369" s="27"/>
      <c r="R369" s="27"/>
      <c r="S369" s="27"/>
      <c r="T369" s="27"/>
      <c r="U369" s="28"/>
      <c r="V369" s="28"/>
      <c r="W369" s="27"/>
      <c r="X369" s="32" t="str">
        <f aca="false">IF(A369="","",IF(OR(C369="Planned",C369="Contacted",C369="Meeting",C369="Proposal sent",C369="Negotiation"),"Yes","No"))</f>
        <v/>
      </c>
      <c r="Y369" s="32" t="str">
        <f aca="false">IF(A369="","",IF(AND(C369="Won",P369&lt;&gt;"",P369&lt;=S_Today+S_RenewalDays,COUNTIFS($A$3:$A$502,A369,$F$3:$F$502,"Yes",$X$3:$X$502,"Yes")=0),"Renewal due",IF(X369&lt;&gt;"Yes","",IF(OR(L369="",M369=""),"Missing next action",IF(M369&lt;S_Today,"Overdue",IF(AND(C369="Contacted",_xlfn.MAXIFS(Interactions!$A$3:$A$502,Interactions!$B$3:$B$502,A369,Interactions!$F$3:$F$502,"Sent by us")&gt;0,_xlfn.MAXIFS(Interactions!$A$3:$A$502,Interactions!$B$3:$B$502,A369,Interactions!$F$3:$F$502,"Sent by us")&lt;=S_Today-S_NoReplyDays,MAX(_xlfn.MAXIFS(Interactions!$A$3:$A$502,Interactions!$B$3:$B$502,A369,Interactions!$F$3:$F$502,"Received from them"),_xlfn.MAXIFS(Interactions!$A$3:$A$502,Interactions!$B$3:$B$502,A369,Interactions!$F$3:$F$502,"Two-way"))&lt;_xlfn.MAXIFS(Interactions!$A$3:$A$502,Interactions!$B$3:$B$502,A369,Interactions!$F$3:$F$502,"Sent by us")),"No reply",IF(M369&lt;=S_Today+7,"Due this week","")))))))</f>
        <v/>
      </c>
      <c r="Z369" s="34" t="str">
        <f aca="false">IF(OR(A369="",Y369=""),"",IF(Y369="Renewal due",100000,IF(Y369="Overdue",200000,IF(Y369="No reply",300000,IF(Y369="Due this week",400000,500000))))+IF(Y369="Renewal due",P369-40000,IF(Y369="Missing next action",0,M369-40000))+ROW()/100000)</f>
        <v/>
      </c>
      <c r="AA369" s="32" t="str">
        <f aca="false">IF(A369="","",_xlfn.TEXTJOIN(", ",TRUE(),IF(AND(X369="Yes",D369=""),"No owner",IF(AND(D369&lt;&gt;"",COUNTIFS(R_TeamName,D369,R_TeamActive,"No")&gt;0),"Needs new owner","")),IF(AND(OR(C369="Proposal sent",C369="Negotiation"),H369="",I369="",K369=""),"Add package or proposed value",""),IF(AND(C369="Won",OR(P369="",V369="")),"Won needs renewal date and closed on",""),IF(AND(C369="Won",G369="Cash",J369=""),"Add agreed value",""),IF(AND(C369="Lost",OR(S369="",V369="")),"Lost needs reason and closed on",""),IF(AND(C369="Nurture",OR(T369="",U369="")),"Nurture needs reason and date","")))</f>
        <v/>
      </c>
      <c r="AB369" s="34" t="str">
        <f aca="false">IF(AND(C369="Won",V369&lt;&gt;"",V369&gt;=S_SemStart,V369&lt;=S_SemEnd),V369+ROW()/100000,"")</f>
        <v/>
      </c>
      <c r="AC369" s="34" t="str">
        <f aca="false">IF(AND(C369="Lost",V369&lt;&gt;"",V369&gt;=S_SemStart,V369&lt;=S_SemEnd),V369+ROW()/100000,"")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9"/>
      <c r="J370" s="29"/>
      <c r="K370" s="27"/>
      <c r="L370" s="27"/>
      <c r="M370" s="28"/>
      <c r="N370" s="28"/>
      <c r="O370" s="28"/>
      <c r="P370" s="28"/>
      <c r="Q370" s="27"/>
      <c r="R370" s="27"/>
      <c r="S370" s="27"/>
      <c r="T370" s="27"/>
      <c r="U370" s="28"/>
      <c r="V370" s="28"/>
      <c r="W370" s="27"/>
      <c r="X370" s="32" t="str">
        <f aca="false">IF(A370="","",IF(OR(C370="Planned",C370="Contacted",C370="Meeting",C370="Proposal sent",C370="Negotiation"),"Yes","No"))</f>
        <v/>
      </c>
      <c r="Y370" s="32" t="str">
        <f aca="false">IF(A370="","",IF(AND(C370="Won",P370&lt;&gt;"",P370&lt;=S_Today+S_RenewalDays,COUNTIFS($A$3:$A$502,A370,$F$3:$F$502,"Yes",$X$3:$X$502,"Yes")=0),"Renewal due",IF(X370&lt;&gt;"Yes","",IF(OR(L370="",M370=""),"Missing next action",IF(M370&lt;S_Today,"Overdue",IF(AND(C370="Contacted",_xlfn.MAXIFS(Interactions!$A$3:$A$502,Interactions!$B$3:$B$502,A370,Interactions!$F$3:$F$502,"Sent by us")&gt;0,_xlfn.MAXIFS(Interactions!$A$3:$A$502,Interactions!$B$3:$B$502,A370,Interactions!$F$3:$F$502,"Sent by us")&lt;=S_Today-S_NoReplyDays,MAX(_xlfn.MAXIFS(Interactions!$A$3:$A$502,Interactions!$B$3:$B$502,A370,Interactions!$F$3:$F$502,"Received from them"),_xlfn.MAXIFS(Interactions!$A$3:$A$502,Interactions!$B$3:$B$502,A370,Interactions!$F$3:$F$502,"Two-way"))&lt;_xlfn.MAXIFS(Interactions!$A$3:$A$502,Interactions!$B$3:$B$502,A370,Interactions!$F$3:$F$502,"Sent by us")),"No reply",IF(M370&lt;=S_Today+7,"Due this week","")))))))</f>
        <v/>
      </c>
      <c r="Z370" s="34" t="str">
        <f aca="false">IF(OR(A370="",Y370=""),"",IF(Y370="Renewal due",100000,IF(Y370="Overdue",200000,IF(Y370="No reply",300000,IF(Y370="Due this week",400000,500000))))+IF(Y370="Renewal due",P370-40000,IF(Y370="Missing next action",0,M370-40000))+ROW()/100000)</f>
        <v/>
      </c>
      <c r="AA370" s="32" t="str">
        <f aca="false">IF(A370="","",_xlfn.TEXTJOIN(", ",TRUE(),IF(AND(X370="Yes",D370=""),"No owner",IF(AND(D370&lt;&gt;"",COUNTIFS(R_TeamName,D370,R_TeamActive,"No")&gt;0),"Needs new owner","")),IF(AND(OR(C370="Proposal sent",C370="Negotiation"),H370="",I370="",K370=""),"Add package or proposed value",""),IF(AND(C370="Won",OR(P370="",V370="")),"Won needs renewal date and closed on",""),IF(AND(C370="Won",G370="Cash",J370=""),"Add agreed value",""),IF(AND(C370="Lost",OR(S370="",V370="")),"Lost needs reason and closed on",""),IF(AND(C370="Nurture",OR(T370="",U370="")),"Nurture needs reason and date","")))</f>
        <v/>
      </c>
      <c r="AB370" s="34" t="str">
        <f aca="false">IF(AND(C370="Won",V370&lt;&gt;"",V370&gt;=S_SemStart,V370&lt;=S_SemEnd),V370+ROW()/100000,"")</f>
        <v/>
      </c>
      <c r="AC370" s="34" t="str">
        <f aca="false">IF(AND(C370="Lost",V370&lt;&gt;"",V370&gt;=S_SemStart,V370&lt;=S_SemEnd),V370+ROW()/100000,"")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9"/>
      <c r="J371" s="29"/>
      <c r="K371" s="27"/>
      <c r="L371" s="27"/>
      <c r="M371" s="28"/>
      <c r="N371" s="28"/>
      <c r="O371" s="28"/>
      <c r="P371" s="28"/>
      <c r="Q371" s="27"/>
      <c r="R371" s="27"/>
      <c r="S371" s="27"/>
      <c r="T371" s="27"/>
      <c r="U371" s="28"/>
      <c r="V371" s="28"/>
      <c r="W371" s="27"/>
      <c r="X371" s="32" t="str">
        <f aca="false">IF(A371="","",IF(OR(C371="Planned",C371="Contacted",C371="Meeting",C371="Proposal sent",C371="Negotiation"),"Yes","No"))</f>
        <v/>
      </c>
      <c r="Y371" s="32" t="str">
        <f aca="false">IF(A371="","",IF(AND(C371="Won",P371&lt;&gt;"",P371&lt;=S_Today+S_RenewalDays,COUNTIFS($A$3:$A$502,A371,$F$3:$F$502,"Yes",$X$3:$X$502,"Yes")=0),"Renewal due",IF(X371&lt;&gt;"Yes","",IF(OR(L371="",M371=""),"Missing next action",IF(M371&lt;S_Today,"Overdue",IF(AND(C371="Contacted",_xlfn.MAXIFS(Interactions!$A$3:$A$502,Interactions!$B$3:$B$502,A371,Interactions!$F$3:$F$502,"Sent by us")&gt;0,_xlfn.MAXIFS(Interactions!$A$3:$A$502,Interactions!$B$3:$B$502,A371,Interactions!$F$3:$F$502,"Sent by us")&lt;=S_Today-S_NoReplyDays,MAX(_xlfn.MAXIFS(Interactions!$A$3:$A$502,Interactions!$B$3:$B$502,A371,Interactions!$F$3:$F$502,"Received from them"),_xlfn.MAXIFS(Interactions!$A$3:$A$502,Interactions!$B$3:$B$502,A371,Interactions!$F$3:$F$502,"Two-way"))&lt;_xlfn.MAXIFS(Interactions!$A$3:$A$502,Interactions!$B$3:$B$502,A371,Interactions!$F$3:$F$502,"Sent by us")),"No reply",IF(M371&lt;=S_Today+7,"Due this week","")))))))</f>
        <v/>
      </c>
      <c r="Z371" s="34" t="str">
        <f aca="false">IF(OR(A371="",Y371=""),"",IF(Y371="Renewal due",100000,IF(Y371="Overdue",200000,IF(Y371="No reply",300000,IF(Y371="Due this week",400000,500000))))+IF(Y371="Renewal due",P371-40000,IF(Y371="Missing next action",0,M371-40000))+ROW()/100000)</f>
        <v/>
      </c>
      <c r="AA371" s="32" t="str">
        <f aca="false">IF(A371="","",_xlfn.TEXTJOIN(", ",TRUE(),IF(AND(X371="Yes",D371=""),"No owner",IF(AND(D371&lt;&gt;"",COUNTIFS(R_TeamName,D371,R_TeamActive,"No")&gt;0),"Needs new owner","")),IF(AND(OR(C371="Proposal sent",C371="Negotiation"),H371="",I371="",K371=""),"Add package or proposed value",""),IF(AND(C371="Won",OR(P371="",V371="")),"Won needs renewal date and closed on",""),IF(AND(C371="Won",G371="Cash",J371=""),"Add agreed value",""),IF(AND(C371="Lost",OR(S371="",V371="")),"Lost needs reason and closed on",""),IF(AND(C371="Nurture",OR(T371="",U371="")),"Nurture needs reason and date","")))</f>
        <v/>
      </c>
      <c r="AB371" s="34" t="str">
        <f aca="false">IF(AND(C371="Won",V371&lt;&gt;"",V371&gt;=S_SemStart,V371&lt;=S_SemEnd),V371+ROW()/100000,"")</f>
        <v/>
      </c>
      <c r="AC371" s="34" t="str">
        <f aca="false">IF(AND(C371="Lost",V371&lt;&gt;"",V371&gt;=S_SemStart,V371&lt;=S_SemEnd),V371+ROW()/100000,"")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9"/>
      <c r="J372" s="29"/>
      <c r="K372" s="27"/>
      <c r="L372" s="27"/>
      <c r="M372" s="28"/>
      <c r="N372" s="28"/>
      <c r="O372" s="28"/>
      <c r="P372" s="28"/>
      <c r="Q372" s="27"/>
      <c r="R372" s="27"/>
      <c r="S372" s="27"/>
      <c r="T372" s="27"/>
      <c r="U372" s="28"/>
      <c r="V372" s="28"/>
      <c r="W372" s="27"/>
      <c r="X372" s="32" t="str">
        <f aca="false">IF(A372="","",IF(OR(C372="Planned",C372="Contacted",C372="Meeting",C372="Proposal sent",C372="Negotiation"),"Yes","No"))</f>
        <v/>
      </c>
      <c r="Y372" s="32" t="str">
        <f aca="false">IF(A372="","",IF(AND(C372="Won",P372&lt;&gt;"",P372&lt;=S_Today+S_RenewalDays,COUNTIFS($A$3:$A$502,A372,$F$3:$F$502,"Yes",$X$3:$X$502,"Yes")=0),"Renewal due",IF(X372&lt;&gt;"Yes","",IF(OR(L372="",M372=""),"Missing next action",IF(M372&lt;S_Today,"Overdue",IF(AND(C372="Contacted",_xlfn.MAXIFS(Interactions!$A$3:$A$502,Interactions!$B$3:$B$502,A372,Interactions!$F$3:$F$502,"Sent by us")&gt;0,_xlfn.MAXIFS(Interactions!$A$3:$A$502,Interactions!$B$3:$B$502,A372,Interactions!$F$3:$F$502,"Sent by us")&lt;=S_Today-S_NoReplyDays,MAX(_xlfn.MAXIFS(Interactions!$A$3:$A$502,Interactions!$B$3:$B$502,A372,Interactions!$F$3:$F$502,"Received from them"),_xlfn.MAXIFS(Interactions!$A$3:$A$502,Interactions!$B$3:$B$502,A372,Interactions!$F$3:$F$502,"Two-way"))&lt;_xlfn.MAXIFS(Interactions!$A$3:$A$502,Interactions!$B$3:$B$502,A372,Interactions!$F$3:$F$502,"Sent by us")),"No reply",IF(M372&lt;=S_Today+7,"Due this week","")))))))</f>
        <v/>
      </c>
      <c r="Z372" s="34" t="str">
        <f aca="false">IF(OR(A372="",Y372=""),"",IF(Y372="Renewal due",100000,IF(Y372="Overdue",200000,IF(Y372="No reply",300000,IF(Y372="Due this week",400000,500000))))+IF(Y372="Renewal due",P372-40000,IF(Y372="Missing next action",0,M372-40000))+ROW()/100000)</f>
        <v/>
      </c>
      <c r="AA372" s="32" t="str">
        <f aca="false">IF(A372="","",_xlfn.TEXTJOIN(", ",TRUE(),IF(AND(X372="Yes",D372=""),"No owner",IF(AND(D372&lt;&gt;"",COUNTIFS(R_TeamName,D372,R_TeamActive,"No")&gt;0),"Needs new owner","")),IF(AND(OR(C372="Proposal sent",C372="Negotiation"),H372="",I372="",K372=""),"Add package or proposed value",""),IF(AND(C372="Won",OR(P372="",V372="")),"Won needs renewal date and closed on",""),IF(AND(C372="Won",G372="Cash",J372=""),"Add agreed value",""),IF(AND(C372="Lost",OR(S372="",V372="")),"Lost needs reason and closed on",""),IF(AND(C372="Nurture",OR(T372="",U372="")),"Nurture needs reason and date","")))</f>
        <v/>
      </c>
      <c r="AB372" s="34" t="str">
        <f aca="false">IF(AND(C372="Won",V372&lt;&gt;"",V372&gt;=S_SemStart,V372&lt;=S_SemEnd),V372+ROW()/100000,"")</f>
        <v/>
      </c>
      <c r="AC372" s="34" t="str">
        <f aca="false">IF(AND(C372="Lost",V372&lt;&gt;"",V372&gt;=S_SemStart,V372&lt;=S_SemEnd),V372+ROW()/100000,"")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9"/>
      <c r="J373" s="29"/>
      <c r="K373" s="27"/>
      <c r="L373" s="27"/>
      <c r="M373" s="28"/>
      <c r="N373" s="28"/>
      <c r="O373" s="28"/>
      <c r="P373" s="28"/>
      <c r="Q373" s="27"/>
      <c r="R373" s="27"/>
      <c r="S373" s="27"/>
      <c r="T373" s="27"/>
      <c r="U373" s="28"/>
      <c r="V373" s="28"/>
      <c r="W373" s="27"/>
      <c r="X373" s="32" t="str">
        <f aca="false">IF(A373="","",IF(OR(C373="Planned",C373="Contacted",C373="Meeting",C373="Proposal sent",C373="Negotiation"),"Yes","No"))</f>
        <v/>
      </c>
      <c r="Y373" s="32" t="str">
        <f aca="false">IF(A373="","",IF(AND(C373="Won",P373&lt;&gt;"",P373&lt;=S_Today+S_RenewalDays,COUNTIFS($A$3:$A$502,A373,$F$3:$F$502,"Yes",$X$3:$X$502,"Yes")=0),"Renewal due",IF(X373&lt;&gt;"Yes","",IF(OR(L373="",M373=""),"Missing next action",IF(M373&lt;S_Today,"Overdue",IF(AND(C373="Contacted",_xlfn.MAXIFS(Interactions!$A$3:$A$502,Interactions!$B$3:$B$502,A373,Interactions!$F$3:$F$502,"Sent by us")&gt;0,_xlfn.MAXIFS(Interactions!$A$3:$A$502,Interactions!$B$3:$B$502,A373,Interactions!$F$3:$F$502,"Sent by us")&lt;=S_Today-S_NoReplyDays,MAX(_xlfn.MAXIFS(Interactions!$A$3:$A$502,Interactions!$B$3:$B$502,A373,Interactions!$F$3:$F$502,"Received from them"),_xlfn.MAXIFS(Interactions!$A$3:$A$502,Interactions!$B$3:$B$502,A373,Interactions!$F$3:$F$502,"Two-way"))&lt;_xlfn.MAXIFS(Interactions!$A$3:$A$502,Interactions!$B$3:$B$502,A373,Interactions!$F$3:$F$502,"Sent by us")),"No reply",IF(M373&lt;=S_Today+7,"Due this week","")))))))</f>
        <v/>
      </c>
      <c r="Z373" s="34" t="str">
        <f aca="false">IF(OR(A373="",Y373=""),"",IF(Y373="Renewal due",100000,IF(Y373="Overdue",200000,IF(Y373="No reply",300000,IF(Y373="Due this week",400000,500000))))+IF(Y373="Renewal due",P373-40000,IF(Y373="Missing next action",0,M373-40000))+ROW()/100000)</f>
        <v/>
      </c>
      <c r="AA373" s="32" t="str">
        <f aca="false">IF(A373="","",_xlfn.TEXTJOIN(", ",TRUE(),IF(AND(X373="Yes",D373=""),"No owner",IF(AND(D373&lt;&gt;"",COUNTIFS(R_TeamName,D373,R_TeamActive,"No")&gt;0),"Needs new owner","")),IF(AND(OR(C373="Proposal sent",C373="Negotiation"),H373="",I373="",K373=""),"Add package or proposed value",""),IF(AND(C373="Won",OR(P373="",V373="")),"Won needs renewal date and closed on",""),IF(AND(C373="Won",G373="Cash",J373=""),"Add agreed value",""),IF(AND(C373="Lost",OR(S373="",V373="")),"Lost needs reason and closed on",""),IF(AND(C373="Nurture",OR(T373="",U373="")),"Nurture needs reason and date","")))</f>
        <v/>
      </c>
      <c r="AB373" s="34" t="str">
        <f aca="false">IF(AND(C373="Won",V373&lt;&gt;"",V373&gt;=S_SemStart,V373&lt;=S_SemEnd),V373+ROW()/100000,"")</f>
        <v/>
      </c>
      <c r="AC373" s="34" t="str">
        <f aca="false">IF(AND(C373="Lost",V373&lt;&gt;"",V373&gt;=S_SemStart,V373&lt;=S_SemEnd),V373+ROW()/100000,"")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9"/>
      <c r="J374" s="29"/>
      <c r="K374" s="27"/>
      <c r="L374" s="27"/>
      <c r="M374" s="28"/>
      <c r="N374" s="28"/>
      <c r="O374" s="28"/>
      <c r="P374" s="28"/>
      <c r="Q374" s="27"/>
      <c r="R374" s="27"/>
      <c r="S374" s="27"/>
      <c r="T374" s="27"/>
      <c r="U374" s="28"/>
      <c r="V374" s="28"/>
      <c r="W374" s="27"/>
      <c r="X374" s="32" t="str">
        <f aca="false">IF(A374="","",IF(OR(C374="Planned",C374="Contacted",C374="Meeting",C374="Proposal sent",C374="Negotiation"),"Yes","No"))</f>
        <v/>
      </c>
      <c r="Y374" s="32" t="str">
        <f aca="false">IF(A374="","",IF(AND(C374="Won",P374&lt;&gt;"",P374&lt;=S_Today+S_RenewalDays,COUNTIFS($A$3:$A$502,A374,$F$3:$F$502,"Yes",$X$3:$X$502,"Yes")=0),"Renewal due",IF(X374&lt;&gt;"Yes","",IF(OR(L374="",M374=""),"Missing next action",IF(M374&lt;S_Today,"Overdue",IF(AND(C374="Contacted",_xlfn.MAXIFS(Interactions!$A$3:$A$502,Interactions!$B$3:$B$502,A374,Interactions!$F$3:$F$502,"Sent by us")&gt;0,_xlfn.MAXIFS(Interactions!$A$3:$A$502,Interactions!$B$3:$B$502,A374,Interactions!$F$3:$F$502,"Sent by us")&lt;=S_Today-S_NoReplyDays,MAX(_xlfn.MAXIFS(Interactions!$A$3:$A$502,Interactions!$B$3:$B$502,A374,Interactions!$F$3:$F$502,"Received from them"),_xlfn.MAXIFS(Interactions!$A$3:$A$502,Interactions!$B$3:$B$502,A374,Interactions!$F$3:$F$502,"Two-way"))&lt;_xlfn.MAXIFS(Interactions!$A$3:$A$502,Interactions!$B$3:$B$502,A374,Interactions!$F$3:$F$502,"Sent by us")),"No reply",IF(M374&lt;=S_Today+7,"Due this week","")))))))</f>
        <v/>
      </c>
      <c r="Z374" s="34" t="str">
        <f aca="false">IF(OR(A374="",Y374=""),"",IF(Y374="Renewal due",100000,IF(Y374="Overdue",200000,IF(Y374="No reply",300000,IF(Y374="Due this week",400000,500000))))+IF(Y374="Renewal due",P374-40000,IF(Y374="Missing next action",0,M374-40000))+ROW()/100000)</f>
        <v/>
      </c>
      <c r="AA374" s="32" t="str">
        <f aca="false">IF(A374="","",_xlfn.TEXTJOIN(", ",TRUE(),IF(AND(X374="Yes",D374=""),"No owner",IF(AND(D374&lt;&gt;"",COUNTIFS(R_TeamName,D374,R_TeamActive,"No")&gt;0),"Needs new owner","")),IF(AND(OR(C374="Proposal sent",C374="Negotiation"),H374="",I374="",K374=""),"Add package or proposed value",""),IF(AND(C374="Won",OR(P374="",V374="")),"Won needs renewal date and closed on",""),IF(AND(C374="Won",G374="Cash",J374=""),"Add agreed value",""),IF(AND(C374="Lost",OR(S374="",V374="")),"Lost needs reason and closed on",""),IF(AND(C374="Nurture",OR(T374="",U374="")),"Nurture needs reason and date","")))</f>
        <v/>
      </c>
      <c r="AB374" s="34" t="str">
        <f aca="false">IF(AND(C374="Won",V374&lt;&gt;"",V374&gt;=S_SemStart,V374&lt;=S_SemEnd),V374+ROW()/100000,"")</f>
        <v/>
      </c>
      <c r="AC374" s="34" t="str">
        <f aca="false">IF(AND(C374="Lost",V374&lt;&gt;"",V374&gt;=S_SemStart,V374&lt;=S_SemEnd),V374+ROW()/100000,"")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9"/>
      <c r="J375" s="29"/>
      <c r="K375" s="27"/>
      <c r="L375" s="27"/>
      <c r="M375" s="28"/>
      <c r="N375" s="28"/>
      <c r="O375" s="28"/>
      <c r="P375" s="28"/>
      <c r="Q375" s="27"/>
      <c r="R375" s="27"/>
      <c r="S375" s="27"/>
      <c r="T375" s="27"/>
      <c r="U375" s="28"/>
      <c r="V375" s="28"/>
      <c r="W375" s="27"/>
      <c r="X375" s="32" t="str">
        <f aca="false">IF(A375="","",IF(OR(C375="Planned",C375="Contacted",C375="Meeting",C375="Proposal sent",C375="Negotiation"),"Yes","No"))</f>
        <v/>
      </c>
      <c r="Y375" s="32" t="str">
        <f aca="false">IF(A375="","",IF(AND(C375="Won",P375&lt;&gt;"",P375&lt;=S_Today+S_RenewalDays,COUNTIFS($A$3:$A$502,A375,$F$3:$F$502,"Yes",$X$3:$X$502,"Yes")=0),"Renewal due",IF(X375&lt;&gt;"Yes","",IF(OR(L375="",M375=""),"Missing next action",IF(M375&lt;S_Today,"Overdue",IF(AND(C375="Contacted",_xlfn.MAXIFS(Interactions!$A$3:$A$502,Interactions!$B$3:$B$502,A375,Interactions!$F$3:$F$502,"Sent by us")&gt;0,_xlfn.MAXIFS(Interactions!$A$3:$A$502,Interactions!$B$3:$B$502,A375,Interactions!$F$3:$F$502,"Sent by us")&lt;=S_Today-S_NoReplyDays,MAX(_xlfn.MAXIFS(Interactions!$A$3:$A$502,Interactions!$B$3:$B$502,A375,Interactions!$F$3:$F$502,"Received from them"),_xlfn.MAXIFS(Interactions!$A$3:$A$502,Interactions!$B$3:$B$502,A375,Interactions!$F$3:$F$502,"Two-way"))&lt;_xlfn.MAXIFS(Interactions!$A$3:$A$502,Interactions!$B$3:$B$502,A375,Interactions!$F$3:$F$502,"Sent by us")),"No reply",IF(M375&lt;=S_Today+7,"Due this week","")))))))</f>
        <v/>
      </c>
      <c r="Z375" s="34" t="str">
        <f aca="false">IF(OR(A375="",Y375=""),"",IF(Y375="Renewal due",100000,IF(Y375="Overdue",200000,IF(Y375="No reply",300000,IF(Y375="Due this week",400000,500000))))+IF(Y375="Renewal due",P375-40000,IF(Y375="Missing next action",0,M375-40000))+ROW()/100000)</f>
        <v/>
      </c>
      <c r="AA375" s="32" t="str">
        <f aca="false">IF(A375="","",_xlfn.TEXTJOIN(", ",TRUE(),IF(AND(X375="Yes",D375=""),"No owner",IF(AND(D375&lt;&gt;"",COUNTIFS(R_TeamName,D375,R_TeamActive,"No")&gt;0),"Needs new owner","")),IF(AND(OR(C375="Proposal sent",C375="Negotiation"),H375="",I375="",K375=""),"Add package or proposed value",""),IF(AND(C375="Won",OR(P375="",V375="")),"Won needs renewal date and closed on",""),IF(AND(C375="Won",G375="Cash",J375=""),"Add agreed value",""),IF(AND(C375="Lost",OR(S375="",V375="")),"Lost needs reason and closed on",""),IF(AND(C375="Nurture",OR(T375="",U375="")),"Nurture needs reason and date","")))</f>
        <v/>
      </c>
      <c r="AB375" s="34" t="str">
        <f aca="false">IF(AND(C375="Won",V375&lt;&gt;"",V375&gt;=S_SemStart,V375&lt;=S_SemEnd),V375+ROW()/100000,"")</f>
        <v/>
      </c>
      <c r="AC375" s="34" t="str">
        <f aca="false">IF(AND(C375="Lost",V375&lt;&gt;"",V375&gt;=S_SemStart,V375&lt;=S_SemEnd),V375+ROW()/100000,"")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9"/>
      <c r="J376" s="29"/>
      <c r="K376" s="27"/>
      <c r="L376" s="27"/>
      <c r="M376" s="28"/>
      <c r="N376" s="28"/>
      <c r="O376" s="28"/>
      <c r="P376" s="28"/>
      <c r="Q376" s="27"/>
      <c r="R376" s="27"/>
      <c r="S376" s="27"/>
      <c r="T376" s="27"/>
      <c r="U376" s="28"/>
      <c r="V376" s="28"/>
      <c r="W376" s="27"/>
      <c r="X376" s="32" t="str">
        <f aca="false">IF(A376="","",IF(OR(C376="Planned",C376="Contacted",C376="Meeting",C376="Proposal sent",C376="Negotiation"),"Yes","No"))</f>
        <v/>
      </c>
      <c r="Y376" s="32" t="str">
        <f aca="false">IF(A376="","",IF(AND(C376="Won",P376&lt;&gt;"",P376&lt;=S_Today+S_RenewalDays,COUNTIFS($A$3:$A$502,A376,$F$3:$F$502,"Yes",$X$3:$X$502,"Yes")=0),"Renewal due",IF(X376&lt;&gt;"Yes","",IF(OR(L376="",M376=""),"Missing next action",IF(M376&lt;S_Today,"Overdue",IF(AND(C376="Contacted",_xlfn.MAXIFS(Interactions!$A$3:$A$502,Interactions!$B$3:$B$502,A376,Interactions!$F$3:$F$502,"Sent by us")&gt;0,_xlfn.MAXIFS(Interactions!$A$3:$A$502,Interactions!$B$3:$B$502,A376,Interactions!$F$3:$F$502,"Sent by us")&lt;=S_Today-S_NoReplyDays,MAX(_xlfn.MAXIFS(Interactions!$A$3:$A$502,Interactions!$B$3:$B$502,A376,Interactions!$F$3:$F$502,"Received from them"),_xlfn.MAXIFS(Interactions!$A$3:$A$502,Interactions!$B$3:$B$502,A376,Interactions!$F$3:$F$502,"Two-way"))&lt;_xlfn.MAXIFS(Interactions!$A$3:$A$502,Interactions!$B$3:$B$502,A376,Interactions!$F$3:$F$502,"Sent by us")),"No reply",IF(M376&lt;=S_Today+7,"Due this week","")))))))</f>
        <v/>
      </c>
      <c r="Z376" s="34" t="str">
        <f aca="false">IF(OR(A376="",Y376=""),"",IF(Y376="Renewal due",100000,IF(Y376="Overdue",200000,IF(Y376="No reply",300000,IF(Y376="Due this week",400000,500000))))+IF(Y376="Renewal due",P376-40000,IF(Y376="Missing next action",0,M376-40000))+ROW()/100000)</f>
        <v/>
      </c>
      <c r="AA376" s="32" t="str">
        <f aca="false">IF(A376="","",_xlfn.TEXTJOIN(", ",TRUE(),IF(AND(X376="Yes",D376=""),"No owner",IF(AND(D376&lt;&gt;"",COUNTIFS(R_TeamName,D376,R_TeamActive,"No")&gt;0),"Needs new owner","")),IF(AND(OR(C376="Proposal sent",C376="Negotiation"),H376="",I376="",K376=""),"Add package or proposed value",""),IF(AND(C376="Won",OR(P376="",V376="")),"Won needs renewal date and closed on",""),IF(AND(C376="Won",G376="Cash",J376=""),"Add agreed value",""),IF(AND(C376="Lost",OR(S376="",V376="")),"Lost needs reason and closed on",""),IF(AND(C376="Nurture",OR(T376="",U376="")),"Nurture needs reason and date","")))</f>
        <v/>
      </c>
      <c r="AB376" s="34" t="str">
        <f aca="false">IF(AND(C376="Won",V376&lt;&gt;"",V376&gt;=S_SemStart,V376&lt;=S_SemEnd),V376+ROW()/100000,"")</f>
        <v/>
      </c>
      <c r="AC376" s="34" t="str">
        <f aca="false">IF(AND(C376="Lost",V376&lt;&gt;"",V376&gt;=S_SemStart,V376&lt;=S_SemEnd),V376+ROW()/100000,"")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9"/>
      <c r="J377" s="29"/>
      <c r="K377" s="27"/>
      <c r="L377" s="27"/>
      <c r="M377" s="28"/>
      <c r="N377" s="28"/>
      <c r="O377" s="28"/>
      <c r="P377" s="28"/>
      <c r="Q377" s="27"/>
      <c r="R377" s="27"/>
      <c r="S377" s="27"/>
      <c r="T377" s="27"/>
      <c r="U377" s="28"/>
      <c r="V377" s="28"/>
      <c r="W377" s="27"/>
      <c r="X377" s="32" t="str">
        <f aca="false">IF(A377="","",IF(OR(C377="Planned",C377="Contacted",C377="Meeting",C377="Proposal sent",C377="Negotiation"),"Yes","No"))</f>
        <v/>
      </c>
      <c r="Y377" s="32" t="str">
        <f aca="false">IF(A377="","",IF(AND(C377="Won",P377&lt;&gt;"",P377&lt;=S_Today+S_RenewalDays,COUNTIFS($A$3:$A$502,A377,$F$3:$F$502,"Yes",$X$3:$X$502,"Yes")=0),"Renewal due",IF(X377&lt;&gt;"Yes","",IF(OR(L377="",M377=""),"Missing next action",IF(M377&lt;S_Today,"Overdue",IF(AND(C377="Contacted",_xlfn.MAXIFS(Interactions!$A$3:$A$502,Interactions!$B$3:$B$502,A377,Interactions!$F$3:$F$502,"Sent by us")&gt;0,_xlfn.MAXIFS(Interactions!$A$3:$A$502,Interactions!$B$3:$B$502,A377,Interactions!$F$3:$F$502,"Sent by us")&lt;=S_Today-S_NoReplyDays,MAX(_xlfn.MAXIFS(Interactions!$A$3:$A$502,Interactions!$B$3:$B$502,A377,Interactions!$F$3:$F$502,"Received from them"),_xlfn.MAXIFS(Interactions!$A$3:$A$502,Interactions!$B$3:$B$502,A377,Interactions!$F$3:$F$502,"Two-way"))&lt;_xlfn.MAXIFS(Interactions!$A$3:$A$502,Interactions!$B$3:$B$502,A377,Interactions!$F$3:$F$502,"Sent by us")),"No reply",IF(M377&lt;=S_Today+7,"Due this week","")))))))</f>
        <v/>
      </c>
      <c r="Z377" s="34" t="str">
        <f aca="false">IF(OR(A377="",Y377=""),"",IF(Y377="Renewal due",100000,IF(Y377="Overdue",200000,IF(Y377="No reply",300000,IF(Y377="Due this week",400000,500000))))+IF(Y377="Renewal due",P377-40000,IF(Y377="Missing next action",0,M377-40000))+ROW()/100000)</f>
        <v/>
      </c>
      <c r="AA377" s="32" t="str">
        <f aca="false">IF(A377="","",_xlfn.TEXTJOIN(", ",TRUE(),IF(AND(X377="Yes",D377=""),"No owner",IF(AND(D377&lt;&gt;"",COUNTIFS(R_TeamName,D377,R_TeamActive,"No")&gt;0),"Needs new owner","")),IF(AND(OR(C377="Proposal sent",C377="Negotiation"),H377="",I377="",K377=""),"Add package or proposed value",""),IF(AND(C377="Won",OR(P377="",V377="")),"Won needs renewal date and closed on",""),IF(AND(C377="Won",G377="Cash",J377=""),"Add agreed value",""),IF(AND(C377="Lost",OR(S377="",V377="")),"Lost needs reason and closed on",""),IF(AND(C377="Nurture",OR(T377="",U377="")),"Nurture needs reason and date","")))</f>
        <v/>
      </c>
      <c r="AB377" s="34" t="str">
        <f aca="false">IF(AND(C377="Won",V377&lt;&gt;"",V377&gt;=S_SemStart,V377&lt;=S_SemEnd),V377+ROW()/100000,"")</f>
        <v/>
      </c>
      <c r="AC377" s="34" t="str">
        <f aca="false">IF(AND(C377="Lost",V377&lt;&gt;"",V377&gt;=S_SemStart,V377&lt;=S_SemEnd),V377+ROW()/100000,"")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9"/>
      <c r="J378" s="29"/>
      <c r="K378" s="27"/>
      <c r="L378" s="27"/>
      <c r="M378" s="28"/>
      <c r="N378" s="28"/>
      <c r="O378" s="28"/>
      <c r="P378" s="28"/>
      <c r="Q378" s="27"/>
      <c r="R378" s="27"/>
      <c r="S378" s="27"/>
      <c r="T378" s="27"/>
      <c r="U378" s="28"/>
      <c r="V378" s="28"/>
      <c r="W378" s="27"/>
      <c r="X378" s="32" t="str">
        <f aca="false">IF(A378="","",IF(OR(C378="Planned",C378="Contacted",C378="Meeting",C378="Proposal sent",C378="Negotiation"),"Yes","No"))</f>
        <v/>
      </c>
      <c r="Y378" s="32" t="str">
        <f aca="false">IF(A378="","",IF(AND(C378="Won",P378&lt;&gt;"",P378&lt;=S_Today+S_RenewalDays,COUNTIFS($A$3:$A$502,A378,$F$3:$F$502,"Yes",$X$3:$X$502,"Yes")=0),"Renewal due",IF(X378&lt;&gt;"Yes","",IF(OR(L378="",M378=""),"Missing next action",IF(M378&lt;S_Today,"Overdue",IF(AND(C378="Contacted",_xlfn.MAXIFS(Interactions!$A$3:$A$502,Interactions!$B$3:$B$502,A378,Interactions!$F$3:$F$502,"Sent by us")&gt;0,_xlfn.MAXIFS(Interactions!$A$3:$A$502,Interactions!$B$3:$B$502,A378,Interactions!$F$3:$F$502,"Sent by us")&lt;=S_Today-S_NoReplyDays,MAX(_xlfn.MAXIFS(Interactions!$A$3:$A$502,Interactions!$B$3:$B$502,A378,Interactions!$F$3:$F$502,"Received from them"),_xlfn.MAXIFS(Interactions!$A$3:$A$502,Interactions!$B$3:$B$502,A378,Interactions!$F$3:$F$502,"Two-way"))&lt;_xlfn.MAXIFS(Interactions!$A$3:$A$502,Interactions!$B$3:$B$502,A378,Interactions!$F$3:$F$502,"Sent by us")),"No reply",IF(M378&lt;=S_Today+7,"Due this week","")))))))</f>
        <v/>
      </c>
      <c r="Z378" s="34" t="str">
        <f aca="false">IF(OR(A378="",Y378=""),"",IF(Y378="Renewal due",100000,IF(Y378="Overdue",200000,IF(Y378="No reply",300000,IF(Y378="Due this week",400000,500000))))+IF(Y378="Renewal due",P378-40000,IF(Y378="Missing next action",0,M378-40000))+ROW()/100000)</f>
        <v/>
      </c>
      <c r="AA378" s="32" t="str">
        <f aca="false">IF(A378="","",_xlfn.TEXTJOIN(", ",TRUE(),IF(AND(X378="Yes",D378=""),"No owner",IF(AND(D378&lt;&gt;"",COUNTIFS(R_TeamName,D378,R_TeamActive,"No")&gt;0),"Needs new owner","")),IF(AND(OR(C378="Proposal sent",C378="Negotiation"),H378="",I378="",K378=""),"Add package or proposed value",""),IF(AND(C378="Won",OR(P378="",V378="")),"Won needs renewal date and closed on",""),IF(AND(C378="Won",G378="Cash",J378=""),"Add agreed value",""),IF(AND(C378="Lost",OR(S378="",V378="")),"Lost needs reason and closed on",""),IF(AND(C378="Nurture",OR(T378="",U378="")),"Nurture needs reason and date","")))</f>
        <v/>
      </c>
      <c r="AB378" s="34" t="str">
        <f aca="false">IF(AND(C378="Won",V378&lt;&gt;"",V378&gt;=S_SemStart,V378&lt;=S_SemEnd),V378+ROW()/100000,"")</f>
        <v/>
      </c>
      <c r="AC378" s="34" t="str">
        <f aca="false">IF(AND(C378="Lost",V378&lt;&gt;"",V378&gt;=S_SemStart,V378&lt;=S_SemEnd),V378+ROW()/100000,"")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9"/>
      <c r="J379" s="29"/>
      <c r="K379" s="27"/>
      <c r="L379" s="27"/>
      <c r="M379" s="28"/>
      <c r="N379" s="28"/>
      <c r="O379" s="28"/>
      <c r="P379" s="28"/>
      <c r="Q379" s="27"/>
      <c r="R379" s="27"/>
      <c r="S379" s="27"/>
      <c r="T379" s="27"/>
      <c r="U379" s="28"/>
      <c r="V379" s="28"/>
      <c r="W379" s="27"/>
      <c r="X379" s="32" t="str">
        <f aca="false">IF(A379="","",IF(OR(C379="Planned",C379="Contacted",C379="Meeting",C379="Proposal sent",C379="Negotiation"),"Yes","No"))</f>
        <v/>
      </c>
      <c r="Y379" s="32" t="str">
        <f aca="false">IF(A379="","",IF(AND(C379="Won",P379&lt;&gt;"",P379&lt;=S_Today+S_RenewalDays,COUNTIFS($A$3:$A$502,A379,$F$3:$F$502,"Yes",$X$3:$X$502,"Yes")=0),"Renewal due",IF(X379&lt;&gt;"Yes","",IF(OR(L379="",M379=""),"Missing next action",IF(M379&lt;S_Today,"Overdue",IF(AND(C379="Contacted",_xlfn.MAXIFS(Interactions!$A$3:$A$502,Interactions!$B$3:$B$502,A379,Interactions!$F$3:$F$502,"Sent by us")&gt;0,_xlfn.MAXIFS(Interactions!$A$3:$A$502,Interactions!$B$3:$B$502,A379,Interactions!$F$3:$F$502,"Sent by us")&lt;=S_Today-S_NoReplyDays,MAX(_xlfn.MAXIFS(Interactions!$A$3:$A$502,Interactions!$B$3:$B$502,A379,Interactions!$F$3:$F$502,"Received from them"),_xlfn.MAXIFS(Interactions!$A$3:$A$502,Interactions!$B$3:$B$502,A379,Interactions!$F$3:$F$502,"Two-way"))&lt;_xlfn.MAXIFS(Interactions!$A$3:$A$502,Interactions!$B$3:$B$502,A379,Interactions!$F$3:$F$502,"Sent by us")),"No reply",IF(M379&lt;=S_Today+7,"Due this week","")))))))</f>
        <v/>
      </c>
      <c r="Z379" s="34" t="str">
        <f aca="false">IF(OR(A379="",Y379=""),"",IF(Y379="Renewal due",100000,IF(Y379="Overdue",200000,IF(Y379="No reply",300000,IF(Y379="Due this week",400000,500000))))+IF(Y379="Renewal due",P379-40000,IF(Y379="Missing next action",0,M379-40000))+ROW()/100000)</f>
        <v/>
      </c>
      <c r="AA379" s="32" t="str">
        <f aca="false">IF(A379="","",_xlfn.TEXTJOIN(", ",TRUE(),IF(AND(X379="Yes",D379=""),"No owner",IF(AND(D379&lt;&gt;"",COUNTIFS(R_TeamName,D379,R_TeamActive,"No")&gt;0),"Needs new owner","")),IF(AND(OR(C379="Proposal sent",C379="Negotiation"),H379="",I379="",K379=""),"Add package or proposed value",""),IF(AND(C379="Won",OR(P379="",V379="")),"Won needs renewal date and closed on",""),IF(AND(C379="Won",G379="Cash",J379=""),"Add agreed value",""),IF(AND(C379="Lost",OR(S379="",V379="")),"Lost needs reason and closed on",""),IF(AND(C379="Nurture",OR(T379="",U379="")),"Nurture needs reason and date","")))</f>
        <v/>
      </c>
      <c r="AB379" s="34" t="str">
        <f aca="false">IF(AND(C379="Won",V379&lt;&gt;"",V379&gt;=S_SemStart,V379&lt;=S_SemEnd),V379+ROW()/100000,"")</f>
        <v/>
      </c>
      <c r="AC379" s="34" t="str">
        <f aca="false">IF(AND(C379="Lost",V379&lt;&gt;"",V379&gt;=S_SemStart,V379&lt;=S_SemEnd),V379+ROW()/100000,"")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9"/>
      <c r="J380" s="29"/>
      <c r="K380" s="27"/>
      <c r="L380" s="27"/>
      <c r="M380" s="28"/>
      <c r="N380" s="28"/>
      <c r="O380" s="28"/>
      <c r="P380" s="28"/>
      <c r="Q380" s="27"/>
      <c r="R380" s="27"/>
      <c r="S380" s="27"/>
      <c r="T380" s="27"/>
      <c r="U380" s="28"/>
      <c r="V380" s="28"/>
      <c r="W380" s="27"/>
      <c r="X380" s="32" t="str">
        <f aca="false">IF(A380="","",IF(OR(C380="Planned",C380="Contacted",C380="Meeting",C380="Proposal sent",C380="Negotiation"),"Yes","No"))</f>
        <v/>
      </c>
      <c r="Y380" s="32" t="str">
        <f aca="false">IF(A380="","",IF(AND(C380="Won",P380&lt;&gt;"",P380&lt;=S_Today+S_RenewalDays,COUNTIFS($A$3:$A$502,A380,$F$3:$F$502,"Yes",$X$3:$X$502,"Yes")=0),"Renewal due",IF(X380&lt;&gt;"Yes","",IF(OR(L380="",M380=""),"Missing next action",IF(M380&lt;S_Today,"Overdue",IF(AND(C380="Contacted",_xlfn.MAXIFS(Interactions!$A$3:$A$502,Interactions!$B$3:$B$502,A380,Interactions!$F$3:$F$502,"Sent by us")&gt;0,_xlfn.MAXIFS(Interactions!$A$3:$A$502,Interactions!$B$3:$B$502,A380,Interactions!$F$3:$F$502,"Sent by us")&lt;=S_Today-S_NoReplyDays,MAX(_xlfn.MAXIFS(Interactions!$A$3:$A$502,Interactions!$B$3:$B$502,A380,Interactions!$F$3:$F$502,"Received from them"),_xlfn.MAXIFS(Interactions!$A$3:$A$502,Interactions!$B$3:$B$502,A380,Interactions!$F$3:$F$502,"Two-way"))&lt;_xlfn.MAXIFS(Interactions!$A$3:$A$502,Interactions!$B$3:$B$502,A380,Interactions!$F$3:$F$502,"Sent by us")),"No reply",IF(M380&lt;=S_Today+7,"Due this week","")))))))</f>
        <v/>
      </c>
      <c r="Z380" s="34" t="str">
        <f aca="false">IF(OR(A380="",Y380=""),"",IF(Y380="Renewal due",100000,IF(Y380="Overdue",200000,IF(Y380="No reply",300000,IF(Y380="Due this week",400000,500000))))+IF(Y380="Renewal due",P380-40000,IF(Y380="Missing next action",0,M380-40000))+ROW()/100000)</f>
        <v/>
      </c>
      <c r="AA380" s="32" t="str">
        <f aca="false">IF(A380="","",_xlfn.TEXTJOIN(", ",TRUE(),IF(AND(X380="Yes",D380=""),"No owner",IF(AND(D380&lt;&gt;"",COUNTIFS(R_TeamName,D380,R_TeamActive,"No")&gt;0),"Needs new owner","")),IF(AND(OR(C380="Proposal sent",C380="Negotiation"),H380="",I380="",K380=""),"Add package or proposed value",""),IF(AND(C380="Won",OR(P380="",V380="")),"Won needs renewal date and closed on",""),IF(AND(C380="Won",G380="Cash",J380=""),"Add agreed value",""),IF(AND(C380="Lost",OR(S380="",V380="")),"Lost needs reason and closed on",""),IF(AND(C380="Nurture",OR(T380="",U380="")),"Nurture needs reason and date","")))</f>
        <v/>
      </c>
      <c r="AB380" s="34" t="str">
        <f aca="false">IF(AND(C380="Won",V380&lt;&gt;"",V380&gt;=S_SemStart,V380&lt;=S_SemEnd),V380+ROW()/100000,"")</f>
        <v/>
      </c>
      <c r="AC380" s="34" t="str">
        <f aca="false">IF(AND(C380="Lost",V380&lt;&gt;"",V380&gt;=S_SemStart,V380&lt;=S_SemEnd),V380+ROW()/100000,"")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9"/>
      <c r="J381" s="29"/>
      <c r="K381" s="27"/>
      <c r="L381" s="27"/>
      <c r="M381" s="28"/>
      <c r="N381" s="28"/>
      <c r="O381" s="28"/>
      <c r="P381" s="28"/>
      <c r="Q381" s="27"/>
      <c r="R381" s="27"/>
      <c r="S381" s="27"/>
      <c r="T381" s="27"/>
      <c r="U381" s="28"/>
      <c r="V381" s="28"/>
      <c r="W381" s="27"/>
      <c r="X381" s="32" t="str">
        <f aca="false">IF(A381="","",IF(OR(C381="Planned",C381="Contacted",C381="Meeting",C381="Proposal sent",C381="Negotiation"),"Yes","No"))</f>
        <v/>
      </c>
      <c r="Y381" s="32" t="str">
        <f aca="false">IF(A381="","",IF(AND(C381="Won",P381&lt;&gt;"",P381&lt;=S_Today+S_RenewalDays,COUNTIFS($A$3:$A$502,A381,$F$3:$F$502,"Yes",$X$3:$X$502,"Yes")=0),"Renewal due",IF(X381&lt;&gt;"Yes","",IF(OR(L381="",M381=""),"Missing next action",IF(M381&lt;S_Today,"Overdue",IF(AND(C381="Contacted",_xlfn.MAXIFS(Interactions!$A$3:$A$502,Interactions!$B$3:$B$502,A381,Interactions!$F$3:$F$502,"Sent by us")&gt;0,_xlfn.MAXIFS(Interactions!$A$3:$A$502,Interactions!$B$3:$B$502,A381,Interactions!$F$3:$F$502,"Sent by us")&lt;=S_Today-S_NoReplyDays,MAX(_xlfn.MAXIFS(Interactions!$A$3:$A$502,Interactions!$B$3:$B$502,A381,Interactions!$F$3:$F$502,"Received from them"),_xlfn.MAXIFS(Interactions!$A$3:$A$502,Interactions!$B$3:$B$502,A381,Interactions!$F$3:$F$502,"Two-way"))&lt;_xlfn.MAXIFS(Interactions!$A$3:$A$502,Interactions!$B$3:$B$502,A381,Interactions!$F$3:$F$502,"Sent by us")),"No reply",IF(M381&lt;=S_Today+7,"Due this week","")))))))</f>
        <v/>
      </c>
      <c r="Z381" s="34" t="str">
        <f aca="false">IF(OR(A381="",Y381=""),"",IF(Y381="Renewal due",100000,IF(Y381="Overdue",200000,IF(Y381="No reply",300000,IF(Y381="Due this week",400000,500000))))+IF(Y381="Renewal due",P381-40000,IF(Y381="Missing next action",0,M381-40000))+ROW()/100000)</f>
        <v/>
      </c>
      <c r="AA381" s="32" t="str">
        <f aca="false">IF(A381="","",_xlfn.TEXTJOIN(", ",TRUE(),IF(AND(X381="Yes",D381=""),"No owner",IF(AND(D381&lt;&gt;"",COUNTIFS(R_TeamName,D381,R_TeamActive,"No")&gt;0),"Needs new owner","")),IF(AND(OR(C381="Proposal sent",C381="Negotiation"),H381="",I381="",K381=""),"Add package or proposed value",""),IF(AND(C381="Won",OR(P381="",V381="")),"Won needs renewal date and closed on",""),IF(AND(C381="Won",G381="Cash",J381=""),"Add agreed value",""),IF(AND(C381="Lost",OR(S381="",V381="")),"Lost needs reason and closed on",""),IF(AND(C381="Nurture",OR(T381="",U381="")),"Nurture needs reason and date","")))</f>
        <v/>
      </c>
      <c r="AB381" s="34" t="str">
        <f aca="false">IF(AND(C381="Won",V381&lt;&gt;"",V381&gt;=S_SemStart,V381&lt;=S_SemEnd),V381+ROW()/100000,"")</f>
        <v/>
      </c>
      <c r="AC381" s="34" t="str">
        <f aca="false">IF(AND(C381="Lost",V381&lt;&gt;"",V381&gt;=S_SemStart,V381&lt;=S_SemEnd),V381+ROW()/100000,"")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9"/>
      <c r="J382" s="29"/>
      <c r="K382" s="27"/>
      <c r="L382" s="27"/>
      <c r="M382" s="28"/>
      <c r="N382" s="28"/>
      <c r="O382" s="28"/>
      <c r="P382" s="28"/>
      <c r="Q382" s="27"/>
      <c r="R382" s="27"/>
      <c r="S382" s="27"/>
      <c r="T382" s="27"/>
      <c r="U382" s="28"/>
      <c r="V382" s="28"/>
      <c r="W382" s="27"/>
      <c r="X382" s="32" t="str">
        <f aca="false">IF(A382="","",IF(OR(C382="Planned",C382="Contacted",C382="Meeting",C382="Proposal sent",C382="Negotiation"),"Yes","No"))</f>
        <v/>
      </c>
      <c r="Y382" s="32" t="str">
        <f aca="false">IF(A382="","",IF(AND(C382="Won",P382&lt;&gt;"",P382&lt;=S_Today+S_RenewalDays,COUNTIFS($A$3:$A$502,A382,$F$3:$F$502,"Yes",$X$3:$X$502,"Yes")=0),"Renewal due",IF(X382&lt;&gt;"Yes","",IF(OR(L382="",M382=""),"Missing next action",IF(M382&lt;S_Today,"Overdue",IF(AND(C382="Contacted",_xlfn.MAXIFS(Interactions!$A$3:$A$502,Interactions!$B$3:$B$502,A382,Interactions!$F$3:$F$502,"Sent by us")&gt;0,_xlfn.MAXIFS(Interactions!$A$3:$A$502,Interactions!$B$3:$B$502,A382,Interactions!$F$3:$F$502,"Sent by us")&lt;=S_Today-S_NoReplyDays,MAX(_xlfn.MAXIFS(Interactions!$A$3:$A$502,Interactions!$B$3:$B$502,A382,Interactions!$F$3:$F$502,"Received from them"),_xlfn.MAXIFS(Interactions!$A$3:$A$502,Interactions!$B$3:$B$502,A382,Interactions!$F$3:$F$502,"Two-way"))&lt;_xlfn.MAXIFS(Interactions!$A$3:$A$502,Interactions!$B$3:$B$502,A382,Interactions!$F$3:$F$502,"Sent by us")),"No reply",IF(M382&lt;=S_Today+7,"Due this week","")))))))</f>
        <v/>
      </c>
      <c r="Z382" s="34" t="str">
        <f aca="false">IF(OR(A382="",Y382=""),"",IF(Y382="Renewal due",100000,IF(Y382="Overdue",200000,IF(Y382="No reply",300000,IF(Y382="Due this week",400000,500000))))+IF(Y382="Renewal due",P382-40000,IF(Y382="Missing next action",0,M382-40000))+ROW()/100000)</f>
        <v/>
      </c>
      <c r="AA382" s="32" t="str">
        <f aca="false">IF(A382="","",_xlfn.TEXTJOIN(", ",TRUE(),IF(AND(X382="Yes",D382=""),"No owner",IF(AND(D382&lt;&gt;"",COUNTIFS(R_TeamName,D382,R_TeamActive,"No")&gt;0),"Needs new owner","")),IF(AND(OR(C382="Proposal sent",C382="Negotiation"),H382="",I382="",K382=""),"Add package or proposed value",""),IF(AND(C382="Won",OR(P382="",V382="")),"Won needs renewal date and closed on",""),IF(AND(C382="Won",G382="Cash",J382=""),"Add agreed value",""),IF(AND(C382="Lost",OR(S382="",V382="")),"Lost needs reason and closed on",""),IF(AND(C382="Nurture",OR(T382="",U382="")),"Nurture needs reason and date","")))</f>
        <v/>
      </c>
      <c r="AB382" s="34" t="str">
        <f aca="false">IF(AND(C382="Won",V382&lt;&gt;"",V382&gt;=S_SemStart,V382&lt;=S_SemEnd),V382+ROW()/100000,"")</f>
        <v/>
      </c>
      <c r="AC382" s="34" t="str">
        <f aca="false">IF(AND(C382="Lost",V382&lt;&gt;"",V382&gt;=S_SemStart,V382&lt;=S_SemEnd),V382+ROW()/100000,"")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9"/>
      <c r="J383" s="29"/>
      <c r="K383" s="27"/>
      <c r="L383" s="27"/>
      <c r="M383" s="28"/>
      <c r="N383" s="28"/>
      <c r="O383" s="28"/>
      <c r="P383" s="28"/>
      <c r="Q383" s="27"/>
      <c r="R383" s="27"/>
      <c r="S383" s="27"/>
      <c r="T383" s="27"/>
      <c r="U383" s="28"/>
      <c r="V383" s="28"/>
      <c r="W383" s="27"/>
      <c r="X383" s="32" t="str">
        <f aca="false">IF(A383="","",IF(OR(C383="Planned",C383="Contacted",C383="Meeting",C383="Proposal sent",C383="Negotiation"),"Yes","No"))</f>
        <v/>
      </c>
      <c r="Y383" s="32" t="str">
        <f aca="false">IF(A383="","",IF(AND(C383="Won",P383&lt;&gt;"",P383&lt;=S_Today+S_RenewalDays,COUNTIFS($A$3:$A$502,A383,$F$3:$F$502,"Yes",$X$3:$X$502,"Yes")=0),"Renewal due",IF(X383&lt;&gt;"Yes","",IF(OR(L383="",M383=""),"Missing next action",IF(M383&lt;S_Today,"Overdue",IF(AND(C383="Contacted",_xlfn.MAXIFS(Interactions!$A$3:$A$502,Interactions!$B$3:$B$502,A383,Interactions!$F$3:$F$502,"Sent by us")&gt;0,_xlfn.MAXIFS(Interactions!$A$3:$A$502,Interactions!$B$3:$B$502,A383,Interactions!$F$3:$F$502,"Sent by us")&lt;=S_Today-S_NoReplyDays,MAX(_xlfn.MAXIFS(Interactions!$A$3:$A$502,Interactions!$B$3:$B$502,A383,Interactions!$F$3:$F$502,"Received from them"),_xlfn.MAXIFS(Interactions!$A$3:$A$502,Interactions!$B$3:$B$502,A383,Interactions!$F$3:$F$502,"Two-way"))&lt;_xlfn.MAXIFS(Interactions!$A$3:$A$502,Interactions!$B$3:$B$502,A383,Interactions!$F$3:$F$502,"Sent by us")),"No reply",IF(M383&lt;=S_Today+7,"Due this week","")))))))</f>
        <v/>
      </c>
      <c r="Z383" s="34" t="str">
        <f aca="false">IF(OR(A383="",Y383=""),"",IF(Y383="Renewal due",100000,IF(Y383="Overdue",200000,IF(Y383="No reply",300000,IF(Y383="Due this week",400000,500000))))+IF(Y383="Renewal due",P383-40000,IF(Y383="Missing next action",0,M383-40000))+ROW()/100000)</f>
        <v/>
      </c>
      <c r="AA383" s="32" t="str">
        <f aca="false">IF(A383="","",_xlfn.TEXTJOIN(", ",TRUE(),IF(AND(X383="Yes",D383=""),"No owner",IF(AND(D383&lt;&gt;"",COUNTIFS(R_TeamName,D383,R_TeamActive,"No")&gt;0),"Needs new owner","")),IF(AND(OR(C383="Proposal sent",C383="Negotiation"),H383="",I383="",K383=""),"Add package or proposed value",""),IF(AND(C383="Won",OR(P383="",V383="")),"Won needs renewal date and closed on",""),IF(AND(C383="Won",G383="Cash",J383=""),"Add agreed value",""),IF(AND(C383="Lost",OR(S383="",V383="")),"Lost needs reason and closed on",""),IF(AND(C383="Nurture",OR(T383="",U383="")),"Nurture needs reason and date","")))</f>
        <v/>
      </c>
      <c r="AB383" s="34" t="str">
        <f aca="false">IF(AND(C383="Won",V383&lt;&gt;"",V383&gt;=S_SemStart,V383&lt;=S_SemEnd),V383+ROW()/100000,"")</f>
        <v/>
      </c>
      <c r="AC383" s="34" t="str">
        <f aca="false">IF(AND(C383="Lost",V383&lt;&gt;"",V383&gt;=S_SemStart,V383&lt;=S_SemEnd),V383+ROW()/100000,"")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9"/>
      <c r="J384" s="29"/>
      <c r="K384" s="27"/>
      <c r="L384" s="27"/>
      <c r="M384" s="28"/>
      <c r="N384" s="28"/>
      <c r="O384" s="28"/>
      <c r="P384" s="28"/>
      <c r="Q384" s="27"/>
      <c r="R384" s="27"/>
      <c r="S384" s="27"/>
      <c r="T384" s="27"/>
      <c r="U384" s="28"/>
      <c r="V384" s="28"/>
      <c r="W384" s="27"/>
      <c r="X384" s="32" t="str">
        <f aca="false">IF(A384="","",IF(OR(C384="Planned",C384="Contacted",C384="Meeting",C384="Proposal sent",C384="Negotiation"),"Yes","No"))</f>
        <v/>
      </c>
      <c r="Y384" s="32" t="str">
        <f aca="false">IF(A384="","",IF(AND(C384="Won",P384&lt;&gt;"",P384&lt;=S_Today+S_RenewalDays,COUNTIFS($A$3:$A$502,A384,$F$3:$F$502,"Yes",$X$3:$X$502,"Yes")=0),"Renewal due",IF(X384&lt;&gt;"Yes","",IF(OR(L384="",M384=""),"Missing next action",IF(M384&lt;S_Today,"Overdue",IF(AND(C384="Contacted",_xlfn.MAXIFS(Interactions!$A$3:$A$502,Interactions!$B$3:$B$502,A384,Interactions!$F$3:$F$502,"Sent by us")&gt;0,_xlfn.MAXIFS(Interactions!$A$3:$A$502,Interactions!$B$3:$B$502,A384,Interactions!$F$3:$F$502,"Sent by us")&lt;=S_Today-S_NoReplyDays,MAX(_xlfn.MAXIFS(Interactions!$A$3:$A$502,Interactions!$B$3:$B$502,A384,Interactions!$F$3:$F$502,"Received from them"),_xlfn.MAXIFS(Interactions!$A$3:$A$502,Interactions!$B$3:$B$502,A384,Interactions!$F$3:$F$502,"Two-way"))&lt;_xlfn.MAXIFS(Interactions!$A$3:$A$502,Interactions!$B$3:$B$502,A384,Interactions!$F$3:$F$502,"Sent by us")),"No reply",IF(M384&lt;=S_Today+7,"Due this week","")))))))</f>
        <v/>
      </c>
      <c r="Z384" s="34" t="str">
        <f aca="false">IF(OR(A384="",Y384=""),"",IF(Y384="Renewal due",100000,IF(Y384="Overdue",200000,IF(Y384="No reply",300000,IF(Y384="Due this week",400000,500000))))+IF(Y384="Renewal due",P384-40000,IF(Y384="Missing next action",0,M384-40000))+ROW()/100000)</f>
        <v/>
      </c>
      <c r="AA384" s="32" t="str">
        <f aca="false">IF(A384="","",_xlfn.TEXTJOIN(", ",TRUE(),IF(AND(X384="Yes",D384=""),"No owner",IF(AND(D384&lt;&gt;"",COUNTIFS(R_TeamName,D384,R_TeamActive,"No")&gt;0),"Needs new owner","")),IF(AND(OR(C384="Proposal sent",C384="Negotiation"),H384="",I384="",K384=""),"Add package or proposed value",""),IF(AND(C384="Won",OR(P384="",V384="")),"Won needs renewal date and closed on",""),IF(AND(C384="Won",G384="Cash",J384=""),"Add agreed value",""),IF(AND(C384="Lost",OR(S384="",V384="")),"Lost needs reason and closed on",""),IF(AND(C384="Nurture",OR(T384="",U384="")),"Nurture needs reason and date","")))</f>
        <v/>
      </c>
      <c r="AB384" s="34" t="str">
        <f aca="false">IF(AND(C384="Won",V384&lt;&gt;"",V384&gt;=S_SemStart,V384&lt;=S_SemEnd),V384+ROW()/100000,"")</f>
        <v/>
      </c>
      <c r="AC384" s="34" t="str">
        <f aca="false">IF(AND(C384="Lost",V384&lt;&gt;"",V384&gt;=S_SemStart,V384&lt;=S_SemEnd),V384+ROW()/100000,"")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9"/>
      <c r="J385" s="29"/>
      <c r="K385" s="27"/>
      <c r="L385" s="27"/>
      <c r="M385" s="28"/>
      <c r="N385" s="28"/>
      <c r="O385" s="28"/>
      <c r="P385" s="28"/>
      <c r="Q385" s="27"/>
      <c r="R385" s="27"/>
      <c r="S385" s="27"/>
      <c r="T385" s="27"/>
      <c r="U385" s="28"/>
      <c r="V385" s="28"/>
      <c r="W385" s="27"/>
      <c r="X385" s="32" t="str">
        <f aca="false">IF(A385="","",IF(OR(C385="Planned",C385="Contacted",C385="Meeting",C385="Proposal sent",C385="Negotiation"),"Yes","No"))</f>
        <v/>
      </c>
      <c r="Y385" s="32" t="str">
        <f aca="false">IF(A385="","",IF(AND(C385="Won",P385&lt;&gt;"",P385&lt;=S_Today+S_RenewalDays,COUNTIFS($A$3:$A$502,A385,$F$3:$F$502,"Yes",$X$3:$X$502,"Yes")=0),"Renewal due",IF(X385&lt;&gt;"Yes","",IF(OR(L385="",M385=""),"Missing next action",IF(M385&lt;S_Today,"Overdue",IF(AND(C385="Contacted",_xlfn.MAXIFS(Interactions!$A$3:$A$502,Interactions!$B$3:$B$502,A385,Interactions!$F$3:$F$502,"Sent by us")&gt;0,_xlfn.MAXIFS(Interactions!$A$3:$A$502,Interactions!$B$3:$B$502,A385,Interactions!$F$3:$F$502,"Sent by us")&lt;=S_Today-S_NoReplyDays,MAX(_xlfn.MAXIFS(Interactions!$A$3:$A$502,Interactions!$B$3:$B$502,A385,Interactions!$F$3:$F$502,"Received from them"),_xlfn.MAXIFS(Interactions!$A$3:$A$502,Interactions!$B$3:$B$502,A385,Interactions!$F$3:$F$502,"Two-way"))&lt;_xlfn.MAXIFS(Interactions!$A$3:$A$502,Interactions!$B$3:$B$502,A385,Interactions!$F$3:$F$502,"Sent by us")),"No reply",IF(M385&lt;=S_Today+7,"Due this week","")))))))</f>
        <v/>
      </c>
      <c r="Z385" s="34" t="str">
        <f aca="false">IF(OR(A385="",Y385=""),"",IF(Y385="Renewal due",100000,IF(Y385="Overdue",200000,IF(Y385="No reply",300000,IF(Y385="Due this week",400000,500000))))+IF(Y385="Renewal due",P385-40000,IF(Y385="Missing next action",0,M385-40000))+ROW()/100000)</f>
        <v/>
      </c>
      <c r="AA385" s="32" t="str">
        <f aca="false">IF(A385="","",_xlfn.TEXTJOIN(", ",TRUE(),IF(AND(X385="Yes",D385=""),"No owner",IF(AND(D385&lt;&gt;"",COUNTIFS(R_TeamName,D385,R_TeamActive,"No")&gt;0),"Needs new owner","")),IF(AND(OR(C385="Proposal sent",C385="Negotiation"),H385="",I385="",K385=""),"Add package or proposed value",""),IF(AND(C385="Won",OR(P385="",V385="")),"Won needs renewal date and closed on",""),IF(AND(C385="Won",G385="Cash",J385=""),"Add agreed value",""),IF(AND(C385="Lost",OR(S385="",V385="")),"Lost needs reason and closed on",""),IF(AND(C385="Nurture",OR(T385="",U385="")),"Nurture needs reason and date","")))</f>
        <v/>
      </c>
      <c r="AB385" s="34" t="str">
        <f aca="false">IF(AND(C385="Won",V385&lt;&gt;"",V385&gt;=S_SemStart,V385&lt;=S_SemEnd),V385+ROW()/100000,"")</f>
        <v/>
      </c>
      <c r="AC385" s="34" t="str">
        <f aca="false">IF(AND(C385="Lost",V385&lt;&gt;"",V385&gt;=S_SemStart,V385&lt;=S_SemEnd),V385+ROW()/100000,"")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9"/>
      <c r="J386" s="29"/>
      <c r="K386" s="27"/>
      <c r="L386" s="27"/>
      <c r="M386" s="28"/>
      <c r="N386" s="28"/>
      <c r="O386" s="28"/>
      <c r="P386" s="28"/>
      <c r="Q386" s="27"/>
      <c r="R386" s="27"/>
      <c r="S386" s="27"/>
      <c r="T386" s="27"/>
      <c r="U386" s="28"/>
      <c r="V386" s="28"/>
      <c r="W386" s="27"/>
      <c r="X386" s="32" t="str">
        <f aca="false">IF(A386="","",IF(OR(C386="Planned",C386="Contacted",C386="Meeting",C386="Proposal sent",C386="Negotiation"),"Yes","No"))</f>
        <v/>
      </c>
      <c r="Y386" s="32" t="str">
        <f aca="false">IF(A386="","",IF(AND(C386="Won",P386&lt;&gt;"",P386&lt;=S_Today+S_RenewalDays,COUNTIFS($A$3:$A$502,A386,$F$3:$F$502,"Yes",$X$3:$X$502,"Yes")=0),"Renewal due",IF(X386&lt;&gt;"Yes","",IF(OR(L386="",M386=""),"Missing next action",IF(M386&lt;S_Today,"Overdue",IF(AND(C386="Contacted",_xlfn.MAXIFS(Interactions!$A$3:$A$502,Interactions!$B$3:$B$502,A386,Interactions!$F$3:$F$502,"Sent by us")&gt;0,_xlfn.MAXIFS(Interactions!$A$3:$A$502,Interactions!$B$3:$B$502,A386,Interactions!$F$3:$F$502,"Sent by us")&lt;=S_Today-S_NoReplyDays,MAX(_xlfn.MAXIFS(Interactions!$A$3:$A$502,Interactions!$B$3:$B$502,A386,Interactions!$F$3:$F$502,"Received from them"),_xlfn.MAXIFS(Interactions!$A$3:$A$502,Interactions!$B$3:$B$502,A386,Interactions!$F$3:$F$502,"Two-way"))&lt;_xlfn.MAXIFS(Interactions!$A$3:$A$502,Interactions!$B$3:$B$502,A386,Interactions!$F$3:$F$502,"Sent by us")),"No reply",IF(M386&lt;=S_Today+7,"Due this week","")))))))</f>
        <v/>
      </c>
      <c r="Z386" s="34" t="str">
        <f aca="false">IF(OR(A386="",Y386=""),"",IF(Y386="Renewal due",100000,IF(Y386="Overdue",200000,IF(Y386="No reply",300000,IF(Y386="Due this week",400000,500000))))+IF(Y386="Renewal due",P386-40000,IF(Y386="Missing next action",0,M386-40000))+ROW()/100000)</f>
        <v/>
      </c>
      <c r="AA386" s="32" t="str">
        <f aca="false">IF(A386="","",_xlfn.TEXTJOIN(", ",TRUE(),IF(AND(X386="Yes",D386=""),"No owner",IF(AND(D386&lt;&gt;"",COUNTIFS(R_TeamName,D386,R_TeamActive,"No")&gt;0),"Needs new owner","")),IF(AND(OR(C386="Proposal sent",C386="Negotiation"),H386="",I386="",K386=""),"Add package or proposed value",""),IF(AND(C386="Won",OR(P386="",V386="")),"Won needs renewal date and closed on",""),IF(AND(C386="Won",G386="Cash",J386=""),"Add agreed value",""),IF(AND(C386="Lost",OR(S386="",V386="")),"Lost needs reason and closed on",""),IF(AND(C386="Nurture",OR(T386="",U386="")),"Nurture needs reason and date","")))</f>
        <v/>
      </c>
      <c r="AB386" s="34" t="str">
        <f aca="false">IF(AND(C386="Won",V386&lt;&gt;"",V386&gt;=S_SemStart,V386&lt;=S_SemEnd),V386+ROW()/100000,"")</f>
        <v/>
      </c>
      <c r="AC386" s="34" t="str">
        <f aca="false">IF(AND(C386="Lost",V386&lt;&gt;"",V386&gt;=S_SemStart,V386&lt;=S_SemEnd),V386+ROW()/100000,"")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9"/>
      <c r="J387" s="29"/>
      <c r="K387" s="27"/>
      <c r="L387" s="27"/>
      <c r="M387" s="28"/>
      <c r="N387" s="28"/>
      <c r="O387" s="28"/>
      <c r="P387" s="28"/>
      <c r="Q387" s="27"/>
      <c r="R387" s="27"/>
      <c r="S387" s="27"/>
      <c r="T387" s="27"/>
      <c r="U387" s="28"/>
      <c r="V387" s="28"/>
      <c r="W387" s="27"/>
      <c r="X387" s="32" t="str">
        <f aca="false">IF(A387="","",IF(OR(C387="Planned",C387="Contacted",C387="Meeting",C387="Proposal sent",C387="Negotiation"),"Yes","No"))</f>
        <v/>
      </c>
      <c r="Y387" s="32" t="str">
        <f aca="false">IF(A387="","",IF(AND(C387="Won",P387&lt;&gt;"",P387&lt;=S_Today+S_RenewalDays,COUNTIFS($A$3:$A$502,A387,$F$3:$F$502,"Yes",$X$3:$X$502,"Yes")=0),"Renewal due",IF(X387&lt;&gt;"Yes","",IF(OR(L387="",M387=""),"Missing next action",IF(M387&lt;S_Today,"Overdue",IF(AND(C387="Contacted",_xlfn.MAXIFS(Interactions!$A$3:$A$502,Interactions!$B$3:$B$502,A387,Interactions!$F$3:$F$502,"Sent by us")&gt;0,_xlfn.MAXIFS(Interactions!$A$3:$A$502,Interactions!$B$3:$B$502,A387,Interactions!$F$3:$F$502,"Sent by us")&lt;=S_Today-S_NoReplyDays,MAX(_xlfn.MAXIFS(Interactions!$A$3:$A$502,Interactions!$B$3:$B$502,A387,Interactions!$F$3:$F$502,"Received from them"),_xlfn.MAXIFS(Interactions!$A$3:$A$502,Interactions!$B$3:$B$502,A387,Interactions!$F$3:$F$502,"Two-way"))&lt;_xlfn.MAXIFS(Interactions!$A$3:$A$502,Interactions!$B$3:$B$502,A387,Interactions!$F$3:$F$502,"Sent by us")),"No reply",IF(M387&lt;=S_Today+7,"Due this week","")))))))</f>
        <v/>
      </c>
      <c r="Z387" s="34" t="str">
        <f aca="false">IF(OR(A387="",Y387=""),"",IF(Y387="Renewal due",100000,IF(Y387="Overdue",200000,IF(Y387="No reply",300000,IF(Y387="Due this week",400000,500000))))+IF(Y387="Renewal due",P387-40000,IF(Y387="Missing next action",0,M387-40000))+ROW()/100000)</f>
        <v/>
      </c>
      <c r="AA387" s="32" t="str">
        <f aca="false">IF(A387="","",_xlfn.TEXTJOIN(", ",TRUE(),IF(AND(X387="Yes",D387=""),"No owner",IF(AND(D387&lt;&gt;"",COUNTIFS(R_TeamName,D387,R_TeamActive,"No")&gt;0),"Needs new owner","")),IF(AND(OR(C387="Proposal sent",C387="Negotiation"),H387="",I387="",K387=""),"Add package or proposed value",""),IF(AND(C387="Won",OR(P387="",V387="")),"Won needs renewal date and closed on",""),IF(AND(C387="Won",G387="Cash",J387=""),"Add agreed value",""),IF(AND(C387="Lost",OR(S387="",V387="")),"Lost needs reason and closed on",""),IF(AND(C387="Nurture",OR(T387="",U387="")),"Nurture needs reason and date","")))</f>
        <v/>
      </c>
      <c r="AB387" s="34" t="str">
        <f aca="false">IF(AND(C387="Won",V387&lt;&gt;"",V387&gt;=S_SemStart,V387&lt;=S_SemEnd),V387+ROW()/100000,"")</f>
        <v/>
      </c>
      <c r="AC387" s="34" t="str">
        <f aca="false">IF(AND(C387="Lost",V387&lt;&gt;"",V387&gt;=S_SemStart,V387&lt;=S_SemEnd),V387+ROW()/100000,"")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9"/>
      <c r="J388" s="29"/>
      <c r="K388" s="27"/>
      <c r="L388" s="27"/>
      <c r="M388" s="28"/>
      <c r="N388" s="28"/>
      <c r="O388" s="28"/>
      <c r="P388" s="28"/>
      <c r="Q388" s="27"/>
      <c r="R388" s="27"/>
      <c r="S388" s="27"/>
      <c r="T388" s="27"/>
      <c r="U388" s="28"/>
      <c r="V388" s="28"/>
      <c r="W388" s="27"/>
      <c r="X388" s="32" t="str">
        <f aca="false">IF(A388="","",IF(OR(C388="Planned",C388="Contacted",C388="Meeting",C388="Proposal sent",C388="Negotiation"),"Yes","No"))</f>
        <v/>
      </c>
      <c r="Y388" s="32" t="str">
        <f aca="false">IF(A388="","",IF(AND(C388="Won",P388&lt;&gt;"",P388&lt;=S_Today+S_RenewalDays,COUNTIFS($A$3:$A$502,A388,$F$3:$F$502,"Yes",$X$3:$X$502,"Yes")=0),"Renewal due",IF(X388&lt;&gt;"Yes","",IF(OR(L388="",M388=""),"Missing next action",IF(M388&lt;S_Today,"Overdue",IF(AND(C388="Contacted",_xlfn.MAXIFS(Interactions!$A$3:$A$502,Interactions!$B$3:$B$502,A388,Interactions!$F$3:$F$502,"Sent by us")&gt;0,_xlfn.MAXIFS(Interactions!$A$3:$A$502,Interactions!$B$3:$B$502,A388,Interactions!$F$3:$F$502,"Sent by us")&lt;=S_Today-S_NoReplyDays,MAX(_xlfn.MAXIFS(Interactions!$A$3:$A$502,Interactions!$B$3:$B$502,A388,Interactions!$F$3:$F$502,"Received from them"),_xlfn.MAXIFS(Interactions!$A$3:$A$502,Interactions!$B$3:$B$502,A388,Interactions!$F$3:$F$502,"Two-way"))&lt;_xlfn.MAXIFS(Interactions!$A$3:$A$502,Interactions!$B$3:$B$502,A388,Interactions!$F$3:$F$502,"Sent by us")),"No reply",IF(M388&lt;=S_Today+7,"Due this week","")))))))</f>
        <v/>
      </c>
      <c r="Z388" s="34" t="str">
        <f aca="false">IF(OR(A388="",Y388=""),"",IF(Y388="Renewal due",100000,IF(Y388="Overdue",200000,IF(Y388="No reply",300000,IF(Y388="Due this week",400000,500000))))+IF(Y388="Renewal due",P388-40000,IF(Y388="Missing next action",0,M388-40000))+ROW()/100000)</f>
        <v/>
      </c>
      <c r="AA388" s="32" t="str">
        <f aca="false">IF(A388="","",_xlfn.TEXTJOIN(", ",TRUE(),IF(AND(X388="Yes",D388=""),"No owner",IF(AND(D388&lt;&gt;"",COUNTIFS(R_TeamName,D388,R_TeamActive,"No")&gt;0),"Needs new owner","")),IF(AND(OR(C388="Proposal sent",C388="Negotiation"),H388="",I388="",K388=""),"Add package or proposed value",""),IF(AND(C388="Won",OR(P388="",V388="")),"Won needs renewal date and closed on",""),IF(AND(C388="Won",G388="Cash",J388=""),"Add agreed value",""),IF(AND(C388="Lost",OR(S388="",V388="")),"Lost needs reason and closed on",""),IF(AND(C388="Nurture",OR(T388="",U388="")),"Nurture needs reason and date","")))</f>
        <v/>
      </c>
      <c r="AB388" s="34" t="str">
        <f aca="false">IF(AND(C388="Won",V388&lt;&gt;"",V388&gt;=S_SemStart,V388&lt;=S_SemEnd),V388+ROW()/100000,"")</f>
        <v/>
      </c>
      <c r="AC388" s="34" t="str">
        <f aca="false">IF(AND(C388="Lost",V388&lt;&gt;"",V388&gt;=S_SemStart,V388&lt;=S_SemEnd),V388+ROW()/100000,"")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9"/>
      <c r="J389" s="29"/>
      <c r="K389" s="27"/>
      <c r="L389" s="27"/>
      <c r="M389" s="28"/>
      <c r="N389" s="28"/>
      <c r="O389" s="28"/>
      <c r="P389" s="28"/>
      <c r="Q389" s="27"/>
      <c r="R389" s="27"/>
      <c r="S389" s="27"/>
      <c r="T389" s="27"/>
      <c r="U389" s="28"/>
      <c r="V389" s="28"/>
      <c r="W389" s="27"/>
      <c r="X389" s="32" t="str">
        <f aca="false">IF(A389="","",IF(OR(C389="Planned",C389="Contacted",C389="Meeting",C389="Proposal sent",C389="Negotiation"),"Yes","No"))</f>
        <v/>
      </c>
      <c r="Y389" s="32" t="str">
        <f aca="false">IF(A389="","",IF(AND(C389="Won",P389&lt;&gt;"",P389&lt;=S_Today+S_RenewalDays,COUNTIFS($A$3:$A$502,A389,$F$3:$F$502,"Yes",$X$3:$X$502,"Yes")=0),"Renewal due",IF(X389&lt;&gt;"Yes","",IF(OR(L389="",M389=""),"Missing next action",IF(M389&lt;S_Today,"Overdue",IF(AND(C389="Contacted",_xlfn.MAXIFS(Interactions!$A$3:$A$502,Interactions!$B$3:$B$502,A389,Interactions!$F$3:$F$502,"Sent by us")&gt;0,_xlfn.MAXIFS(Interactions!$A$3:$A$502,Interactions!$B$3:$B$502,A389,Interactions!$F$3:$F$502,"Sent by us")&lt;=S_Today-S_NoReplyDays,MAX(_xlfn.MAXIFS(Interactions!$A$3:$A$502,Interactions!$B$3:$B$502,A389,Interactions!$F$3:$F$502,"Received from them"),_xlfn.MAXIFS(Interactions!$A$3:$A$502,Interactions!$B$3:$B$502,A389,Interactions!$F$3:$F$502,"Two-way"))&lt;_xlfn.MAXIFS(Interactions!$A$3:$A$502,Interactions!$B$3:$B$502,A389,Interactions!$F$3:$F$502,"Sent by us")),"No reply",IF(M389&lt;=S_Today+7,"Due this week","")))))))</f>
        <v/>
      </c>
      <c r="Z389" s="34" t="str">
        <f aca="false">IF(OR(A389="",Y389=""),"",IF(Y389="Renewal due",100000,IF(Y389="Overdue",200000,IF(Y389="No reply",300000,IF(Y389="Due this week",400000,500000))))+IF(Y389="Renewal due",P389-40000,IF(Y389="Missing next action",0,M389-40000))+ROW()/100000)</f>
        <v/>
      </c>
      <c r="AA389" s="32" t="str">
        <f aca="false">IF(A389="","",_xlfn.TEXTJOIN(", ",TRUE(),IF(AND(X389="Yes",D389=""),"No owner",IF(AND(D389&lt;&gt;"",COUNTIFS(R_TeamName,D389,R_TeamActive,"No")&gt;0),"Needs new owner","")),IF(AND(OR(C389="Proposal sent",C389="Negotiation"),H389="",I389="",K389=""),"Add package or proposed value",""),IF(AND(C389="Won",OR(P389="",V389="")),"Won needs renewal date and closed on",""),IF(AND(C389="Won",G389="Cash",J389=""),"Add agreed value",""),IF(AND(C389="Lost",OR(S389="",V389="")),"Lost needs reason and closed on",""),IF(AND(C389="Nurture",OR(T389="",U389="")),"Nurture needs reason and date","")))</f>
        <v/>
      </c>
      <c r="AB389" s="34" t="str">
        <f aca="false">IF(AND(C389="Won",V389&lt;&gt;"",V389&gt;=S_SemStart,V389&lt;=S_SemEnd),V389+ROW()/100000,"")</f>
        <v/>
      </c>
      <c r="AC389" s="34" t="str">
        <f aca="false">IF(AND(C389="Lost",V389&lt;&gt;"",V389&gt;=S_SemStart,V389&lt;=S_SemEnd),V389+ROW()/100000,"")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9"/>
      <c r="J390" s="29"/>
      <c r="K390" s="27"/>
      <c r="L390" s="27"/>
      <c r="M390" s="28"/>
      <c r="N390" s="28"/>
      <c r="O390" s="28"/>
      <c r="P390" s="28"/>
      <c r="Q390" s="27"/>
      <c r="R390" s="27"/>
      <c r="S390" s="27"/>
      <c r="T390" s="27"/>
      <c r="U390" s="28"/>
      <c r="V390" s="28"/>
      <c r="W390" s="27"/>
      <c r="X390" s="32" t="str">
        <f aca="false">IF(A390="","",IF(OR(C390="Planned",C390="Contacted",C390="Meeting",C390="Proposal sent",C390="Negotiation"),"Yes","No"))</f>
        <v/>
      </c>
      <c r="Y390" s="32" t="str">
        <f aca="false">IF(A390="","",IF(AND(C390="Won",P390&lt;&gt;"",P390&lt;=S_Today+S_RenewalDays,COUNTIFS($A$3:$A$502,A390,$F$3:$F$502,"Yes",$X$3:$X$502,"Yes")=0),"Renewal due",IF(X390&lt;&gt;"Yes","",IF(OR(L390="",M390=""),"Missing next action",IF(M390&lt;S_Today,"Overdue",IF(AND(C390="Contacted",_xlfn.MAXIFS(Interactions!$A$3:$A$502,Interactions!$B$3:$B$502,A390,Interactions!$F$3:$F$502,"Sent by us")&gt;0,_xlfn.MAXIFS(Interactions!$A$3:$A$502,Interactions!$B$3:$B$502,A390,Interactions!$F$3:$F$502,"Sent by us")&lt;=S_Today-S_NoReplyDays,MAX(_xlfn.MAXIFS(Interactions!$A$3:$A$502,Interactions!$B$3:$B$502,A390,Interactions!$F$3:$F$502,"Received from them"),_xlfn.MAXIFS(Interactions!$A$3:$A$502,Interactions!$B$3:$B$502,A390,Interactions!$F$3:$F$502,"Two-way"))&lt;_xlfn.MAXIFS(Interactions!$A$3:$A$502,Interactions!$B$3:$B$502,A390,Interactions!$F$3:$F$502,"Sent by us")),"No reply",IF(M390&lt;=S_Today+7,"Due this week","")))))))</f>
        <v/>
      </c>
      <c r="Z390" s="34" t="str">
        <f aca="false">IF(OR(A390="",Y390=""),"",IF(Y390="Renewal due",100000,IF(Y390="Overdue",200000,IF(Y390="No reply",300000,IF(Y390="Due this week",400000,500000))))+IF(Y390="Renewal due",P390-40000,IF(Y390="Missing next action",0,M390-40000))+ROW()/100000)</f>
        <v/>
      </c>
      <c r="AA390" s="32" t="str">
        <f aca="false">IF(A390="","",_xlfn.TEXTJOIN(", ",TRUE(),IF(AND(X390="Yes",D390=""),"No owner",IF(AND(D390&lt;&gt;"",COUNTIFS(R_TeamName,D390,R_TeamActive,"No")&gt;0),"Needs new owner","")),IF(AND(OR(C390="Proposal sent",C390="Negotiation"),H390="",I390="",K390=""),"Add package or proposed value",""),IF(AND(C390="Won",OR(P390="",V390="")),"Won needs renewal date and closed on",""),IF(AND(C390="Won",G390="Cash",J390=""),"Add agreed value",""),IF(AND(C390="Lost",OR(S390="",V390="")),"Lost needs reason and closed on",""),IF(AND(C390="Nurture",OR(T390="",U390="")),"Nurture needs reason and date","")))</f>
        <v/>
      </c>
      <c r="AB390" s="34" t="str">
        <f aca="false">IF(AND(C390="Won",V390&lt;&gt;"",V390&gt;=S_SemStart,V390&lt;=S_SemEnd),V390+ROW()/100000,"")</f>
        <v/>
      </c>
      <c r="AC390" s="34" t="str">
        <f aca="false">IF(AND(C390="Lost",V390&lt;&gt;"",V390&gt;=S_SemStart,V390&lt;=S_SemEnd),V390+ROW()/100000,"")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9"/>
      <c r="J391" s="29"/>
      <c r="K391" s="27"/>
      <c r="L391" s="27"/>
      <c r="M391" s="28"/>
      <c r="N391" s="28"/>
      <c r="O391" s="28"/>
      <c r="P391" s="28"/>
      <c r="Q391" s="27"/>
      <c r="R391" s="27"/>
      <c r="S391" s="27"/>
      <c r="T391" s="27"/>
      <c r="U391" s="28"/>
      <c r="V391" s="28"/>
      <c r="W391" s="27"/>
      <c r="X391" s="32" t="str">
        <f aca="false">IF(A391="","",IF(OR(C391="Planned",C391="Contacted",C391="Meeting",C391="Proposal sent",C391="Negotiation"),"Yes","No"))</f>
        <v/>
      </c>
      <c r="Y391" s="32" t="str">
        <f aca="false">IF(A391="","",IF(AND(C391="Won",P391&lt;&gt;"",P391&lt;=S_Today+S_RenewalDays,COUNTIFS($A$3:$A$502,A391,$F$3:$F$502,"Yes",$X$3:$X$502,"Yes")=0),"Renewal due",IF(X391&lt;&gt;"Yes","",IF(OR(L391="",M391=""),"Missing next action",IF(M391&lt;S_Today,"Overdue",IF(AND(C391="Contacted",_xlfn.MAXIFS(Interactions!$A$3:$A$502,Interactions!$B$3:$B$502,A391,Interactions!$F$3:$F$502,"Sent by us")&gt;0,_xlfn.MAXIFS(Interactions!$A$3:$A$502,Interactions!$B$3:$B$502,A391,Interactions!$F$3:$F$502,"Sent by us")&lt;=S_Today-S_NoReplyDays,MAX(_xlfn.MAXIFS(Interactions!$A$3:$A$502,Interactions!$B$3:$B$502,A391,Interactions!$F$3:$F$502,"Received from them"),_xlfn.MAXIFS(Interactions!$A$3:$A$502,Interactions!$B$3:$B$502,A391,Interactions!$F$3:$F$502,"Two-way"))&lt;_xlfn.MAXIFS(Interactions!$A$3:$A$502,Interactions!$B$3:$B$502,A391,Interactions!$F$3:$F$502,"Sent by us")),"No reply",IF(M391&lt;=S_Today+7,"Due this week","")))))))</f>
        <v/>
      </c>
      <c r="Z391" s="34" t="str">
        <f aca="false">IF(OR(A391="",Y391=""),"",IF(Y391="Renewal due",100000,IF(Y391="Overdue",200000,IF(Y391="No reply",300000,IF(Y391="Due this week",400000,500000))))+IF(Y391="Renewal due",P391-40000,IF(Y391="Missing next action",0,M391-40000))+ROW()/100000)</f>
        <v/>
      </c>
      <c r="AA391" s="32" t="str">
        <f aca="false">IF(A391="","",_xlfn.TEXTJOIN(", ",TRUE(),IF(AND(X391="Yes",D391=""),"No owner",IF(AND(D391&lt;&gt;"",COUNTIFS(R_TeamName,D391,R_TeamActive,"No")&gt;0),"Needs new owner","")),IF(AND(OR(C391="Proposal sent",C391="Negotiation"),H391="",I391="",K391=""),"Add package or proposed value",""),IF(AND(C391="Won",OR(P391="",V391="")),"Won needs renewal date and closed on",""),IF(AND(C391="Won",G391="Cash",J391=""),"Add agreed value",""),IF(AND(C391="Lost",OR(S391="",V391="")),"Lost needs reason and closed on",""),IF(AND(C391="Nurture",OR(T391="",U391="")),"Nurture needs reason and date","")))</f>
        <v/>
      </c>
      <c r="AB391" s="34" t="str">
        <f aca="false">IF(AND(C391="Won",V391&lt;&gt;"",V391&gt;=S_SemStart,V391&lt;=S_SemEnd),V391+ROW()/100000,"")</f>
        <v/>
      </c>
      <c r="AC391" s="34" t="str">
        <f aca="false">IF(AND(C391="Lost",V391&lt;&gt;"",V391&gt;=S_SemStart,V391&lt;=S_SemEnd),V391+ROW()/100000,"")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9"/>
      <c r="J392" s="29"/>
      <c r="K392" s="27"/>
      <c r="L392" s="27"/>
      <c r="M392" s="28"/>
      <c r="N392" s="28"/>
      <c r="O392" s="28"/>
      <c r="P392" s="28"/>
      <c r="Q392" s="27"/>
      <c r="R392" s="27"/>
      <c r="S392" s="27"/>
      <c r="T392" s="27"/>
      <c r="U392" s="28"/>
      <c r="V392" s="28"/>
      <c r="W392" s="27"/>
      <c r="X392" s="32" t="str">
        <f aca="false">IF(A392="","",IF(OR(C392="Planned",C392="Contacted",C392="Meeting",C392="Proposal sent",C392="Negotiation"),"Yes","No"))</f>
        <v/>
      </c>
      <c r="Y392" s="32" t="str">
        <f aca="false">IF(A392="","",IF(AND(C392="Won",P392&lt;&gt;"",P392&lt;=S_Today+S_RenewalDays,COUNTIFS($A$3:$A$502,A392,$F$3:$F$502,"Yes",$X$3:$X$502,"Yes")=0),"Renewal due",IF(X392&lt;&gt;"Yes","",IF(OR(L392="",M392=""),"Missing next action",IF(M392&lt;S_Today,"Overdue",IF(AND(C392="Contacted",_xlfn.MAXIFS(Interactions!$A$3:$A$502,Interactions!$B$3:$B$502,A392,Interactions!$F$3:$F$502,"Sent by us")&gt;0,_xlfn.MAXIFS(Interactions!$A$3:$A$502,Interactions!$B$3:$B$502,A392,Interactions!$F$3:$F$502,"Sent by us")&lt;=S_Today-S_NoReplyDays,MAX(_xlfn.MAXIFS(Interactions!$A$3:$A$502,Interactions!$B$3:$B$502,A392,Interactions!$F$3:$F$502,"Received from them"),_xlfn.MAXIFS(Interactions!$A$3:$A$502,Interactions!$B$3:$B$502,A392,Interactions!$F$3:$F$502,"Two-way"))&lt;_xlfn.MAXIFS(Interactions!$A$3:$A$502,Interactions!$B$3:$B$502,A392,Interactions!$F$3:$F$502,"Sent by us")),"No reply",IF(M392&lt;=S_Today+7,"Due this week","")))))))</f>
        <v/>
      </c>
      <c r="Z392" s="34" t="str">
        <f aca="false">IF(OR(A392="",Y392=""),"",IF(Y392="Renewal due",100000,IF(Y392="Overdue",200000,IF(Y392="No reply",300000,IF(Y392="Due this week",400000,500000))))+IF(Y392="Renewal due",P392-40000,IF(Y392="Missing next action",0,M392-40000))+ROW()/100000)</f>
        <v/>
      </c>
      <c r="AA392" s="32" t="str">
        <f aca="false">IF(A392="","",_xlfn.TEXTJOIN(", ",TRUE(),IF(AND(X392="Yes",D392=""),"No owner",IF(AND(D392&lt;&gt;"",COUNTIFS(R_TeamName,D392,R_TeamActive,"No")&gt;0),"Needs new owner","")),IF(AND(OR(C392="Proposal sent",C392="Negotiation"),H392="",I392="",K392=""),"Add package or proposed value",""),IF(AND(C392="Won",OR(P392="",V392="")),"Won needs renewal date and closed on",""),IF(AND(C392="Won",G392="Cash",J392=""),"Add agreed value",""),IF(AND(C392="Lost",OR(S392="",V392="")),"Lost needs reason and closed on",""),IF(AND(C392="Nurture",OR(T392="",U392="")),"Nurture needs reason and date","")))</f>
        <v/>
      </c>
      <c r="AB392" s="34" t="str">
        <f aca="false">IF(AND(C392="Won",V392&lt;&gt;"",V392&gt;=S_SemStart,V392&lt;=S_SemEnd),V392+ROW()/100000,"")</f>
        <v/>
      </c>
      <c r="AC392" s="34" t="str">
        <f aca="false">IF(AND(C392="Lost",V392&lt;&gt;"",V392&gt;=S_SemStart,V392&lt;=S_SemEnd),V392+ROW()/100000,"")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9"/>
      <c r="J393" s="29"/>
      <c r="K393" s="27"/>
      <c r="L393" s="27"/>
      <c r="M393" s="28"/>
      <c r="N393" s="28"/>
      <c r="O393" s="28"/>
      <c r="P393" s="28"/>
      <c r="Q393" s="27"/>
      <c r="R393" s="27"/>
      <c r="S393" s="27"/>
      <c r="T393" s="27"/>
      <c r="U393" s="28"/>
      <c r="V393" s="28"/>
      <c r="W393" s="27"/>
      <c r="X393" s="32" t="str">
        <f aca="false">IF(A393="","",IF(OR(C393="Planned",C393="Contacted",C393="Meeting",C393="Proposal sent",C393="Negotiation"),"Yes","No"))</f>
        <v/>
      </c>
      <c r="Y393" s="32" t="str">
        <f aca="false">IF(A393="","",IF(AND(C393="Won",P393&lt;&gt;"",P393&lt;=S_Today+S_RenewalDays,COUNTIFS($A$3:$A$502,A393,$F$3:$F$502,"Yes",$X$3:$X$502,"Yes")=0),"Renewal due",IF(X393&lt;&gt;"Yes","",IF(OR(L393="",M393=""),"Missing next action",IF(M393&lt;S_Today,"Overdue",IF(AND(C393="Contacted",_xlfn.MAXIFS(Interactions!$A$3:$A$502,Interactions!$B$3:$B$502,A393,Interactions!$F$3:$F$502,"Sent by us")&gt;0,_xlfn.MAXIFS(Interactions!$A$3:$A$502,Interactions!$B$3:$B$502,A393,Interactions!$F$3:$F$502,"Sent by us")&lt;=S_Today-S_NoReplyDays,MAX(_xlfn.MAXIFS(Interactions!$A$3:$A$502,Interactions!$B$3:$B$502,A393,Interactions!$F$3:$F$502,"Received from them"),_xlfn.MAXIFS(Interactions!$A$3:$A$502,Interactions!$B$3:$B$502,A393,Interactions!$F$3:$F$502,"Two-way"))&lt;_xlfn.MAXIFS(Interactions!$A$3:$A$502,Interactions!$B$3:$B$502,A393,Interactions!$F$3:$F$502,"Sent by us")),"No reply",IF(M393&lt;=S_Today+7,"Due this week","")))))))</f>
        <v/>
      </c>
      <c r="Z393" s="34" t="str">
        <f aca="false">IF(OR(A393="",Y393=""),"",IF(Y393="Renewal due",100000,IF(Y393="Overdue",200000,IF(Y393="No reply",300000,IF(Y393="Due this week",400000,500000))))+IF(Y393="Renewal due",P393-40000,IF(Y393="Missing next action",0,M393-40000))+ROW()/100000)</f>
        <v/>
      </c>
      <c r="AA393" s="32" t="str">
        <f aca="false">IF(A393="","",_xlfn.TEXTJOIN(", ",TRUE(),IF(AND(X393="Yes",D393=""),"No owner",IF(AND(D393&lt;&gt;"",COUNTIFS(R_TeamName,D393,R_TeamActive,"No")&gt;0),"Needs new owner","")),IF(AND(OR(C393="Proposal sent",C393="Negotiation"),H393="",I393="",K393=""),"Add package or proposed value",""),IF(AND(C393="Won",OR(P393="",V393="")),"Won needs renewal date and closed on",""),IF(AND(C393="Won",G393="Cash",J393=""),"Add agreed value",""),IF(AND(C393="Lost",OR(S393="",V393="")),"Lost needs reason and closed on",""),IF(AND(C393="Nurture",OR(T393="",U393="")),"Nurture needs reason and date","")))</f>
        <v/>
      </c>
      <c r="AB393" s="34" t="str">
        <f aca="false">IF(AND(C393="Won",V393&lt;&gt;"",V393&gt;=S_SemStart,V393&lt;=S_SemEnd),V393+ROW()/100000,"")</f>
        <v/>
      </c>
      <c r="AC393" s="34" t="str">
        <f aca="false">IF(AND(C393="Lost",V393&lt;&gt;"",V393&gt;=S_SemStart,V393&lt;=S_SemEnd),V393+ROW()/100000,"")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9"/>
      <c r="J394" s="29"/>
      <c r="K394" s="27"/>
      <c r="L394" s="27"/>
      <c r="M394" s="28"/>
      <c r="N394" s="28"/>
      <c r="O394" s="28"/>
      <c r="P394" s="28"/>
      <c r="Q394" s="27"/>
      <c r="R394" s="27"/>
      <c r="S394" s="27"/>
      <c r="T394" s="27"/>
      <c r="U394" s="28"/>
      <c r="V394" s="28"/>
      <c r="W394" s="27"/>
      <c r="X394" s="32" t="str">
        <f aca="false">IF(A394="","",IF(OR(C394="Planned",C394="Contacted",C394="Meeting",C394="Proposal sent",C394="Negotiation"),"Yes","No"))</f>
        <v/>
      </c>
      <c r="Y394" s="32" t="str">
        <f aca="false">IF(A394="","",IF(AND(C394="Won",P394&lt;&gt;"",P394&lt;=S_Today+S_RenewalDays,COUNTIFS($A$3:$A$502,A394,$F$3:$F$502,"Yes",$X$3:$X$502,"Yes")=0),"Renewal due",IF(X394&lt;&gt;"Yes","",IF(OR(L394="",M394=""),"Missing next action",IF(M394&lt;S_Today,"Overdue",IF(AND(C394="Contacted",_xlfn.MAXIFS(Interactions!$A$3:$A$502,Interactions!$B$3:$B$502,A394,Interactions!$F$3:$F$502,"Sent by us")&gt;0,_xlfn.MAXIFS(Interactions!$A$3:$A$502,Interactions!$B$3:$B$502,A394,Interactions!$F$3:$F$502,"Sent by us")&lt;=S_Today-S_NoReplyDays,MAX(_xlfn.MAXIFS(Interactions!$A$3:$A$502,Interactions!$B$3:$B$502,A394,Interactions!$F$3:$F$502,"Received from them"),_xlfn.MAXIFS(Interactions!$A$3:$A$502,Interactions!$B$3:$B$502,A394,Interactions!$F$3:$F$502,"Two-way"))&lt;_xlfn.MAXIFS(Interactions!$A$3:$A$502,Interactions!$B$3:$B$502,A394,Interactions!$F$3:$F$502,"Sent by us")),"No reply",IF(M394&lt;=S_Today+7,"Due this week","")))))))</f>
        <v/>
      </c>
      <c r="Z394" s="34" t="str">
        <f aca="false">IF(OR(A394="",Y394=""),"",IF(Y394="Renewal due",100000,IF(Y394="Overdue",200000,IF(Y394="No reply",300000,IF(Y394="Due this week",400000,500000))))+IF(Y394="Renewal due",P394-40000,IF(Y394="Missing next action",0,M394-40000))+ROW()/100000)</f>
        <v/>
      </c>
      <c r="AA394" s="32" t="str">
        <f aca="false">IF(A394="","",_xlfn.TEXTJOIN(", ",TRUE(),IF(AND(X394="Yes",D394=""),"No owner",IF(AND(D394&lt;&gt;"",COUNTIFS(R_TeamName,D394,R_TeamActive,"No")&gt;0),"Needs new owner","")),IF(AND(OR(C394="Proposal sent",C394="Negotiation"),H394="",I394="",K394=""),"Add package or proposed value",""),IF(AND(C394="Won",OR(P394="",V394="")),"Won needs renewal date and closed on",""),IF(AND(C394="Won",G394="Cash",J394=""),"Add agreed value",""),IF(AND(C394="Lost",OR(S394="",V394="")),"Lost needs reason and closed on",""),IF(AND(C394="Nurture",OR(T394="",U394="")),"Nurture needs reason and date","")))</f>
        <v/>
      </c>
      <c r="AB394" s="34" t="str">
        <f aca="false">IF(AND(C394="Won",V394&lt;&gt;"",V394&gt;=S_SemStart,V394&lt;=S_SemEnd),V394+ROW()/100000,"")</f>
        <v/>
      </c>
      <c r="AC394" s="34" t="str">
        <f aca="false">IF(AND(C394="Lost",V394&lt;&gt;"",V394&gt;=S_SemStart,V394&lt;=S_SemEnd),V394+ROW()/100000,"")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9"/>
      <c r="J395" s="29"/>
      <c r="K395" s="27"/>
      <c r="L395" s="27"/>
      <c r="M395" s="28"/>
      <c r="N395" s="28"/>
      <c r="O395" s="28"/>
      <c r="P395" s="28"/>
      <c r="Q395" s="27"/>
      <c r="R395" s="27"/>
      <c r="S395" s="27"/>
      <c r="T395" s="27"/>
      <c r="U395" s="28"/>
      <c r="V395" s="28"/>
      <c r="W395" s="27"/>
      <c r="X395" s="32" t="str">
        <f aca="false">IF(A395="","",IF(OR(C395="Planned",C395="Contacted",C395="Meeting",C395="Proposal sent",C395="Negotiation"),"Yes","No"))</f>
        <v/>
      </c>
      <c r="Y395" s="32" t="str">
        <f aca="false">IF(A395="","",IF(AND(C395="Won",P395&lt;&gt;"",P395&lt;=S_Today+S_RenewalDays,COUNTIFS($A$3:$A$502,A395,$F$3:$F$502,"Yes",$X$3:$X$502,"Yes")=0),"Renewal due",IF(X395&lt;&gt;"Yes","",IF(OR(L395="",M395=""),"Missing next action",IF(M395&lt;S_Today,"Overdue",IF(AND(C395="Contacted",_xlfn.MAXIFS(Interactions!$A$3:$A$502,Interactions!$B$3:$B$502,A395,Interactions!$F$3:$F$502,"Sent by us")&gt;0,_xlfn.MAXIFS(Interactions!$A$3:$A$502,Interactions!$B$3:$B$502,A395,Interactions!$F$3:$F$502,"Sent by us")&lt;=S_Today-S_NoReplyDays,MAX(_xlfn.MAXIFS(Interactions!$A$3:$A$502,Interactions!$B$3:$B$502,A395,Interactions!$F$3:$F$502,"Received from them"),_xlfn.MAXIFS(Interactions!$A$3:$A$502,Interactions!$B$3:$B$502,A395,Interactions!$F$3:$F$502,"Two-way"))&lt;_xlfn.MAXIFS(Interactions!$A$3:$A$502,Interactions!$B$3:$B$502,A395,Interactions!$F$3:$F$502,"Sent by us")),"No reply",IF(M395&lt;=S_Today+7,"Due this week","")))))))</f>
        <v/>
      </c>
      <c r="Z395" s="34" t="str">
        <f aca="false">IF(OR(A395="",Y395=""),"",IF(Y395="Renewal due",100000,IF(Y395="Overdue",200000,IF(Y395="No reply",300000,IF(Y395="Due this week",400000,500000))))+IF(Y395="Renewal due",P395-40000,IF(Y395="Missing next action",0,M395-40000))+ROW()/100000)</f>
        <v/>
      </c>
      <c r="AA395" s="32" t="str">
        <f aca="false">IF(A395="","",_xlfn.TEXTJOIN(", ",TRUE(),IF(AND(X395="Yes",D395=""),"No owner",IF(AND(D395&lt;&gt;"",COUNTIFS(R_TeamName,D395,R_TeamActive,"No")&gt;0),"Needs new owner","")),IF(AND(OR(C395="Proposal sent",C395="Negotiation"),H395="",I395="",K395=""),"Add package or proposed value",""),IF(AND(C395="Won",OR(P395="",V395="")),"Won needs renewal date and closed on",""),IF(AND(C395="Won",G395="Cash",J395=""),"Add agreed value",""),IF(AND(C395="Lost",OR(S395="",V395="")),"Lost needs reason and closed on",""),IF(AND(C395="Nurture",OR(T395="",U395="")),"Nurture needs reason and date","")))</f>
        <v/>
      </c>
      <c r="AB395" s="34" t="str">
        <f aca="false">IF(AND(C395="Won",V395&lt;&gt;"",V395&gt;=S_SemStart,V395&lt;=S_SemEnd),V395+ROW()/100000,"")</f>
        <v/>
      </c>
      <c r="AC395" s="34" t="str">
        <f aca="false">IF(AND(C395="Lost",V395&lt;&gt;"",V395&gt;=S_SemStart,V395&lt;=S_SemEnd),V395+ROW()/100000,"")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9"/>
      <c r="J396" s="29"/>
      <c r="K396" s="27"/>
      <c r="L396" s="27"/>
      <c r="M396" s="28"/>
      <c r="N396" s="28"/>
      <c r="O396" s="28"/>
      <c r="P396" s="28"/>
      <c r="Q396" s="27"/>
      <c r="R396" s="27"/>
      <c r="S396" s="27"/>
      <c r="T396" s="27"/>
      <c r="U396" s="28"/>
      <c r="V396" s="28"/>
      <c r="W396" s="27"/>
      <c r="X396" s="32" t="str">
        <f aca="false">IF(A396="","",IF(OR(C396="Planned",C396="Contacted",C396="Meeting",C396="Proposal sent",C396="Negotiation"),"Yes","No"))</f>
        <v/>
      </c>
      <c r="Y396" s="32" t="str">
        <f aca="false">IF(A396="","",IF(AND(C396="Won",P396&lt;&gt;"",P396&lt;=S_Today+S_RenewalDays,COUNTIFS($A$3:$A$502,A396,$F$3:$F$502,"Yes",$X$3:$X$502,"Yes")=0),"Renewal due",IF(X396&lt;&gt;"Yes","",IF(OR(L396="",M396=""),"Missing next action",IF(M396&lt;S_Today,"Overdue",IF(AND(C396="Contacted",_xlfn.MAXIFS(Interactions!$A$3:$A$502,Interactions!$B$3:$B$502,A396,Interactions!$F$3:$F$502,"Sent by us")&gt;0,_xlfn.MAXIFS(Interactions!$A$3:$A$502,Interactions!$B$3:$B$502,A396,Interactions!$F$3:$F$502,"Sent by us")&lt;=S_Today-S_NoReplyDays,MAX(_xlfn.MAXIFS(Interactions!$A$3:$A$502,Interactions!$B$3:$B$502,A396,Interactions!$F$3:$F$502,"Received from them"),_xlfn.MAXIFS(Interactions!$A$3:$A$502,Interactions!$B$3:$B$502,A396,Interactions!$F$3:$F$502,"Two-way"))&lt;_xlfn.MAXIFS(Interactions!$A$3:$A$502,Interactions!$B$3:$B$502,A396,Interactions!$F$3:$F$502,"Sent by us")),"No reply",IF(M396&lt;=S_Today+7,"Due this week","")))))))</f>
        <v/>
      </c>
      <c r="Z396" s="34" t="str">
        <f aca="false">IF(OR(A396="",Y396=""),"",IF(Y396="Renewal due",100000,IF(Y396="Overdue",200000,IF(Y396="No reply",300000,IF(Y396="Due this week",400000,500000))))+IF(Y396="Renewal due",P396-40000,IF(Y396="Missing next action",0,M396-40000))+ROW()/100000)</f>
        <v/>
      </c>
      <c r="AA396" s="32" t="str">
        <f aca="false">IF(A396="","",_xlfn.TEXTJOIN(", ",TRUE(),IF(AND(X396="Yes",D396=""),"No owner",IF(AND(D396&lt;&gt;"",COUNTIFS(R_TeamName,D396,R_TeamActive,"No")&gt;0),"Needs new owner","")),IF(AND(OR(C396="Proposal sent",C396="Negotiation"),H396="",I396="",K396=""),"Add package or proposed value",""),IF(AND(C396="Won",OR(P396="",V396="")),"Won needs renewal date and closed on",""),IF(AND(C396="Won",G396="Cash",J396=""),"Add agreed value",""),IF(AND(C396="Lost",OR(S396="",V396="")),"Lost needs reason and closed on",""),IF(AND(C396="Nurture",OR(T396="",U396="")),"Nurture needs reason and date","")))</f>
        <v/>
      </c>
      <c r="AB396" s="34" t="str">
        <f aca="false">IF(AND(C396="Won",V396&lt;&gt;"",V396&gt;=S_SemStart,V396&lt;=S_SemEnd),V396+ROW()/100000,"")</f>
        <v/>
      </c>
      <c r="AC396" s="34" t="str">
        <f aca="false">IF(AND(C396="Lost",V396&lt;&gt;"",V396&gt;=S_SemStart,V396&lt;=S_SemEnd),V396+ROW()/100000,"")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9"/>
      <c r="J397" s="29"/>
      <c r="K397" s="27"/>
      <c r="L397" s="27"/>
      <c r="M397" s="28"/>
      <c r="N397" s="28"/>
      <c r="O397" s="28"/>
      <c r="P397" s="28"/>
      <c r="Q397" s="27"/>
      <c r="R397" s="27"/>
      <c r="S397" s="27"/>
      <c r="T397" s="27"/>
      <c r="U397" s="28"/>
      <c r="V397" s="28"/>
      <c r="W397" s="27"/>
      <c r="X397" s="32" t="str">
        <f aca="false">IF(A397="","",IF(OR(C397="Planned",C397="Contacted",C397="Meeting",C397="Proposal sent",C397="Negotiation"),"Yes","No"))</f>
        <v/>
      </c>
      <c r="Y397" s="32" t="str">
        <f aca="false">IF(A397="","",IF(AND(C397="Won",P397&lt;&gt;"",P397&lt;=S_Today+S_RenewalDays,COUNTIFS($A$3:$A$502,A397,$F$3:$F$502,"Yes",$X$3:$X$502,"Yes")=0),"Renewal due",IF(X397&lt;&gt;"Yes","",IF(OR(L397="",M397=""),"Missing next action",IF(M397&lt;S_Today,"Overdue",IF(AND(C397="Contacted",_xlfn.MAXIFS(Interactions!$A$3:$A$502,Interactions!$B$3:$B$502,A397,Interactions!$F$3:$F$502,"Sent by us")&gt;0,_xlfn.MAXIFS(Interactions!$A$3:$A$502,Interactions!$B$3:$B$502,A397,Interactions!$F$3:$F$502,"Sent by us")&lt;=S_Today-S_NoReplyDays,MAX(_xlfn.MAXIFS(Interactions!$A$3:$A$502,Interactions!$B$3:$B$502,A397,Interactions!$F$3:$F$502,"Received from them"),_xlfn.MAXIFS(Interactions!$A$3:$A$502,Interactions!$B$3:$B$502,A397,Interactions!$F$3:$F$502,"Two-way"))&lt;_xlfn.MAXIFS(Interactions!$A$3:$A$502,Interactions!$B$3:$B$502,A397,Interactions!$F$3:$F$502,"Sent by us")),"No reply",IF(M397&lt;=S_Today+7,"Due this week","")))))))</f>
        <v/>
      </c>
      <c r="Z397" s="34" t="str">
        <f aca="false">IF(OR(A397="",Y397=""),"",IF(Y397="Renewal due",100000,IF(Y397="Overdue",200000,IF(Y397="No reply",300000,IF(Y397="Due this week",400000,500000))))+IF(Y397="Renewal due",P397-40000,IF(Y397="Missing next action",0,M397-40000))+ROW()/100000)</f>
        <v/>
      </c>
      <c r="AA397" s="32" t="str">
        <f aca="false">IF(A397="","",_xlfn.TEXTJOIN(", ",TRUE(),IF(AND(X397="Yes",D397=""),"No owner",IF(AND(D397&lt;&gt;"",COUNTIFS(R_TeamName,D397,R_TeamActive,"No")&gt;0),"Needs new owner","")),IF(AND(OR(C397="Proposal sent",C397="Negotiation"),H397="",I397="",K397=""),"Add package or proposed value",""),IF(AND(C397="Won",OR(P397="",V397="")),"Won needs renewal date and closed on",""),IF(AND(C397="Won",G397="Cash",J397=""),"Add agreed value",""),IF(AND(C397="Lost",OR(S397="",V397="")),"Lost needs reason and closed on",""),IF(AND(C397="Nurture",OR(T397="",U397="")),"Nurture needs reason and date","")))</f>
        <v/>
      </c>
      <c r="AB397" s="34" t="str">
        <f aca="false">IF(AND(C397="Won",V397&lt;&gt;"",V397&gt;=S_SemStart,V397&lt;=S_SemEnd),V397+ROW()/100000,"")</f>
        <v/>
      </c>
      <c r="AC397" s="34" t="str">
        <f aca="false">IF(AND(C397="Lost",V397&lt;&gt;"",V397&gt;=S_SemStart,V397&lt;=S_SemEnd),V397+ROW()/100000,"")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9"/>
      <c r="J398" s="29"/>
      <c r="K398" s="27"/>
      <c r="L398" s="27"/>
      <c r="M398" s="28"/>
      <c r="N398" s="28"/>
      <c r="O398" s="28"/>
      <c r="P398" s="28"/>
      <c r="Q398" s="27"/>
      <c r="R398" s="27"/>
      <c r="S398" s="27"/>
      <c r="T398" s="27"/>
      <c r="U398" s="28"/>
      <c r="V398" s="28"/>
      <c r="W398" s="27"/>
      <c r="X398" s="32" t="str">
        <f aca="false">IF(A398="","",IF(OR(C398="Planned",C398="Contacted",C398="Meeting",C398="Proposal sent",C398="Negotiation"),"Yes","No"))</f>
        <v/>
      </c>
      <c r="Y398" s="32" t="str">
        <f aca="false">IF(A398="","",IF(AND(C398="Won",P398&lt;&gt;"",P398&lt;=S_Today+S_RenewalDays,COUNTIFS($A$3:$A$502,A398,$F$3:$F$502,"Yes",$X$3:$X$502,"Yes")=0),"Renewal due",IF(X398&lt;&gt;"Yes","",IF(OR(L398="",M398=""),"Missing next action",IF(M398&lt;S_Today,"Overdue",IF(AND(C398="Contacted",_xlfn.MAXIFS(Interactions!$A$3:$A$502,Interactions!$B$3:$B$502,A398,Interactions!$F$3:$F$502,"Sent by us")&gt;0,_xlfn.MAXIFS(Interactions!$A$3:$A$502,Interactions!$B$3:$B$502,A398,Interactions!$F$3:$F$502,"Sent by us")&lt;=S_Today-S_NoReplyDays,MAX(_xlfn.MAXIFS(Interactions!$A$3:$A$502,Interactions!$B$3:$B$502,A398,Interactions!$F$3:$F$502,"Received from them"),_xlfn.MAXIFS(Interactions!$A$3:$A$502,Interactions!$B$3:$B$502,A398,Interactions!$F$3:$F$502,"Two-way"))&lt;_xlfn.MAXIFS(Interactions!$A$3:$A$502,Interactions!$B$3:$B$502,A398,Interactions!$F$3:$F$502,"Sent by us")),"No reply",IF(M398&lt;=S_Today+7,"Due this week","")))))))</f>
        <v/>
      </c>
      <c r="Z398" s="34" t="str">
        <f aca="false">IF(OR(A398="",Y398=""),"",IF(Y398="Renewal due",100000,IF(Y398="Overdue",200000,IF(Y398="No reply",300000,IF(Y398="Due this week",400000,500000))))+IF(Y398="Renewal due",P398-40000,IF(Y398="Missing next action",0,M398-40000))+ROW()/100000)</f>
        <v/>
      </c>
      <c r="AA398" s="32" t="str">
        <f aca="false">IF(A398="","",_xlfn.TEXTJOIN(", ",TRUE(),IF(AND(X398="Yes",D398=""),"No owner",IF(AND(D398&lt;&gt;"",COUNTIFS(R_TeamName,D398,R_TeamActive,"No")&gt;0),"Needs new owner","")),IF(AND(OR(C398="Proposal sent",C398="Negotiation"),H398="",I398="",K398=""),"Add package or proposed value",""),IF(AND(C398="Won",OR(P398="",V398="")),"Won needs renewal date and closed on",""),IF(AND(C398="Won",G398="Cash",J398=""),"Add agreed value",""),IF(AND(C398="Lost",OR(S398="",V398="")),"Lost needs reason and closed on",""),IF(AND(C398="Nurture",OR(T398="",U398="")),"Nurture needs reason and date","")))</f>
        <v/>
      </c>
      <c r="AB398" s="34" t="str">
        <f aca="false">IF(AND(C398="Won",V398&lt;&gt;"",V398&gt;=S_SemStart,V398&lt;=S_SemEnd),V398+ROW()/100000,"")</f>
        <v/>
      </c>
      <c r="AC398" s="34" t="str">
        <f aca="false">IF(AND(C398="Lost",V398&lt;&gt;"",V398&gt;=S_SemStart,V398&lt;=S_SemEnd),V398+ROW()/100000,"")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9"/>
      <c r="J399" s="29"/>
      <c r="K399" s="27"/>
      <c r="L399" s="27"/>
      <c r="M399" s="28"/>
      <c r="N399" s="28"/>
      <c r="O399" s="28"/>
      <c r="P399" s="28"/>
      <c r="Q399" s="27"/>
      <c r="R399" s="27"/>
      <c r="S399" s="27"/>
      <c r="T399" s="27"/>
      <c r="U399" s="28"/>
      <c r="V399" s="28"/>
      <c r="W399" s="27"/>
      <c r="X399" s="32" t="str">
        <f aca="false">IF(A399="","",IF(OR(C399="Planned",C399="Contacted",C399="Meeting",C399="Proposal sent",C399="Negotiation"),"Yes","No"))</f>
        <v/>
      </c>
      <c r="Y399" s="32" t="str">
        <f aca="false">IF(A399="","",IF(AND(C399="Won",P399&lt;&gt;"",P399&lt;=S_Today+S_RenewalDays,COUNTIFS($A$3:$A$502,A399,$F$3:$F$502,"Yes",$X$3:$X$502,"Yes")=0),"Renewal due",IF(X399&lt;&gt;"Yes","",IF(OR(L399="",M399=""),"Missing next action",IF(M399&lt;S_Today,"Overdue",IF(AND(C399="Contacted",_xlfn.MAXIFS(Interactions!$A$3:$A$502,Interactions!$B$3:$B$502,A399,Interactions!$F$3:$F$502,"Sent by us")&gt;0,_xlfn.MAXIFS(Interactions!$A$3:$A$502,Interactions!$B$3:$B$502,A399,Interactions!$F$3:$F$502,"Sent by us")&lt;=S_Today-S_NoReplyDays,MAX(_xlfn.MAXIFS(Interactions!$A$3:$A$502,Interactions!$B$3:$B$502,A399,Interactions!$F$3:$F$502,"Received from them"),_xlfn.MAXIFS(Interactions!$A$3:$A$502,Interactions!$B$3:$B$502,A399,Interactions!$F$3:$F$502,"Two-way"))&lt;_xlfn.MAXIFS(Interactions!$A$3:$A$502,Interactions!$B$3:$B$502,A399,Interactions!$F$3:$F$502,"Sent by us")),"No reply",IF(M399&lt;=S_Today+7,"Due this week","")))))))</f>
        <v/>
      </c>
      <c r="Z399" s="34" t="str">
        <f aca="false">IF(OR(A399="",Y399=""),"",IF(Y399="Renewal due",100000,IF(Y399="Overdue",200000,IF(Y399="No reply",300000,IF(Y399="Due this week",400000,500000))))+IF(Y399="Renewal due",P399-40000,IF(Y399="Missing next action",0,M399-40000))+ROW()/100000)</f>
        <v/>
      </c>
      <c r="AA399" s="32" t="str">
        <f aca="false">IF(A399="","",_xlfn.TEXTJOIN(", ",TRUE(),IF(AND(X399="Yes",D399=""),"No owner",IF(AND(D399&lt;&gt;"",COUNTIFS(R_TeamName,D399,R_TeamActive,"No")&gt;0),"Needs new owner","")),IF(AND(OR(C399="Proposal sent",C399="Negotiation"),H399="",I399="",K399=""),"Add package or proposed value",""),IF(AND(C399="Won",OR(P399="",V399="")),"Won needs renewal date and closed on",""),IF(AND(C399="Won",G399="Cash",J399=""),"Add agreed value",""),IF(AND(C399="Lost",OR(S399="",V399="")),"Lost needs reason and closed on",""),IF(AND(C399="Nurture",OR(T399="",U399="")),"Nurture needs reason and date","")))</f>
        <v/>
      </c>
      <c r="AB399" s="34" t="str">
        <f aca="false">IF(AND(C399="Won",V399&lt;&gt;"",V399&gt;=S_SemStart,V399&lt;=S_SemEnd),V399+ROW()/100000,"")</f>
        <v/>
      </c>
      <c r="AC399" s="34" t="str">
        <f aca="false">IF(AND(C399="Lost",V399&lt;&gt;"",V399&gt;=S_SemStart,V399&lt;=S_SemEnd),V399+ROW()/100000,"")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9"/>
      <c r="J400" s="29"/>
      <c r="K400" s="27"/>
      <c r="L400" s="27"/>
      <c r="M400" s="28"/>
      <c r="N400" s="28"/>
      <c r="O400" s="28"/>
      <c r="P400" s="28"/>
      <c r="Q400" s="27"/>
      <c r="R400" s="27"/>
      <c r="S400" s="27"/>
      <c r="T400" s="27"/>
      <c r="U400" s="28"/>
      <c r="V400" s="28"/>
      <c r="W400" s="27"/>
      <c r="X400" s="32" t="str">
        <f aca="false">IF(A400="","",IF(OR(C400="Planned",C400="Contacted",C400="Meeting",C400="Proposal sent",C400="Negotiation"),"Yes","No"))</f>
        <v/>
      </c>
      <c r="Y400" s="32" t="str">
        <f aca="false">IF(A400="","",IF(AND(C400="Won",P400&lt;&gt;"",P400&lt;=S_Today+S_RenewalDays,COUNTIFS($A$3:$A$502,A400,$F$3:$F$502,"Yes",$X$3:$X$502,"Yes")=0),"Renewal due",IF(X400&lt;&gt;"Yes","",IF(OR(L400="",M400=""),"Missing next action",IF(M400&lt;S_Today,"Overdue",IF(AND(C400="Contacted",_xlfn.MAXIFS(Interactions!$A$3:$A$502,Interactions!$B$3:$B$502,A400,Interactions!$F$3:$F$502,"Sent by us")&gt;0,_xlfn.MAXIFS(Interactions!$A$3:$A$502,Interactions!$B$3:$B$502,A400,Interactions!$F$3:$F$502,"Sent by us")&lt;=S_Today-S_NoReplyDays,MAX(_xlfn.MAXIFS(Interactions!$A$3:$A$502,Interactions!$B$3:$B$502,A400,Interactions!$F$3:$F$502,"Received from them"),_xlfn.MAXIFS(Interactions!$A$3:$A$502,Interactions!$B$3:$B$502,A400,Interactions!$F$3:$F$502,"Two-way"))&lt;_xlfn.MAXIFS(Interactions!$A$3:$A$502,Interactions!$B$3:$B$502,A400,Interactions!$F$3:$F$502,"Sent by us")),"No reply",IF(M400&lt;=S_Today+7,"Due this week","")))))))</f>
        <v/>
      </c>
      <c r="Z400" s="34" t="str">
        <f aca="false">IF(OR(A400="",Y400=""),"",IF(Y400="Renewal due",100000,IF(Y400="Overdue",200000,IF(Y400="No reply",300000,IF(Y400="Due this week",400000,500000))))+IF(Y400="Renewal due",P400-40000,IF(Y400="Missing next action",0,M400-40000))+ROW()/100000)</f>
        <v/>
      </c>
      <c r="AA400" s="32" t="str">
        <f aca="false">IF(A400="","",_xlfn.TEXTJOIN(", ",TRUE(),IF(AND(X400="Yes",D400=""),"No owner",IF(AND(D400&lt;&gt;"",COUNTIFS(R_TeamName,D400,R_TeamActive,"No")&gt;0),"Needs new owner","")),IF(AND(OR(C400="Proposal sent",C400="Negotiation"),H400="",I400="",K400=""),"Add package or proposed value",""),IF(AND(C400="Won",OR(P400="",V400="")),"Won needs renewal date and closed on",""),IF(AND(C400="Won",G400="Cash",J400=""),"Add agreed value",""),IF(AND(C400="Lost",OR(S400="",V400="")),"Lost needs reason and closed on",""),IF(AND(C400="Nurture",OR(T400="",U400="")),"Nurture needs reason and date","")))</f>
        <v/>
      </c>
      <c r="AB400" s="34" t="str">
        <f aca="false">IF(AND(C400="Won",V400&lt;&gt;"",V400&gt;=S_SemStart,V400&lt;=S_SemEnd),V400+ROW()/100000,"")</f>
        <v/>
      </c>
      <c r="AC400" s="34" t="str">
        <f aca="false">IF(AND(C400="Lost",V400&lt;&gt;"",V400&gt;=S_SemStart,V400&lt;=S_SemEnd),V400+ROW()/100000,"")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9"/>
      <c r="J401" s="29"/>
      <c r="K401" s="27"/>
      <c r="L401" s="27"/>
      <c r="M401" s="28"/>
      <c r="N401" s="28"/>
      <c r="O401" s="28"/>
      <c r="P401" s="28"/>
      <c r="Q401" s="27"/>
      <c r="R401" s="27"/>
      <c r="S401" s="27"/>
      <c r="T401" s="27"/>
      <c r="U401" s="28"/>
      <c r="V401" s="28"/>
      <c r="W401" s="27"/>
      <c r="X401" s="32" t="str">
        <f aca="false">IF(A401="","",IF(OR(C401="Planned",C401="Contacted",C401="Meeting",C401="Proposal sent",C401="Negotiation"),"Yes","No"))</f>
        <v/>
      </c>
      <c r="Y401" s="32" t="str">
        <f aca="false">IF(A401="","",IF(AND(C401="Won",P401&lt;&gt;"",P401&lt;=S_Today+S_RenewalDays,COUNTIFS($A$3:$A$502,A401,$F$3:$F$502,"Yes",$X$3:$X$502,"Yes")=0),"Renewal due",IF(X401&lt;&gt;"Yes","",IF(OR(L401="",M401=""),"Missing next action",IF(M401&lt;S_Today,"Overdue",IF(AND(C401="Contacted",_xlfn.MAXIFS(Interactions!$A$3:$A$502,Interactions!$B$3:$B$502,A401,Interactions!$F$3:$F$502,"Sent by us")&gt;0,_xlfn.MAXIFS(Interactions!$A$3:$A$502,Interactions!$B$3:$B$502,A401,Interactions!$F$3:$F$502,"Sent by us")&lt;=S_Today-S_NoReplyDays,MAX(_xlfn.MAXIFS(Interactions!$A$3:$A$502,Interactions!$B$3:$B$502,A401,Interactions!$F$3:$F$502,"Received from them"),_xlfn.MAXIFS(Interactions!$A$3:$A$502,Interactions!$B$3:$B$502,A401,Interactions!$F$3:$F$502,"Two-way"))&lt;_xlfn.MAXIFS(Interactions!$A$3:$A$502,Interactions!$B$3:$B$502,A401,Interactions!$F$3:$F$502,"Sent by us")),"No reply",IF(M401&lt;=S_Today+7,"Due this week","")))))))</f>
        <v/>
      </c>
      <c r="Z401" s="34" t="str">
        <f aca="false">IF(OR(A401="",Y401=""),"",IF(Y401="Renewal due",100000,IF(Y401="Overdue",200000,IF(Y401="No reply",300000,IF(Y401="Due this week",400000,500000))))+IF(Y401="Renewal due",P401-40000,IF(Y401="Missing next action",0,M401-40000))+ROW()/100000)</f>
        <v/>
      </c>
      <c r="AA401" s="32" t="str">
        <f aca="false">IF(A401="","",_xlfn.TEXTJOIN(", ",TRUE(),IF(AND(X401="Yes",D401=""),"No owner",IF(AND(D401&lt;&gt;"",COUNTIFS(R_TeamName,D401,R_TeamActive,"No")&gt;0),"Needs new owner","")),IF(AND(OR(C401="Proposal sent",C401="Negotiation"),H401="",I401="",K401=""),"Add package or proposed value",""),IF(AND(C401="Won",OR(P401="",V401="")),"Won needs renewal date and closed on",""),IF(AND(C401="Won",G401="Cash",J401=""),"Add agreed value",""),IF(AND(C401="Lost",OR(S401="",V401="")),"Lost needs reason and closed on",""),IF(AND(C401="Nurture",OR(T401="",U401="")),"Nurture needs reason and date","")))</f>
        <v/>
      </c>
      <c r="AB401" s="34" t="str">
        <f aca="false">IF(AND(C401="Won",V401&lt;&gt;"",V401&gt;=S_SemStart,V401&lt;=S_SemEnd),V401+ROW()/100000,"")</f>
        <v/>
      </c>
      <c r="AC401" s="34" t="str">
        <f aca="false">IF(AND(C401="Lost",V401&lt;&gt;"",V401&gt;=S_SemStart,V401&lt;=S_SemEnd),V401+ROW()/100000,"")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9"/>
      <c r="J402" s="29"/>
      <c r="K402" s="27"/>
      <c r="L402" s="27"/>
      <c r="M402" s="28"/>
      <c r="N402" s="28"/>
      <c r="O402" s="28"/>
      <c r="P402" s="28"/>
      <c r="Q402" s="27"/>
      <c r="R402" s="27"/>
      <c r="S402" s="27"/>
      <c r="T402" s="27"/>
      <c r="U402" s="28"/>
      <c r="V402" s="28"/>
      <c r="W402" s="27"/>
      <c r="X402" s="32" t="str">
        <f aca="false">IF(A402="","",IF(OR(C402="Planned",C402="Contacted",C402="Meeting",C402="Proposal sent",C402="Negotiation"),"Yes","No"))</f>
        <v/>
      </c>
      <c r="Y402" s="32" t="str">
        <f aca="false">IF(A402="","",IF(AND(C402="Won",P402&lt;&gt;"",P402&lt;=S_Today+S_RenewalDays,COUNTIFS($A$3:$A$502,A402,$F$3:$F$502,"Yes",$X$3:$X$502,"Yes")=0),"Renewal due",IF(X402&lt;&gt;"Yes","",IF(OR(L402="",M402=""),"Missing next action",IF(M402&lt;S_Today,"Overdue",IF(AND(C402="Contacted",_xlfn.MAXIFS(Interactions!$A$3:$A$502,Interactions!$B$3:$B$502,A402,Interactions!$F$3:$F$502,"Sent by us")&gt;0,_xlfn.MAXIFS(Interactions!$A$3:$A$502,Interactions!$B$3:$B$502,A402,Interactions!$F$3:$F$502,"Sent by us")&lt;=S_Today-S_NoReplyDays,MAX(_xlfn.MAXIFS(Interactions!$A$3:$A$502,Interactions!$B$3:$B$502,A402,Interactions!$F$3:$F$502,"Received from them"),_xlfn.MAXIFS(Interactions!$A$3:$A$502,Interactions!$B$3:$B$502,A402,Interactions!$F$3:$F$502,"Two-way"))&lt;_xlfn.MAXIFS(Interactions!$A$3:$A$502,Interactions!$B$3:$B$502,A402,Interactions!$F$3:$F$502,"Sent by us")),"No reply",IF(M402&lt;=S_Today+7,"Due this week","")))))))</f>
        <v/>
      </c>
      <c r="Z402" s="34" t="str">
        <f aca="false">IF(OR(A402="",Y402=""),"",IF(Y402="Renewal due",100000,IF(Y402="Overdue",200000,IF(Y402="No reply",300000,IF(Y402="Due this week",400000,500000))))+IF(Y402="Renewal due",P402-40000,IF(Y402="Missing next action",0,M402-40000))+ROW()/100000)</f>
        <v/>
      </c>
      <c r="AA402" s="32" t="str">
        <f aca="false">IF(A402="","",_xlfn.TEXTJOIN(", ",TRUE(),IF(AND(X402="Yes",D402=""),"No owner",IF(AND(D402&lt;&gt;"",COUNTIFS(R_TeamName,D402,R_TeamActive,"No")&gt;0),"Needs new owner","")),IF(AND(OR(C402="Proposal sent",C402="Negotiation"),H402="",I402="",K402=""),"Add package or proposed value",""),IF(AND(C402="Won",OR(P402="",V402="")),"Won needs renewal date and closed on",""),IF(AND(C402="Won",G402="Cash",J402=""),"Add agreed value",""),IF(AND(C402="Lost",OR(S402="",V402="")),"Lost needs reason and closed on",""),IF(AND(C402="Nurture",OR(T402="",U402="")),"Nurture needs reason and date","")))</f>
        <v/>
      </c>
      <c r="AB402" s="34" t="str">
        <f aca="false">IF(AND(C402="Won",V402&lt;&gt;"",V402&gt;=S_SemStart,V402&lt;=S_SemEnd),V402+ROW()/100000,"")</f>
        <v/>
      </c>
      <c r="AC402" s="34" t="str">
        <f aca="false">IF(AND(C402="Lost",V402&lt;&gt;"",V402&gt;=S_SemStart,V402&lt;=S_SemEnd),V402+ROW()/100000,"")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9"/>
      <c r="J403" s="29"/>
      <c r="K403" s="27"/>
      <c r="L403" s="27"/>
      <c r="M403" s="28"/>
      <c r="N403" s="28"/>
      <c r="O403" s="28"/>
      <c r="P403" s="28"/>
      <c r="Q403" s="27"/>
      <c r="R403" s="27"/>
      <c r="S403" s="27"/>
      <c r="T403" s="27"/>
      <c r="U403" s="28"/>
      <c r="V403" s="28"/>
      <c r="W403" s="27"/>
      <c r="X403" s="32" t="str">
        <f aca="false">IF(A403="","",IF(OR(C403="Planned",C403="Contacted",C403="Meeting",C403="Proposal sent",C403="Negotiation"),"Yes","No"))</f>
        <v/>
      </c>
      <c r="Y403" s="32" t="str">
        <f aca="false">IF(A403="","",IF(AND(C403="Won",P403&lt;&gt;"",P403&lt;=S_Today+S_RenewalDays,COUNTIFS($A$3:$A$502,A403,$F$3:$F$502,"Yes",$X$3:$X$502,"Yes")=0),"Renewal due",IF(X403&lt;&gt;"Yes","",IF(OR(L403="",M403=""),"Missing next action",IF(M403&lt;S_Today,"Overdue",IF(AND(C403="Contacted",_xlfn.MAXIFS(Interactions!$A$3:$A$502,Interactions!$B$3:$B$502,A403,Interactions!$F$3:$F$502,"Sent by us")&gt;0,_xlfn.MAXIFS(Interactions!$A$3:$A$502,Interactions!$B$3:$B$502,A403,Interactions!$F$3:$F$502,"Sent by us")&lt;=S_Today-S_NoReplyDays,MAX(_xlfn.MAXIFS(Interactions!$A$3:$A$502,Interactions!$B$3:$B$502,A403,Interactions!$F$3:$F$502,"Received from them"),_xlfn.MAXIFS(Interactions!$A$3:$A$502,Interactions!$B$3:$B$502,A403,Interactions!$F$3:$F$502,"Two-way"))&lt;_xlfn.MAXIFS(Interactions!$A$3:$A$502,Interactions!$B$3:$B$502,A403,Interactions!$F$3:$F$502,"Sent by us")),"No reply",IF(M403&lt;=S_Today+7,"Due this week","")))))))</f>
        <v/>
      </c>
      <c r="Z403" s="34" t="str">
        <f aca="false">IF(OR(A403="",Y403=""),"",IF(Y403="Renewal due",100000,IF(Y403="Overdue",200000,IF(Y403="No reply",300000,IF(Y403="Due this week",400000,500000))))+IF(Y403="Renewal due",P403-40000,IF(Y403="Missing next action",0,M403-40000))+ROW()/100000)</f>
        <v/>
      </c>
      <c r="AA403" s="32" t="str">
        <f aca="false">IF(A403="","",_xlfn.TEXTJOIN(", ",TRUE(),IF(AND(X403="Yes",D403=""),"No owner",IF(AND(D403&lt;&gt;"",COUNTIFS(R_TeamName,D403,R_TeamActive,"No")&gt;0),"Needs new owner","")),IF(AND(OR(C403="Proposal sent",C403="Negotiation"),H403="",I403="",K403=""),"Add package or proposed value",""),IF(AND(C403="Won",OR(P403="",V403="")),"Won needs renewal date and closed on",""),IF(AND(C403="Won",G403="Cash",J403=""),"Add agreed value",""),IF(AND(C403="Lost",OR(S403="",V403="")),"Lost needs reason and closed on",""),IF(AND(C403="Nurture",OR(T403="",U403="")),"Nurture needs reason and date","")))</f>
        <v/>
      </c>
      <c r="AB403" s="34" t="str">
        <f aca="false">IF(AND(C403="Won",V403&lt;&gt;"",V403&gt;=S_SemStart,V403&lt;=S_SemEnd),V403+ROW()/100000,"")</f>
        <v/>
      </c>
      <c r="AC403" s="34" t="str">
        <f aca="false">IF(AND(C403="Lost",V403&lt;&gt;"",V403&gt;=S_SemStart,V403&lt;=S_SemEnd),V403+ROW()/100000,"")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9"/>
      <c r="J404" s="29"/>
      <c r="K404" s="27"/>
      <c r="L404" s="27"/>
      <c r="M404" s="28"/>
      <c r="N404" s="28"/>
      <c r="O404" s="28"/>
      <c r="P404" s="28"/>
      <c r="Q404" s="27"/>
      <c r="R404" s="27"/>
      <c r="S404" s="27"/>
      <c r="T404" s="27"/>
      <c r="U404" s="28"/>
      <c r="V404" s="28"/>
      <c r="W404" s="27"/>
      <c r="X404" s="32" t="str">
        <f aca="false">IF(A404="","",IF(OR(C404="Planned",C404="Contacted",C404="Meeting",C404="Proposal sent",C404="Negotiation"),"Yes","No"))</f>
        <v/>
      </c>
      <c r="Y404" s="32" t="str">
        <f aca="false">IF(A404="","",IF(AND(C404="Won",P404&lt;&gt;"",P404&lt;=S_Today+S_RenewalDays,COUNTIFS($A$3:$A$502,A404,$F$3:$F$502,"Yes",$X$3:$X$502,"Yes")=0),"Renewal due",IF(X404&lt;&gt;"Yes","",IF(OR(L404="",M404=""),"Missing next action",IF(M404&lt;S_Today,"Overdue",IF(AND(C404="Contacted",_xlfn.MAXIFS(Interactions!$A$3:$A$502,Interactions!$B$3:$B$502,A404,Interactions!$F$3:$F$502,"Sent by us")&gt;0,_xlfn.MAXIFS(Interactions!$A$3:$A$502,Interactions!$B$3:$B$502,A404,Interactions!$F$3:$F$502,"Sent by us")&lt;=S_Today-S_NoReplyDays,MAX(_xlfn.MAXIFS(Interactions!$A$3:$A$502,Interactions!$B$3:$B$502,A404,Interactions!$F$3:$F$502,"Received from them"),_xlfn.MAXIFS(Interactions!$A$3:$A$502,Interactions!$B$3:$B$502,A404,Interactions!$F$3:$F$502,"Two-way"))&lt;_xlfn.MAXIFS(Interactions!$A$3:$A$502,Interactions!$B$3:$B$502,A404,Interactions!$F$3:$F$502,"Sent by us")),"No reply",IF(M404&lt;=S_Today+7,"Due this week","")))))))</f>
        <v/>
      </c>
      <c r="Z404" s="34" t="str">
        <f aca="false">IF(OR(A404="",Y404=""),"",IF(Y404="Renewal due",100000,IF(Y404="Overdue",200000,IF(Y404="No reply",300000,IF(Y404="Due this week",400000,500000))))+IF(Y404="Renewal due",P404-40000,IF(Y404="Missing next action",0,M404-40000))+ROW()/100000)</f>
        <v/>
      </c>
      <c r="AA404" s="32" t="str">
        <f aca="false">IF(A404="","",_xlfn.TEXTJOIN(", ",TRUE(),IF(AND(X404="Yes",D404=""),"No owner",IF(AND(D404&lt;&gt;"",COUNTIFS(R_TeamName,D404,R_TeamActive,"No")&gt;0),"Needs new owner","")),IF(AND(OR(C404="Proposal sent",C404="Negotiation"),H404="",I404="",K404=""),"Add package or proposed value",""),IF(AND(C404="Won",OR(P404="",V404="")),"Won needs renewal date and closed on",""),IF(AND(C404="Won",G404="Cash",J404=""),"Add agreed value",""),IF(AND(C404="Lost",OR(S404="",V404="")),"Lost needs reason and closed on",""),IF(AND(C404="Nurture",OR(T404="",U404="")),"Nurture needs reason and date","")))</f>
        <v/>
      </c>
      <c r="AB404" s="34" t="str">
        <f aca="false">IF(AND(C404="Won",V404&lt;&gt;"",V404&gt;=S_SemStart,V404&lt;=S_SemEnd),V404+ROW()/100000,"")</f>
        <v/>
      </c>
      <c r="AC404" s="34" t="str">
        <f aca="false">IF(AND(C404="Lost",V404&lt;&gt;"",V404&gt;=S_SemStart,V404&lt;=S_SemEnd),V404+ROW()/100000,"")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9"/>
      <c r="J405" s="29"/>
      <c r="K405" s="27"/>
      <c r="L405" s="27"/>
      <c r="M405" s="28"/>
      <c r="N405" s="28"/>
      <c r="O405" s="28"/>
      <c r="P405" s="28"/>
      <c r="Q405" s="27"/>
      <c r="R405" s="27"/>
      <c r="S405" s="27"/>
      <c r="T405" s="27"/>
      <c r="U405" s="28"/>
      <c r="V405" s="28"/>
      <c r="W405" s="27"/>
      <c r="X405" s="32" t="str">
        <f aca="false">IF(A405="","",IF(OR(C405="Planned",C405="Contacted",C405="Meeting",C405="Proposal sent",C405="Negotiation"),"Yes","No"))</f>
        <v/>
      </c>
      <c r="Y405" s="32" t="str">
        <f aca="false">IF(A405="","",IF(AND(C405="Won",P405&lt;&gt;"",P405&lt;=S_Today+S_RenewalDays,COUNTIFS($A$3:$A$502,A405,$F$3:$F$502,"Yes",$X$3:$X$502,"Yes")=0),"Renewal due",IF(X405&lt;&gt;"Yes","",IF(OR(L405="",M405=""),"Missing next action",IF(M405&lt;S_Today,"Overdue",IF(AND(C405="Contacted",_xlfn.MAXIFS(Interactions!$A$3:$A$502,Interactions!$B$3:$B$502,A405,Interactions!$F$3:$F$502,"Sent by us")&gt;0,_xlfn.MAXIFS(Interactions!$A$3:$A$502,Interactions!$B$3:$B$502,A405,Interactions!$F$3:$F$502,"Sent by us")&lt;=S_Today-S_NoReplyDays,MAX(_xlfn.MAXIFS(Interactions!$A$3:$A$502,Interactions!$B$3:$B$502,A405,Interactions!$F$3:$F$502,"Received from them"),_xlfn.MAXIFS(Interactions!$A$3:$A$502,Interactions!$B$3:$B$502,A405,Interactions!$F$3:$F$502,"Two-way"))&lt;_xlfn.MAXIFS(Interactions!$A$3:$A$502,Interactions!$B$3:$B$502,A405,Interactions!$F$3:$F$502,"Sent by us")),"No reply",IF(M405&lt;=S_Today+7,"Due this week","")))))))</f>
        <v/>
      </c>
      <c r="Z405" s="34" t="str">
        <f aca="false">IF(OR(A405="",Y405=""),"",IF(Y405="Renewal due",100000,IF(Y405="Overdue",200000,IF(Y405="No reply",300000,IF(Y405="Due this week",400000,500000))))+IF(Y405="Renewal due",P405-40000,IF(Y405="Missing next action",0,M405-40000))+ROW()/100000)</f>
        <v/>
      </c>
      <c r="AA405" s="32" t="str">
        <f aca="false">IF(A405="","",_xlfn.TEXTJOIN(", ",TRUE(),IF(AND(X405="Yes",D405=""),"No owner",IF(AND(D405&lt;&gt;"",COUNTIFS(R_TeamName,D405,R_TeamActive,"No")&gt;0),"Needs new owner","")),IF(AND(OR(C405="Proposal sent",C405="Negotiation"),H405="",I405="",K405=""),"Add package or proposed value",""),IF(AND(C405="Won",OR(P405="",V405="")),"Won needs renewal date and closed on",""),IF(AND(C405="Won",G405="Cash",J405=""),"Add agreed value",""),IF(AND(C405="Lost",OR(S405="",V405="")),"Lost needs reason and closed on",""),IF(AND(C405="Nurture",OR(T405="",U405="")),"Nurture needs reason and date","")))</f>
        <v/>
      </c>
      <c r="AB405" s="34" t="str">
        <f aca="false">IF(AND(C405="Won",V405&lt;&gt;"",V405&gt;=S_SemStart,V405&lt;=S_SemEnd),V405+ROW()/100000,"")</f>
        <v/>
      </c>
      <c r="AC405" s="34" t="str">
        <f aca="false">IF(AND(C405="Lost",V405&lt;&gt;"",V405&gt;=S_SemStart,V405&lt;=S_SemEnd),V405+ROW()/100000,"")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9"/>
      <c r="J406" s="29"/>
      <c r="K406" s="27"/>
      <c r="L406" s="27"/>
      <c r="M406" s="28"/>
      <c r="N406" s="28"/>
      <c r="O406" s="28"/>
      <c r="P406" s="28"/>
      <c r="Q406" s="27"/>
      <c r="R406" s="27"/>
      <c r="S406" s="27"/>
      <c r="T406" s="27"/>
      <c r="U406" s="28"/>
      <c r="V406" s="28"/>
      <c r="W406" s="27"/>
      <c r="X406" s="32" t="str">
        <f aca="false">IF(A406="","",IF(OR(C406="Planned",C406="Contacted",C406="Meeting",C406="Proposal sent",C406="Negotiation"),"Yes","No"))</f>
        <v/>
      </c>
      <c r="Y406" s="32" t="str">
        <f aca="false">IF(A406="","",IF(AND(C406="Won",P406&lt;&gt;"",P406&lt;=S_Today+S_RenewalDays,COUNTIFS($A$3:$A$502,A406,$F$3:$F$502,"Yes",$X$3:$X$502,"Yes")=0),"Renewal due",IF(X406&lt;&gt;"Yes","",IF(OR(L406="",M406=""),"Missing next action",IF(M406&lt;S_Today,"Overdue",IF(AND(C406="Contacted",_xlfn.MAXIFS(Interactions!$A$3:$A$502,Interactions!$B$3:$B$502,A406,Interactions!$F$3:$F$502,"Sent by us")&gt;0,_xlfn.MAXIFS(Interactions!$A$3:$A$502,Interactions!$B$3:$B$502,A406,Interactions!$F$3:$F$502,"Sent by us")&lt;=S_Today-S_NoReplyDays,MAX(_xlfn.MAXIFS(Interactions!$A$3:$A$502,Interactions!$B$3:$B$502,A406,Interactions!$F$3:$F$502,"Received from them"),_xlfn.MAXIFS(Interactions!$A$3:$A$502,Interactions!$B$3:$B$502,A406,Interactions!$F$3:$F$502,"Two-way"))&lt;_xlfn.MAXIFS(Interactions!$A$3:$A$502,Interactions!$B$3:$B$502,A406,Interactions!$F$3:$F$502,"Sent by us")),"No reply",IF(M406&lt;=S_Today+7,"Due this week","")))))))</f>
        <v/>
      </c>
      <c r="Z406" s="34" t="str">
        <f aca="false">IF(OR(A406="",Y406=""),"",IF(Y406="Renewal due",100000,IF(Y406="Overdue",200000,IF(Y406="No reply",300000,IF(Y406="Due this week",400000,500000))))+IF(Y406="Renewal due",P406-40000,IF(Y406="Missing next action",0,M406-40000))+ROW()/100000)</f>
        <v/>
      </c>
      <c r="AA406" s="32" t="str">
        <f aca="false">IF(A406="","",_xlfn.TEXTJOIN(", ",TRUE(),IF(AND(X406="Yes",D406=""),"No owner",IF(AND(D406&lt;&gt;"",COUNTIFS(R_TeamName,D406,R_TeamActive,"No")&gt;0),"Needs new owner","")),IF(AND(OR(C406="Proposal sent",C406="Negotiation"),H406="",I406="",K406=""),"Add package or proposed value",""),IF(AND(C406="Won",OR(P406="",V406="")),"Won needs renewal date and closed on",""),IF(AND(C406="Won",G406="Cash",J406=""),"Add agreed value",""),IF(AND(C406="Lost",OR(S406="",V406="")),"Lost needs reason and closed on",""),IF(AND(C406="Nurture",OR(T406="",U406="")),"Nurture needs reason and date","")))</f>
        <v/>
      </c>
      <c r="AB406" s="34" t="str">
        <f aca="false">IF(AND(C406="Won",V406&lt;&gt;"",V406&gt;=S_SemStart,V406&lt;=S_SemEnd),V406+ROW()/100000,"")</f>
        <v/>
      </c>
      <c r="AC406" s="34" t="str">
        <f aca="false">IF(AND(C406="Lost",V406&lt;&gt;"",V406&gt;=S_SemStart,V406&lt;=S_SemEnd),V406+ROW()/100000,"")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9"/>
      <c r="J407" s="29"/>
      <c r="K407" s="27"/>
      <c r="L407" s="27"/>
      <c r="M407" s="28"/>
      <c r="N407" s="28"/>
      <c r="O407" s="28"/>
      <c r="P407" s="28"/>
      <c r="Q407" s="27"/>
      <c r="R407" s="27"/>
      <c r="S407" s="27"/>
      <c r="T407" s="27"/>
      <c r="U407" s="28"/>
      <c r="V407" s="28"/>
      <c r="W407" s="27"/>
      <c r="X407" s="32" t="str">
        <f aca="false">IF(A407="","",IF(OR(C407="Planned",C407="Contacted",C407="Meeting",C407="Proposal sent",C407="Negotiation"),"Yes","No"))</f>
        <v/>
      </c>
      <c r="Y407" s="32" t="str">
        <f aca="false">IF(A407="","",IF(AND(C407="Won",P407&lt;&gt;"",P407&lt;=S_Today+S_RenewalDays,COUNTIFS($A$3:$A$502,A407,$F$3:$F$502,"Yes",$X$3:$X$502,"Yes")=0),"Renewal due",IF(X407&lt;&gt;"Yes","",IF(OR(L407="",M407=""),"Missing next action",IF(M407&lt;S_Today,"Overdue",IF(AND(C407="Contacted",_xlfn.MAXIFS(Interactions!$A$3:$A$502,Interactions!$B$3:$B$502,A407,Interactions!$F$3:$F$502,"Sent by us")&gt;0,_xlfn.MAXIFS(Interactions!$A$3:$A$502,Interactions!$B$3:$B$502,A407,Interactions!$F$3:$F$502,"Sent by us")&lt;=S_Today-S_NoReplyDays,MAX(_xlfn.MAXIFS(Interactions!$A$3:$A$502,Interactions!$B$3:$B$502,A407,Interactions!$F$3:$F$502,"Received from them"),_xlfn.MAXIFS(Interactions!$A$3:$A$502,Interactions!$B$3:$B$502,A407,Interactions!$F$3:$F$502,"Two-way"))&lt;_xlfn.MAXIFS(Interactions!$A$3:$A$502,Interactions!$B$3:$B$502,A407,Interactions!$F$3:$F$502,"Sent by us")),"No reply",IF(M407&lt;=S_Today+7,"Due this week","")))))))</f>
        <v/>
      </c>
      <c r="Z407" s="34" t="str">
        <f aca="false">IF(OR(A407="",Y407=""),"",IF(Y407="Renewal due",100000,IF(Y407="Overdue",200000,IF(Y407="No reply",300000,IF(Y407="Due this week",400000,500000))))+IF(Y407="Renewal due",P407-40000,IF(Y407="Missing next action",0,M407-40000))+ROW()/100000)</f>
        <v/>
      </c>
      <c r="AA407" s="32" t="str">
        <f aca="false">IF(A407="","",_xlfn.TEXTJOIN(", ",TRUE(),IF(AND(X407="Yes",D407=""),"No owner",IF(AND(D407&lt;&gt;"",COUNTIFS(R_TeamName,D407,R_TeamActive,"No")&gt;0),"Needs new owner","")),IF(AND(OR(C407="Proposal sent",C407="Negotiation"),H407="",I407="",K407=""),"Add package or proposed value",""),IF(AND(C407="Won",OR(P407="",V407="")),"Won needs renewal date and closed on",""),IF(AND(C407="Won",G407="Cash",J407=""),"Add agreed value",""),IF(AND(C407="Lost",OR(S407="",V407="")),"Lost needs reason and closed on",""),IF(AND(C407="Nurture",OR(T407="",U407="")),"Nurture needs reason and date","")))</f>
        <v/>
      </c>
      <c r="AB407" s="34" t="str">
        <f aca="false">IF(AND(C407="Won",V407&lt;&gt;"",V407&gt;=S_SemStart,V407&lt;=S_SemEnd),V407+ROW()/100000,"")</f>
        <v/>
      </c>
      <c r="AC407" s="34" t="str">
        <f aca="false">IF(AND(C407="Lost",V407&lt;&gt;"",V407&gt;=S_SemStart,V407&lt;=S_SemEnd),V407+ROW()/100000,"")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9"/>
      <c r="J408" s="29"/>
      <c r="K408" s="27"/>
      <c r="L408" s="27"/>
      <c r="M408" s="28"/>
      <c r="N408" s="28"/>
      <c r="O408" s="28"/>
      <c r="P408" s="28"/>
      <c r="Q408" s="27"/>
      <c r="R408" s="27"/>
      <c r="S408" s="27"/>
      <c r="T408" s="27"/>
      <c r="U408" s="28"/>
      <c r="V408" s="28"/>
      <c r="W408" s="27"/>
      <c r="X408" s="32" t="str">
        <f aca="false">IF(A408="","",IF(OR(C408="Planned",C408="Contacted",C408="Meeting",C408="Proposal sent",C408="Negotiation"),"Yes","No"))</f>
        <v/>
      </c>
      <c r="Y408" s="32" t="str">
        <f aca="false">IF(A408="","",IF(AND(C408="Won",P408&lt;&gt;"",P408&lt;=S_Today+S_RenewalDays,COUNTIFS($A$3:$A$502,A408,$F$3:$F$502,"Yes",$X$3:$X$502,"Yes")=0),"Renewal due",IF(X408&lt;&gt;"Yes","",IF(OR(L408="",M408=""),"Missing next action",IF(M408&lt;S_Today,"Overdue",IF(AND(C408="Contacted",_xlfn.MAXIFS(Interactions!$A$3:$A$502,Interactions!$B$3:$B$502,A408,Interactions!$F$3:$F$502,"Sent by us")&gt;0,_xlfn.MAXIFS(Interactions!$A$3:$A$502,Interactions!$B$3:$B$502,A408,Interactions!$F$3:$F$502,"Sent by us")&lt;=S_Today-S_NoReplyDays,MAX(_xlfn.MAXIFS(Interactions!$A$3:$A$502,Interactions!$B$3:$B$502,A408,Interactions!$F$3:$F$502,"Received from them"),_xlfn.MAXIFS(Interactions!$A$3:$A$502,Interactions!$B$3:$B$502,A408,Interactions!$F$3:$F$502,"Two-way"))&lt;_xlfn.MAXIFS(Interactions!$A$3:$A$502,Interactions!$B$3:$B$502,A408,Interactions!$F$3:$F$502,"Sent by us")),"No reply",IF(M408&lt;=S_Today+7,"Due this week","")))))))</f>
        <v/>
      </c>
      <c r="Z408" s="34" t="str">
        <f aca="false">IF(OR(A408="",Y408=""),"",IF(Y408="Renewal due",100000,IF(Y408="Overdue",200000,IF(Y408="No reply",300000,IF(Y408="Due this week",400000,500000))))+IF(Y408="Renewal due",P408-40000,IF(Y408="Missing next action",0,M408-40000))+ROW()/100000)</f>
        <v/>
      </c>
      <c r="AA408" s="32" t="str">
        <f aca="false">IF(A408="","",_xlfn.TEXTJOIN(", ",TRUE(),IF(AND(X408="Yes",D408=""),"No owner",IF(AND(D408&lt;&gt;"",COUNTIFS(R_TeamName,D408,R_TeamActive,"No")&gt;0),"Needs new owner","")),IF(AND(OR(C408="Proposal sent",C408="Negotiation"),H408="",I408="",K408=""),"Add package or proposed value",""),IF(AND(C408="Won",OR(P408="",V408="")),"Won needs renewal date and closed on",""),IF(AND(C408="Won",G408="Cash",J408=""),"Add agreed value",""),IF(AND(C408="Lost",OR(S408="",V408="")),"Lost needs reason and closed on",""),IF(AND(C408="Nurture",OR(T408="",U408="")),"Nurture needs reason and date","")))</f>
        <v/>
      </c>
      <c r="AB408" s="34" t="str">
        <f aca="false">IF(AND(C408="Won",V408&lt;&gt;"",V408&gt;=S_SemStart,V408&lt;=S_SemEnd),V408+ROW()/100000,"")</f>
        <v/>
      </c>
      <c r="AC408" s="34" t="str">
        <f aca="false">IF(AND(C408="Lost",V408&lt;&gt;"",V408&gt;=S_SemStart,V408&lt;=S_SemEnd),V408+ROW()/100000,"")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9"/>
      <c r="J409" s="29"/>
      <c r="K409" s="27"/>
      <c r="L409" s="27"/>
      <c r="M409" s="28"/>
      <c r="N409" s="28"/>
      <c r="O409" s="28"/>
      <c r="P409" s="28"/>
      <c r="Q409" s="27"/>
      <c r="R409" s="27"/>
      <c r="S409" s="27"/>
      <c r="T409" s="27"/>
      <c r="U409" s="28"/>
      <c r="V409" s="28"/>
      <c r="W409" s="27"/>
      <c r="X409" s="32" t="str">
        <f aca="false">IF(A409="","",IF(OR(C409="Planned",C409="Contacted",C409="Meeting",C409="Proposal sent",C409="Negotiation"),"Yes","No"))</f>
        <v/>
      </c>
      <c r="Y409" s="32" t="str">
        <f aca="false">IF(A409="","",IF(AND(C409="Won",P409&lt;&gt;"",P409&lt;=S_Today+S_RenewalDays,COUNTIFS($A$3:$A$502,A409,$F$3:$F$502,"Yes",$X$3:$X$502,"Yes")=0),"Renewal due",IF(X409&lt;&gt;"Yes","",IF(OR(L409="",M409=""),"Missing next action",IF(M409&lt;S_Today,"Overdue",IF(AND(C409="Contacted",_xlfn.MAXIFS(Interactions!$A$3:$A$502,Interactions!$B$3:$B$502,A409,Interactions!$F$3:$F$502,"Sent by us")&gt;0,_xlfn.MAXIFS(Interactions!$A$3:$A$502,Interactions!$B$3:$B$502,A409,Interactions!$F$3:$F$502,"Sent by us")&lt;=S_Today-S_NoReplyDays,MAX(_xlfn.MAXIFS(Interactions!$A$3:$A$502,Interactions!$B$3:$B$502,A409,Interactions!$F$3:$F$502,"Received from them"),_xlfn.MAXIFS(Interactions!$A$3:$A$502,Interactions!$B$3:$B$502,A409,Interactions!$F$3:$F$502,"Two-way"))&lt;_xlfn.MAXIFS(Interactions!$A$3:$A$502,Interactions!$B$3:$B$502,A409,Interactions!$F$3:$F$502,"Sent by us")),"No reply",IF(M409&lt;=S_Today+7,"Due this week","")))))))</f>
        <v/>
      </c>
      <c r="Z409" s="34" t="str">
        <f aca="false">IF(OR(A409="",Y409=""),"",IF(Y409="Renewal due",100000,IF(Y409="Overdue",200000,IF(Y409="No reply",300000,IF(Y409="Due this week",400000,500000))))+IF(Y409="Renewal due",P409-40000,IF(Y409="Missing next action",0,M409-40000))+ROW()/100000)</f>
        <v/>
      </c>
      <c r="AA409" s="32" t="str">
        <f aca="false">IF(A409="","",_xlfn.TEXTJOIN(", ",TRUE(),IF(AND(X409="Yes",D409=""),"No owner",IF(AND(D409&lt;&gt;"",COUNTIFS(R_TeamName,D409,R_TeamActive,"No")&gt;0),"Needs new owner","")),IF(AND(OR(C409="Proposal sent",C409="Negotiation"),H409="",I409="",K409=""),"Add package or proposed value",""),IF(AND(C409="Won",OR(P409="",V409="")),"Won needs renewal date and closed on",""),IF(AND(C409="Won",G409="Cash",J409=""),"Add agreed value",""),IF(AND(C409="Lost",OR(S409="",V409="")),"Lost needs reason and closed on",""),IF(AND(C409="Nurture",OR(T409="",U409="")),"Nurture needs reason and date","")))</f>
        <v/>
      </c>
      <c r="AB409" s="34" t="str">
        <f aca="false">IF(AND(C409="Won",V409&lt;&gt;"",V409&gt;=S_SemStart,V409&lt;=S_SemEnd),V409+ROW()/100000,"")</f>
        <v/>
      </c>
      <c r="AC409" s="34" t="str">
        <f aca="false">IF(AND(C409="Lost",V409&lt;&gt;"",V409&gt;=S_SemStart,V409&lt;=S_SemEnd),V409+ROW()/100000,"")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9"/>
      <c r="J410" s="29"/>
      <c r="K410" s="27"/>
      <c r="L410" s="27"/>
      <c r="M410" s="28"/>
      <c r="N410" s="28"/>
      <c r="O410" s="28"/>
      <c r="P410" s="28"/>
      <c r="Q410" s="27"/>
      <c r="R410" s="27"/>
      <c r="S410" s="27"/>
      <c r="T410" s="27"/>
      <c r="U410" s="28"/>
      <c r="V410" s="28"/>
      <c r="W410" s="27"/>
      <c r="X410" s="32" t="str">
        <f aca="false">IF(A410="","",IF(OR(C410="Planned",C410="Contacted",C410="Meeting",C410="Proposal sent",C410="Negotiation"),"Yes","No"))</f>
        <v/>
      </c>
      <c r="Y410" s="32" t="str">
        <f aca="false">IF(A410="","",IF(AND(C410="Won",P410&lt;&gt;"",P410&lt;=S_Today+S_RenewalDays,COUNTIFS($A$3:$A$502,A410,$F$3:$F$502,"Yes",$X$3:$X$502,"Yes")=0),"Renewal due",IF(X410&lt;&gt;"Yes","",IF(OR(L410="",M410=""),"Missing next action",IF(M410&lt;S_Today,"Overdue",IF(AND(C410="Contacted",_xlfn.MAXIFS(Interactions!$A$3:$A$502,Interactions!$B$3:$B$502,A410,Interactions!$F$3:$F$502,"Sent by us")&gt;0,_xlfn.MAXIFS(Interactions!$A$3:$A$502,Interactions!$B$3:$B$502,A410,Interactions!$F$3:$F$502,"Sent by us")&lt;=S_Today-S_NoReplyDays,MAX(_xlfn.MAXIFS(Interactions!$A$3:$A$502,Interactions!$B$3:$B$502,A410,Interactions!$F$3:$F$502,"Received from them"),_xlfn.MAXIFS(Interactions!$A$3:$A$502,Interactions!$B$3:$B$502,A410,Interactions!$F$3:$F$502,"Two-way"))&lt;_xlfn.MAXIFS(Interactions!$A$3:$A$502,Interactions!$B$3:$B$502,A410,Interactions!$F$3:$F$502,"Sent by us")),"No reply",IF(M410&lt;=S_Today+7,"Due this week","")))))))</f>
        <v/>
      </c>
      <c r="Z410" s="34" t="str">
        <f aca="false">IF(OR(A410="",Y410=""),"",IF(Y410="Renewal due",100000,IF(Y410="Overdue",200000,IF(Y410="No reply",300000,IF(Y410="Due this week",400000,500000))))+IF(Y410="Renewal due",P410-40000,IF(Y410="Missing next action",0,M410-40000))+ROW()/100000)</f>
        <v/>
      </c>
      <c r="AA410" s="32" t="str">
        <f aca="false">IF(A410="","",_xlfn.TEXTJOIN(", ",TRUE(),IF(AND(X410="Yes",D410=""),"No owner",IF(AND(D410&lt;&gt;"",COUNTIFS(R_TeamName,D410,R_TeamActive,"No")&gt;0),"Needs new owner","")),IF(AND(OR(C410="Proposal sent",C410="Negotiation"),H410="",I410="",K410=""),"Add package or proposed value",""),IF(AND(C410="Won",OR(P410="",V410="")),"Won needs renewal date and closed on",""),IF(AND(C410="Won",G410="Cash",J410=""),"Add agreed value",""),IF(AND(C410="Lost",OR(S410="",V410="")),"Lost needs reason and closed on",""),IF(AND(C410="Nurture",OR(T410="",U410="")),"Nurture needs reason and date","")))</f>
        <v/>
      </c>
      <c r="AB410" s="34" t="str">
        <f aca="false">IF(AND(C410="Won",V410&lt;&gt;"",V410&gt;=S_SemStart,V410&lt;=S_SemEnd),V410+ROW()/100000,"")</f>
        <v/>
      </c>
      <c r="AC410" s="34" t="str">
        <f aca="false">IF(AND(C410="Lost",V410&lt;&gt;"",V410&gt;=S_SemStart,V410&lt;=S_SemEnd),V410+ROW()/100000,"")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9"/>
      <c r="J411" s="29"/>
      <c r="K411" s="27"/>
      <c r="L411" s="27"/>
      <c r="M411" s="28"/>
      <c r="N411" s="28"/>
      <c r="O411" s="28"/>
      <c r="P411" s="28"/>
      <c r="Q411" s="27"/>
      <c r="R411" s="27"/>
      <c r="S411" s="27"/>
      <c r="T411" s="27"/>
      <c r="U411" s="28"/>
      <c r="V411" s="28"/>
      <c r="W411" s="27"/>
      <c r="X411" s="32" t="str">
        <f aca="false">IF(A411="","",IF(OR(C411="Planned",C411="Contacted",C411="Meeting",C411="Proposal sent",C411="Negotiation"),"Yes","No"))</f>
        <v/>
      </c>
      <c r="Y411" s="32" t="str">
        <f aca="false">IF(A411="","",IF(AND(C411="Won",P411&lt;&gt;"",P411&lt;=S_Today+S_RenewalDays,COUNTIFS($A$3:$A$502,A411,$F$3:$F$502,"Yes",$X$3:$X$502,"Yes")=0),"Renewal due",IF(X411&lt;&gt;"Yes","",IF(OR(L411="",M411=""),"Missing next action",IF(M411&lt;S_Today,"Overdue",IF(AND(C411="Contacted",_xlfn.MAXIFS(Interactions!$A$3:$A$502,Interactions!$B$3:$B$502,A411,Interactions!$F$3:$F$502,"Sent by us")&gt;0,_xlfn.MAXIFS(Interactions!$A$3:$A$502,Interactions!$B$3:$B$502,A411,Interactions!$F$3:$F$502,"Sent by us")&lt;=S_Today-S_NoReplyDays,MAX(_xlfn.MAXIFS(Interactions!$A$3:$A$502,Interactions!$B$3:$B$502,A411,Interactions!$F$3:$F$502,"Received from them"),_xlfn.MAXIFS(Interactions!$A$3:$A$502,Interactions!$B$3:$B$502,A411,Interactions!$F$3:$F$502,"Two-way"))&lt;_xlfn.MAXIFS(Interactions!$A$3:$A$502,Interactions!$B$3:$B$502,A411,Interactions!$F$3:$F$502,"Sent by us")),"No reply",IF(M411&lt;=S_Today+7,"Due this week","")))))))</f>
        <v/>
      </c>
      <c r="Z411" s="34" t="str">
        <f aca="false">IF(OR(A411="",Y411=""),"",IF(Y411="Renewal due",100000,IF(Y411="Overdue",200000,IF(Y411="No reply",300000,IF(Y411="Due this week",400000,500000))))+IF(Y411="Renewal due",P411-40000,IF(Y411="Missing next action",0,M411-40000))+ROW()/100000)</f>
        <v/>
      </c>
      <c r="AA411" s="32" t="str">
        <f aca="false">IF(A411="","",_xlfn.TEXTJOIN(", ",TRUE(),IF(AND(X411="Yes",D411=""),"No owner",IF(AND(D411&lt;&gt;"",COUNTIFS(R_TeamName,D411,R_TeamActive,"No")&gt;0),"Needs new owner","")),IF(AND(OR(C411="Proposal sent",C411="Negotiation"),H411="",I411="",K411=""),"Add package or proposed value",""),IF(AND(C411="Won",OR(P411="",V411="")),"Won needs renewal date and closed on",""),IF(AND(C411="Won",G411="Cash",J411=""),"Add agreed value",""),IF(AND(C411="Lost",OR(S411="",V411="")),"Lost needs reason and closed on",""),IF(AND(C411="Nurture",OR(T411="",U411="")),"Nurture needs reason and date","")))</f>
        <v/>
      </c>
      <c r="AB411" s="34" t="str">
        <f aca="false">IF(AND(C411="Won",V411&lt;&gt;"",V411&gt;=S_SemStart,V411&lt;=S_SemEnd),V411+ROW()/100000,"")</f>
        <v/>
      </c>
      <c r="AC411" s="34" t="str">
        <f aca="false">IF(AND(C411="Lost",V411&lt;&gt;"",V411&gt;=S_SemStart,V411&lt;=S_SemEnd),V411+ROW()/100000,"")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9"/>
      <c r="J412" s="29"/>
      <c r="K412" s="27"/>
      <c r="L412" s="27"/>
      <c r="M412" s="28"/>
      <c r="N412" s="28"/>
      <c r="O412" s="28"/>
      <c r="P412" s="28"/>
      <c r="Q412" s="27"/>
      <c r="R412" s="27"/>
      <c r="S412" s="27"/>
      <c r="T412" s="27"/>
      <c r="U412" s="28"/>
      <c r="V412" s="28"/>
      <c r="W412" s="27"/>
      <c r="X412" s="32" t="str">
        <f aca="false">IF(A412="","",IF(OR(C412="Planned",C412="Contacted",C412="Meeting",C412="Proposal sent",C412="Negotiation"),"Yes","No"))</f>
        <v/>
      </c>
      <c r="Y412" s="32" t="str">
        <f aca="false">IF(A412="","",IF(AND(C412="Won",P412&lt;&gt;"",P412&lt;=S_Today+S_RenewalDays,COUNTIFS($A$3:$A$502,A412,$F$3:$F$502,"Yes",$X$3:$X$502,"Yes")=0),"Renewal due",IF(X412&lt;&gt;"Yes","",IF(OR(L412="",M412=""),"Missing next action",IF(M412&lt;S_Today,"Overdue",IF(AND(C412="Contacted",_xlfn.MAXIFS(Interactions!$A$3:$A$502,Interactions!$B$3:$B$502,A412,Interactions!$F$3:$F$502,"Sent by us")&gt;0,_xlfn.MAXIFS(Interactions!$A$3:$A$502,Interactions!$B$3:$B$502,A412,Interactions!$F$3:$F$502,"Sent by us")&lt;=S_Today-S_NoReplyDays,MAX(_xlfn.MAXIFS(Interactions!$A$3:$A$502,Interactions!$B$3:$B$502,A412,Interactions!$F$3:$F$502,"Received from them"),_xlfn.MAXIFS(Interactions!$A$3:$A$502,Interactions!$B$3:$B$502,A412,Interactions!$F$3:$F$502,"Two-way"))&lt;_xlfn.MAXIFS(Interactions!$A$3:$A$502,Interactions!$B$3:$B$502,A412,Interactions!$F$3:$F$502,"Sent by us")),"No reply",IF(M412&lt;=S_Today+7,"Due this week","")))))))</f>
        <v/>
      </c>
      <c r="Z412" s="34" t="str">
        <f aca="false">IF(OR(A412="",Y412=""),"",IF(Y412="Renewal due",100000,IF(Y412="Overdue",200000,IF(Y412="No reply",300000,IF(Y412="Due this week",400000,500000))))+IF(Y412="Renewal due",P412-40000,IF(Y412="Missing next action",0,M412-40000))+ROW()/100000)</f>
        <v/>
      </c>
      <c r="AA412" s="32" t="str">
        <f aca="false">IF(A412="","",_xlfn.TEXTJOIN(", ",TRUE(),IF(AND(X412="Yes",D412=""),"No owner",IF(AND(D412&lt;&gt;"",COUNTIFS(R_TeamName,D412,R_TeamActive,"No")&gt;0),"Needs new owner","")),IF(AND(OR(C412="Proposal sent",C412="Negotiation"),H412="",I412="",K412=""),"Add package or proposed value",""),IF(AND(C412="Won",OR(P412="",V412="")),"Won needs renewal date and closed on",""),IF(AND(C412="Won",G412="Cash",J412=""),"Add agreed value",""),IF(AND(C412="Lost",OR(S412="",V412="")),"Lost needs reason and closed on",""),IF(AND(C412="Nurture",OR(T412="",U412="")),"Nurture needs reason and date","")))</f>
        <v/>
      </c>
      <c r="AB412" s="34" t="str">
        <f aca="false">IF(AND(C412="Won",V412&lt;&gt;"",V412&gt;=S_SemStart,V412&lt;=S_SemEnd),V412+ROW()/100000,"")</f>
        <v/>
      </c>
      <c r="AC412" s="34" t="str">
        <f aca="false">IF(AND(C412="Lost",V412&lt;&gt;"",V412&gt;=S_SemStart,V412&lt;=S_SemEnd),V412+ROW()/100000,"")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9"/>
      <c r="J413" s="29"/>
      <c r="K413" s="27"/>
      <c r="L413" s="27"/>
      <c r="M413" s="28"/>
      <c r="N413" s="28"/>
      <c r="O413" s="28"/>
      <c r="P413" s="28"/>
      <c r="Q413" s="27"/>
      <c r="R413" s="27"/>
      <c r="S413" s="27"/>
      <c r="T413" s="27"/>
      <c r="U413" s="28"/>
      <c r="V413" s="28"/>
      <c r="W413" s="27"/>
      <c r="X413" s="32" t="str">
        <f aca="false">IF(A413="","",IF(OR(C413="Planned",C413="Contacted",C413="Meeting",C413="Proposal sent",C413="Negotiation"),"Yes","No"))</f>
        <v/>
      </c>
      <c r="Y413" s="32" t="str">
        <f aca="false">IF(A413="","",IF(AND(C413="Won",P413&lt;&gt;"",P413&lt;=S_Today+S_RenewalDays,COUNTIFS($A$3:$A$502,A413,$F$3:$F$502,"Yes",$X$3:$X$502,"Yes")=0),"Renewal due",IF(X413&lt;&gt;"Yes","",IF(OR(L413="",M413=""),"Missing next action",IF(M413&lt;S_Today,"Overdue",IF(AND(C413="Contacted",_xlfn.MAXIFS(Interactions!$A$3:$A$502,Interactions!$B$3:$B$502,A413,Interactions!$F$3:$F$502,"Sent by us")&gt;0,_xlfn.MAXIFS(Interactions!$A$3:$A$502,Interactions!$B$3:$B$502,A413,Interactions!$F$3:$F$502,"Sent by us")&lt;=S_Today-S_NoReplyDays,MAX(_xlfn.MAXIFS(Interactions!$A$3:$A$502,Interactions!$B$3:$B$502,A413,Interactions!$F$3:$F$502,"Received from them"),_xlfn.MAXIFS(Interactions!$A$3:$A$502,Interactions!$B$3:$B$502,A413,Interactions!$F$3:$F$502,"Two-way"))&lt;_xlfn.MAXIFS(Interactions!$A$3:$A$502,Interactions!$B$3:$B$502,A413,Interactions!$F$3:$F$502,"Sent by us")),"No reply",IF(M413&lt;=S_Today+7,"Due this week","")))))))</f>
        <v/>
      </c>
      <c r="Z413" s="34" t="str">
        <f aca="false">IF(OR(A413="",Y413=""),"",IF(Y413="Renewal due",100000,IF(Y413="Overdue",200000,IF(Y413="No reply",300000,IF(Y413="Due this week",400000,500000))))+IF(Y413="Renewal due",P413-40000,IF(Y413="Missing next action",0,M413-40000))+ROW()/100000)</f>
        <v/>
      </c>
      <c r="AA413" s="32" t="str">
        <f aca="false">IF(A413="","",_xlfn.TEXTJOIN(", ",TRUE(),IF(AND(X413="Yes",D413=""),"No owner",IF(AND(D413&lt;&gt;"",COUNTIFS(R_TeamName,D413,R_TeamActive,"No")&gt;0),"Needs new owner","")),IF(AND(OR(C413="Proposal sent",C413="Negotiation"),H413="",I413="",K413=""),"Add package or proposed value",""),IF(AND(C413="Won",OR(P413="",V413="")),"Won needs renewal date and closed on",""),IF(AND(C413="Won",G413="Cash",J413=""),"Add agreed value",""),IF(AND(C413="Lost",OR(S413="",V413="")),"Lost needs reason and closed on",""),IF(AND(C413="Nurture",OR(T413="",U413="")),"Nurture needs reason and date","")))</f>
        <v/>
      </c>
      <c r="AB413" s="34" t="str">
        <f aca="false">IF(AND(C413="Won",V413&lt;&gt;"",V413&gt;=S_SemStart,V413&lt;=S_SemEnd),V413+ROW()/100000,"")</f>
        <v/>
      </c>
      <c r="AC413" s="34" t="str">
        <f aca="false">IF(AND(C413="Lost",V413&lt;&gt;"",V413&gt;=S_SemStart,V413&lt;=S_SemEnd),V413+ROW()/100000,"")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9"/>
      <c r="J414" s="29"/>
      <c r="K414" s="27"/>
      <c r="L414" s="27"/>
      <c r="M414" s="28"/>
      <c r="N414" s="28"/>
      <c r="O414" s="28"/>
      <c r="P414" s="28"/>
      <c r="Q414" s="27"/>
      <c r="R414" s="27"/>
      <c r="S414" s="27"/>
      <c r="T414" s="27"/>
      <c r="U414" s="28"/>
      <c r="V414" s="28"/>
      <c r="W414" s="27"/>
      <c r="X414" s="32" t="str">
        <f aca="false">IF(A414="","",IF(OR(C414="Planned",C414="Contacted",C414="Meeting",C414="Proposal sent",C414="Negotiation"),"Yes","No"))</f>
        <v/>
      </c>
      <c r="Y414" s="32" t="str">
        <f aca="false">IF(A414="","",IF(AND(C414="Won",P414&lt;&gt;"",P414&lt;=S_Today+S_RenewalDays,COUNTIFS($A$3:$A$502,A414,$F$3:$F$502,"Yes",$X$3:$X$502,"Yes")=0),"Renewal due",IF(X414&lt;&gt;"Yes","",IF(OR(L414="",M414=""),"Missing next action",IF(M414&lt;S_Today,"Overdue",IF(AND(C414="Contacted",_xlfn.MAXIFS(Interactions!$A$3:$A$502,Interactions!$B$3:$B$502,A414,Interactions!$F$3:$F$502,"Sent by us")&gt;0,_xlfn.MAXIFS(Interactions!$A$3:$A$502,Interactions!$B$3:$B$502,A414,Interactions!$F$3:$F$502,"Sent by us")&lt;=S_Today-S_NoReplyDays,MAX(_xlfn.MAXIFS(Interactions!$A$3:$A$502,Interactions!$B$3:$B$502,A414,Interactions!$F$3:$F$502,"Received from them"),_xlfn.MAXIFS(Interactions!$A$3:$A$502,Interactions!$B$3:$B$502,A414,Interactions!$F$3:$F$502,"Two-way"))&lt;_xlfn.MAXIFS(Interactions!$A$3:$A$502,Interactions!$B$3:$B$502,A414,Interactions!$F$3:$F$502,"Sent by us")),"No reply",IF(M414&lt;=S_Today+7,"Due this week","")))))))</f>
        <v/>
      </c>
      <c r="Z414" s="34" t="str">
        <f aca="false">IF(OR(A414="",Y414=""),"",IF(Y414="Renewal due",100000,IF(Y414="Overdue",200000,IF(Y414="No reply",300000,IF(Y414="Due this week",400000,500000))))+IF(Y414="Renewal due",P414-40000,IF(Y414="Missing next action",0,M414-40000))+ROW()/100000)</f>
        <v/>
      </c>
      <c r="AA414" s="32" t="str">
        <f aca="false">IF(A414="","",_xlfn.TEXTJOIN(", ",TRUE(),IF(AND(X414="Yes",D414=""),"No owner",IF(AND(D414&lt;&gt;"",COUNTIFS(R_TeamName,D414,R_TeamActive,"No")&gt;0),"Needs new owner","")),IF(AND(OR(C414="Proposal sent",C414="Negotiation"),H414="",I414="",K414=""),"Add package or proposed value",""),IF(AND(C414="Won",OR(P414="",V414="")),"Won needs renewal date and closed on",""),IF(AND(C414="Won",G414="Cash",J414=""),"Add agreed value",""),IF(AND(C414="Lost",OR(S414="",V414="")),"Lost needs reason and closed on",""),IF(AND(C414="Nurture",OR(T414="",U414="")),"Nurture needs reason and date","")))</f>
        <v/>
      </c>
      <c r="AB414" s="34" t="str">
        <f aca="false">IF(AND(C414="Won",V414&lt;&gt;"",V414&gt;=S_SemStart,V414&lt;=S_SemEnd),V414+ROW()/100000,"")</f>
        <v/>
      </c>
      <c r="AC414" s="34" t="str">
        <f aca="false">IF(AND(C414="Lost",V414&lt;&gt;"",V414&gt;=S_SemStart,V414&lt;=S_SemEnd),V414+ROW()/100000,"")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9"/>
      <c r="J415" s="29"/>
      <c r="K415" s="27"/>
      <c r="L415" s="27"/>
      <c r="M415" s="28"/>
      <c r="N415" s="28"/>
      <c r="O415" s="28"/>
      <c r="P415" s="28"/>
      <c r="Q415" s="27"/>
      <c r="R415" s="27"/>
      <c r="S415" s="27"/>
      <c r="T415" s="27"/>
      <c r="U415" s="28"/>
      <c r="V415" s="28"/>
      <c r="W415" s="27"/>
      <c r="X415" s="32" t="str">
        <f aca="false">IF(A415="","",IF(OR(C415="Planned",C415="Contacted",C415="Meeting",C415="Proposal sent",C415="Negotiation"),"Yes","No"))</f>
        <v/>
      </c>
      <c r="Y415" s="32" t="str">
        <f aca="false">IF(A415="","",IF(AND(C415="Won",P415&lt;&gt;"",P415&lt;=S_Today+S_RenewalDays,COUNTIFS($A$3:$A$502,A415,$F$3:$F$502,"Yes",$X$3:$X$502,"Yes")=0),"Renewal due",IF(X415&lt;&gt;"Yes","",IF(OR(L415="",M415=""),"Missing next action",IF(M415&lt;S_Today,"Overdue",IF(AND(C415="Contacted",_xlfn.MAXIFS(Interactions!$A$3:$A$502,Interactions!$B$3:$B$502,A415,Interactions!$F$3:$F$502,"Sent by us")&gt;0,_xlfn.MAXIFS(Interactions!$A$3:$A$502,Interactions!$B$3:$B$502,A415,Interactions!$F$3:$F$502,"Sent by us")&lt;=S_Today-S_NoReplyDays,MAX(_xlfn.MAXIFS(Interactions!$A$3:$A$502,Interactions!$B$3:$B$502,A415,Interactions!$F$3:$F$502,"Received from them"),_xlfn.MAXIFS(Interactions!$A$3:$A$502,Interactions!$B$3:$B$502,A415,Interactions!$F$3:$F$502,"Two-way"))&lt;_xlfn.MAXIFS(Interactions!$A$3:$A$502,Interactions!$B$3:$B$502,A415,Interactions!$F$3:$F$502,"Sent by us")),"No reply",IF(M415&lt;=S_Today+7,"Due this week","")))))))</f>
        <v/>
      </c>
      <c r="Z415" s="34" t="str">
        <f aca="false">IF(OR(A415="",Y415=""),"",IF(Y415="Renewal due",100000,IF(Y415="Overdue",200000,IF(Y415="No reply",300000,IF(Y415="Due this week",400000,500000))))+IF(Y415="Renewal due",P415-40000,IF(Y415="Missing next action",0,M415-40000))+ROW()/100000)</f>
        <v/>
      </c>
      <c r="AA415" s="32" t="str">
        <f aca="false">IF(A415="","",_xlfn.TEXTJOIN(", ",TRUE(),IF(AND(X415="Yes",D415=""),"No owner",IF(AND(D415&lt;&gt;"",COUNTIFS(R_TeamName,D415,R_TeamActive,"No")&gt;0),"Needs new owner","")),IF(AND(OR(C415="Proposal sent",C415="Negotiation"),H415="",I415="",K415=""),"Add package or proposed value",""),IF(AND(C415="Won",OR(P415="",V415="")),"Won needs renewal date and closed on",""),IF(AND(C415="Won",G415="Cash",J415=""),"Add agreed value",""),IF(AND(C415="Lost",OR(S415="",V415="")),"Lost needs reason and closed on",""),IF(AND(C415="Nurture",OR(T415="",U415="")),"Nurture needs reason and date","")))</f>
        <v/>
      </c>
      <c r="AB415" s="34" t="str">
        <f aca="false">IF(AND(C415="Won",V415&lt;&gt;"",V415&gt;=S_SemStart,V415&lt;=S_SemEnd),V415+ROW()/100000,"")</f>
        <v/>
      </c>
      <c r="AC415" s="34" t="str">
        <f aca="false">IF(AND(C415="Lost",V415&lt;&gt;"",V415&gt;=S_SemStart,V415&lt;=S_SemEnd),V415+ROW()/100000,"")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9"/>
      <c r="J416" s="29"/>
      <c r="K416" s="27"/>
      <c r="L416" s="27"/>
      <c r="M416" s="28"/>
      <c r="N416" s="28"/>
      <c r="O416" s="28"/>
      <c r="P416" s="28"/>
      <c r="Q416" s="27"/>
      <c r="R416" s="27"/>
      <c r="S416" s="27"/>
      <c r="T416" s="27"/>
      <c r="U416" s="28"/>
      <c r="V416" s="28"/>
      <c r="W416" s="27"/>
      <c r="X416" s="32" t="str">
        <f aca="false">IF(A416="","",IF(OR(C416="Planned",C416="Contacted",C416="Meeting",C416="Proposal sent",C416="Negotiation"),"Yes","No"))</f>
        <v/>
      </c>
      <c r="Y416" s="32" t="str">
        <f aca="false">IF(A416="","",IF(AND(C416="Won",P416&lt;&gt;"",P416&lt;=S_Today+S_RenewalDays,COUNTIFS($A$3:$A$502,A416,$F$3:$F$502,"Yes",$X$3:$X$502,"Yes")=0),"Renewal due",IF(X416&lt;&gt;"Yes","",IF(OR(L416="",M416=""),"Missing next action",IF(M416&lt;S_Today,"Overdue",IF(AND(C416="Contacted",_xlfn.MAXIFS(Interactions!$A$3:$A$502,Interactions!$B$3:$B$502,A416,Interactions!$F$3:$F$502,"Sent by us")&gt;0,_xlfn.MAXIFS(Interactions!$A$3:$A$502,Interactions!$B$3:$B$502,A416,Interactions!$F$3:$F$502,"Sent by us")&lt;=S_Today-S_NoReplyDays,MAX(_xlfn.MAXIFS(Interactions!$A$3:$A$502,Interactions!$B$3:$B$502,A416,Interactions!$F$3:$F$502,"Received from them"),_xlfn.MAXIFS(Interactions!$A$3:$A$502,Interactions!$B$3:$B$502,A416,Interactions!$F$3:$F$502,"Two-way"))&lt;_xlfn.MAXIFS(Interactions!$A$3:$A$502,Interactions!$B$3:$B$502,A416,Interactions!$F$3:$F$502,"Sent by us")),"No reply",IF(M416&lt;=S_Today+7,"Due this week","")))))))</f>
        <v/>
      </c>
      <c r="Z416" s="34" t="str">
        <f aca="false">IF(OR(A416="",Y416=""),"",IF(Y416="Renewal due",100000,IF(Y416="Overdue",200000,IF(Y416="No reply",300000,IF(Y416="Due this week",400000,500000))))+IF(Y416="Renewal due",P416-40000,IF(Y416="Missing next action",0,M416-40000))+ROW()/100000)</f>
        <v/>
      </c>
      <c r="AA416" s="32" t="str">
        <f aca="false">IF(A416="","",_xlfn.TEXTJOIN(", ",TRUE(),IF(AND(X416="Yes",D416=""),"No owner",IF(AND(D416&lt;&gt;"",COUNTIFS(R_TeamName,D416,R_TeamActive,"No")&gt;0),"Needs new owner","")),IF(AND(OR(C416="Proposal sent",C416="Negotiation"),H416="",I416="",K416=""),"Add package or proposed value",""),IF(AND(C416="Won",OR(P416="",V416="")),"Won needs renewal date and closed on",""),IF(AND(C416="Won",G416="Cash",J416=""),"Add agreed value",""),IF(AND(C416="Lost",OR(S416="",V416="")),"Lost needs reason and closed on",""),IF(AND(C416="Nurture",OR(T416="",U416="")),"Nurture needs reason and date","")))</f>
        <v/>
      </c>
      <c r="AB416" s="34" t="str">
        <f aca="false">IF(AND(C416="Won",V416&lt;&gt;"",V416&gt;=S_SemStart,V416&lt;=S_SemEnd),V416+ROW()/100000,"")</f>
        <v/>
      </c>
      <c r="AC416" s="34" t="str">
        <f aca="false">IF(AND(C416="Lost",V416&lt;&gt;"",V416&gt;=S_SemStart,V416&lt;=S_SemEnd),V416+ROW()/100000,"")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9"/>
      <c r="J417" s="29"/>
      <c r="K417" s="27"/>
      <c r="L417" s="27"/>
      <c r="M417" s="28"/>
      <c r="N417" s="28"/>
      <c r="O417" s="28"/>
      <c r="P417" s="28"/>
      <c r="Q417" s="27"/>
      <c r="R417" s="27"/>
      <c r="S417" s="27"/>
      <c r="T417" s="27"/>
      <c r="U417" s="28"/>
      <c r="V417" s="28"/>
      <c r="W417" s="27"/>
      <c r="X417" s="32" t="str">
        <f aca="false">IF(A417="","",IF(OR(C417="Planned",C417="Contacted",C417="Meeting",C417="Proposal sent",C417="Negotiation"),"Yes","No"))</f>
        <v/>
      </c>
      <c r="Y417" s="32" t="str">
        <f aca="false">IF(A417="","",IF(AND(C417="Won",P417&lt;&gt;"",P417&lt;=S_Today+S_RenewalDays,COUNTIFS($A$3:$A$502,A417,$F$3:$F$502,"Yes",$X$3:$X$502,"Yes")=0),"Renewal due",IF(X417&lt;&gt;"Yes","",IF(OR(L417="",M417=""),"Missing next action",IF(M417&lt;S_Today,"Overdue",IF(AND(C417="Contacted",_xlfn.MAXIFS(Interactions!$A$3:$A$502,Interactions!$B$3:$B$502,A417,Interactions!$F$3:$F$502,"Sent by us")&gt;0,_xlfn.MAXIFS(Interactions!$A$3:$A$502,Interactions!$B$3:$B$502,A417,Interactions!$F$3:$F$502,"Sent by us")&lt;=S_Today-S_NoReplyDays,MAX(_xlfn.MAXIFS(Interactions!$A$3:$A$502,Interactions!$B$3:$B$502,A417,Interactions!$F$3:$F$502,"Received from them"),_xlfn.MAXIFS(Interactions!$A$3:$A$502,Interactions!$B$3:$B$502,A417,Interactions!$F$3:$F$502,"Two-way"))&lt;_xlfn.MAXIFS(Interactions!$A$3:$A$502,Interactions!$B$3:$B$502,A417,Interactions!$F$3:$F$502,"Sent by us")),"No reply",IF(M417&lt;=S_Today+7,"Due this week","")))))))</f>
        <v/>
      </c>
      <c r="Z417" s="34" t="str">
        <f aca="false">IF(OR(A417="",Y417=""),"",IF(Y417="Renewal due",100000,IF(Y417="Overdue",200000,IF(Y417="No reply",300000,IF(Y417="Due this week",400000,500000))))+IF(Y417="Renewal due",P417-40000,IF(Y417="Missing next action",0,M417-40000))+ROW()/100000)</f>
        <v/>
      </c>
      <c r="AA417" s="32" t="str">
        <f aca="false">IF(A417="","",_xlfn.TEXTJOIN(", ",TRUE(),IF(AND(X417="Yes",D417=""),"No owner",IF(AND(D417&lt;&gt;"",COUNTIFS(R_TeamName,D417,R_TeamActive,"No")&gt;0),"Needs new owner","")),IF(AND(OR(C417="Proposal sent",C417="Negotiation"),H417="",I417="",K417=""),"Add package or proposed value",""),IF(AND(C417="Won",OR(P417="",V417="")),"Won needs renewal date and closed on",""),IF(AND(C417="Won",G417="Cash",J417=""),"Add agreed value",""),IF(AND(C417="Lost",OR(S417="",V417="")),"Lost needs reason and closed on",""),IF(AND(C417="Nurture",OR(T417="",U417="")),"Nurture needs reason and date","")))</f>
        <v/>
      </c>
      <c r="AB417" s="34" t="str">
        <f aca="false">IF(AND(C417="Won",V417&lt;&gt;"",V417&gt;=S_SemStart,V417&lt;=S_SemEnd),V417+ROW()/100000,"")</f>
        <v/>
      </c>
      <c r="AC417" s="34" t="str">
        <f aca="false">IF(AND(C417="Lost",V417&lt;&gt;"",V417&gt;=S_SemStart,V417&lt;=S_SemEnd),V417+ROW()/100000,"")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9"/>
      <c r="J418" s="29"/>
      <c r="K418" s="27"/>
      <c r="L418" s="27"/>
      <c r="M418" s="28"/>
      <c r="N418" s="28"/>
      <c r="O418" s="28"/>
      <c r="P418" s="28"/>
      <c r="Q418" s="27"/>
      <c r="R418" s="27"/>
      <c r="S418" s="27"/>
      <c r="T418" s="27"/>
      <c r="U418" s="28"/>
      <c r="V418" s="28"/>
      <c r="W418" s="27"/>
      <c r="X418" s="32" t="str">
        <f aca="false">IF(A418="","",IF(OR(C418="Planned",C418="Contacted",C418="Meeting",C418="Proposal sent",C418="Negotiation"),"Yes","No"))</f>
        <v/>
      </c>
      <c r="Y418" s="32" t="str">
        <f aca="false">IF(A418="","",IF(AND(C418="Won",P418&lt;&gt;"",P418&lt;=S_Today+S_RenewalDays,COUNTIFS($A$3:$A$502,A418,$F$3:$F$502,"Yes",$X$3:$X$502,"Yes")=0),"Renewal due",IF(X418&lt;&gt;"Yes","",IF(OR(L418="",M418=""),"Missing next action",IF(M418&lt;S_Today,"Overdue",IF(AND(C418="Contacted",_xlfn.MAXIFS(Interactions!$A$3:$A$502,Interactions!$B$3:$B$502,A418,Interactions!$F$3:$F$502,"Sent by us")&gt;0,_xlfn.MAXIFS(Interactions!$A$3:$A$502,Interactions!$B$3:$B$502,A418,Interactions!$F$3:$F$502,"Sent by us")&lt;=S_Today-S_NoReplyDays,MAX(_xlfn.MAXIFS(Interactions!$A$3:$A$502,Interactions!$B$3:$B$502,A418,Interactions!$F$3:$F$502,"Received from them"),_xlfn.MAXIFS(Interactions!$A$3:$A$502,Interactions!$B$3:$B$502,A418,Interactions!$F$3:$F$502,"Two-way"))&lt;_xlfn.MAXIFS(Interactions!$A$3:$A$502,Interactions!$B$3:$B$502,A418,Interactions!$F$3:$F$502,"Sent by us")),"No reply",IF(M418&lt;=S_Today+7,"Due this week","")))))))</f>
        <v/>
      </c>
      <c r="Z418" s="34" t="str">
        <f aca="false">IF(OR(A418="",Y418=""),"",IF(Y418="Renewal due",100000,IF(Y418="Overdue",200000,IF(Y418="No reply",300000,IF(Y418="Due this week",400000,500000))))+IF(Y418="Renewal due",P418-40000,IF(Y418="Missing next action",0,M418-40000))+ROW()/100000)</f>
        <v/>
      </c>
      <c r="AA418" s="32" t="str">
        <f aca="false">IF(A418="","",_xlfn.TEXTJOIN(", ",TRUE(),IF(AND(X418="Yes",D418=""),"No owner",IF(AND(D418&lt;&gt;"",COUNTIFS(R_TeamName,D418,R_TeamActive,"No")&gt;0),"Needs new owner","")),IF(AND(OR(C418="Proposal sent",C418="Negotiation"),H418="",I418="",K418=""),"Add package or proposed value",""),IF(AND(C418="Won",OR(P418="",V418="")),"Won needs renewal date and closed on",""),IF(AND(C418="Won",G418="Cash",J418=""),"Add agreed value",""),IF(AND(C418="Lost",OR(S418="",V418="")),"Lost needs reason and closed on",""),IF(AND(C418="Nurture",OR(T418="",U418="")),"Nurture needs reason and date","")))</f>
        <v/>
      </c>
      <c r="AB418" s="34" t="str">
        <f aca="false">IF(AND(C418="Won",V418&lt;&gt;"",V418&gt;=S_SemStart,V418&lt;=S_SemEnd),V418+ROW()/100000,"")</f>
        <v/>
      </c>
      <c r="AC418" s="34" t="str">
        <f aca="false">IF(AND(C418="Lost",V418&lt;&gt;"",V418&gt;=S_SemStart,V418&lt;=S_SemEnd),V418+ROW()/100000,"")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9"/>
      <c r="J419" s="29"/>
      <c r="K419" s="27"/>
      <c r="L419" s="27"/>
      <c r="M419" s="28"/>
      <c r="N419" s="28"/>
      <c r="O419" s="28"/>
      <c r="P419" s="28"/>
      <c r="Q419" s="27"/>
      <c r="R419" s="27"/>
      <c r="S419" s="27"/>
      <c r="T419" s="27"/>
      <c r="U419" s="28"/>
      <c r="V419" s="28"/>
      <c r="W419" s="27"/>
      <c r="X419" s="32" t="str">
        <f aca="false">IF(A419="","",IF(OR(C419="Planned",C419="Contacted",C419="Meeting",C419="Proposal sent",C419="Negotiation"),"Yes","No"))</f>
        <v/>
      </c>
      <c r="Y419" s="32" t="str">
        <f aca="false">IF(A419="","",IF(AND(C419="Won",P419&lt;&gt;"",P419&lt;=S_Today+S_RenewalDays,COUNTIFS($A$3:$A$502,A419,$F$3:$F$502,"Yes",$X$3:$X$502,"Yes")=0),"Renewal due",IF(X419&lt;&gt;"Yes","",IF(OR(L419="",M419=""),"Missing next action",IF(M419&lt;S_Today,"Overdue",IF(AND(C419="Contacted",_xlfn.MAXIFS(Interactions!$A$3:$A$502,Interactions!$B$3:$B$502,A419,Interactions!$F$3:$F$502,"Sent by us")&gt;0,_xlfn.MAXIFS(Interactions!$A$3:$A$502,Interactions!$B$3:$B$502,A419,Interactions!$F$3:$F$502,"Sent by us")&lt;=S_Today-S_NoReplyDays,MAX(_xlfn.MAXIFS(Interactions!$A$3:$A$502,Interactions!$B$3:$B$502,A419,Interactions!$F$3:$F$502,"Received from them"),_xlfn.MAXIFS(Interactions!$A$3:$A$502,Interactions!$B$3:$B$502,A419,Interactions!$F$3:$F$502,"Two-way"))&lt;_xlfn.MAXIFS(Interactions!$A$3:$A$502,Interactions!$B$3:$B$502,A419,Interactions!$F$3:$F$502,"Sent by us")),"No reply",IF(M419&lt;=S_Today+7,"Due this week","")))))))</f>
        <v/>
      </c>
      <c r="Z419" s="34" t="str">
        <f aca="false">IF(OR(A419="",Y419=""),"",IF(Y419="Renewal due",100000,IF(Y419="Overdue",200000,IF(Y419="No reply",300000,IF(Y419="Due this week",400000,500000))))+IF(Y419="Renewal due",P419-40000,IF(Y419="Missing next action",0,M419-40000))+ROW()/100000)</f>
        <v/>
      </c>
      <c r="AA419" s="32" t="str">
        <f aca="false">IF(A419="","",_xlfn.TEXTJOIN(", ",TRUE(),IF(AND(X419="Yes",D419=""),"No owner",IF(AND(D419&lt;&gt;"",COUNTIFS(R_TeamName,D419,R_TeamActive,"No")&gt;0),"Needs new owner","")),IF(AND(OR(C419="Proposal sent",C419="Negotiation"),H419="",I419="",K419=""),"Add package or proposed value",""),IF(AND(C419="Won",OR(P419="",V419="")),"Won needs renewal date and closed on",""),IF(AND(C419="Won",G419="Cash",J419=""),"Add agreed value",""),IF(AND(C419="Lost",OR(S419="",V419="")),"Lost needs reason and closed on",""),IF(AND(C419="Nurture",OR(T419="",U419="")),"Nurture needs reason and date","")))</f>
        <v/>
      </c>
      <c r="AB419" s="34" t="str">
        <f aca="false">IF(AND(C419="Won",V419&lt;&gt;"",V419&gt;=S_SemStart,V419&lt;=S_SemEnd),V419+ROW()/100000,"")</f>
        <v/>
      </c>
      <c r="AC419" s="34" t="str">
        <f aca="false">IF(AND(C419="Lost",V419&lt;&gt;"",V419&gt;=S_SemStart,V419&lt;=S_SemEnd),V419+ROW()/100000,"")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9"/>
      <c r="J420" s="29"/>
      <c r="K420" s="27"/>
      <c r="L420" s="27"/>
      <c r="M420" s="28"/>
      <c r="N420" s="28"/>
      <c r="O420" s="28"/>
      <c r="P420" s="28"/>
      <c r="Q420" s="27"/>
      <c r="R420" s="27"/>
      <c r="S420" s="27"/>
      <c r="T420" s="27"/>
      <c r="U420" s="28"/>
      <c r="V420" s="28"/>
      <c r="W420" s="27"/>
      <c r="X420" s="32" t="str">
        <f aca="false">IF(A420="","",IF(OR(C420="Planned",C420="Contacted",C420="Meeting",C420="Proposal sent",C420="Negotiation"),"Yes","No"))</f>
        <v/>
      </c>
      <c r="Y420" s="32" t="str">
        <f aca="false">IF(A420="","",IF(AND(C420="Won",P420&lt;&gt;"",P420&lt;=S_Today+S_RenewalDays,COUNTIFS($A$3:$A$502,A420,$F$3:$F$502,"Yes",$X$3:$X$502,"Yes")=0),"Renewal due",IF(X420&lt;&gt;"Yes","",IF(OR(L420="",M420=""),"Missing next action",IF(M420&lt;S_Today,"Overdue",IF(AND(C420="Contacted",_xlfn.MAXIFS(Interactions!$A$3:$A$502,Interactions!$B$3:$B$502,A420,Interactions!$F$3:$F$502,"Sent by us")&gt;0,_xlfn.MAXIFS(Interactions!$A$3:$A$502,Interactions!$B$3:$B$502,A420,Interactions!$F$3:$F$502,"Sent by us")&lt;=S_Today-S_NoReplyDays,MAX(_xlfn.MAXIFS(Interactions!$A$3:$A$502,Interactions!$B$3:$B$502,A420,Interactions!$F$3:$F$502,"Received from them"),_xlfn.MAXIFS(Interactions!$A$3:$A$502,Interactions!$B$3:$B$502,A420,Interactions!$F$3:$F$502,"Two-way"))&lt;_xlfn.MAXIFS(Interactions!$A$3:$A$502,Interactions!$B$3:$B$502,A420,Interactions!$F$3:$F$502,"Sent by us")),"No reply",IF(M420&lt;=S_Today+7,"Due this week","")))))))</f>
        <v/>
      </c>
      <c r="Z420" s="34" t="str">
        <f aca="false">IF(OR(A420="",Y420=""),"",IF(Y420="Renewal due",100000,IF(Y420="Overdue",200000,IF(Y420="No reply",300000,IF(Y420="Due this week",400000,500000))))+IF(Y420="Renewal due",P420-40000,IF(Y420="Missing next action",0,M420-40000))+ROW()/100000)</f>
        <v/>
      </c>
      <c r="AA420" s="32" t="str">
        <f aca="false">IF(A420="","",_xlfn.TEXTJOIN(", ",TRUE(),IF(AND(X420="Yes",D420=""),"No owner",IF(AND(D420&lt;&gt;"",COUNTIFS(R_TeamName,D420,R_TeamActive,"No")&gt;0),"Needs new owner","")),IF(AND(OR(C420="Proposal sent",C420="Negotiation"),H420="",I420="",K420=""),"Add package or proposed value",""),IF(AND(C420="Won",OR(P420="",V420="")),"Won needs renewal date and closed on",""),IF(AND(C420="Won",G420="Cash",J420=""),"Add agreed value",""),IF(AND(C420="Lost",OR(S420="",V420="")),"Lost needs reason and closed on",""),IF(AND(C420="Nurture",OR(T420="",U420="")),"Nurture needs reason and date","")))</f>
        <v/>
      </c>
      <c r="AB420" s="34" t="str">
        <f aca="false">IF(AND(C420="Won",V420&lt;&gt;"",V420&gt;=S_SemStart,V420&lt;=S_SemEnd),V420+ROW()/100000,"")</f>
        <v/>
      </c>
      <c r="AC420" s="34" t="str">
        <f aca="false">IF(AND(C420="Lost",V420&lt;&gt;"",V420&gt;=S_SemStart,V420&lt;=S_SemEnd),V420+ROW()/100000,"")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9"/>
      <c r="J421" s="29"/>
      <c r="K421" s="27"/>
      <c r="L421" s="27"/>
      <c r="M421" s="28"/>
      <c r="N421" s="28"/>
      <c r="O421" s="28"/>
      <c r="P421" s="28"/>
      <c r="Q421" s="27"/>
      <c r="R421" s="27"/>
      <c r="S421" s="27"/>
      <c r="T421" s="27"/>
      <c r="U421" s="28"/>
      <c r="V421" s="28"/>
      <c r="W421" s="27"/>
      <c r="X421" s="32" t="str">
        <f aca="false">IF(A421="","",IF(OR(C421="Planned",C421="Contacted",C421="Meeting",C421="Proposal sent",C421="Negotiation"),"Yes","No"))</f>
        <v/>
      </c>
      <c r="Y421" s="32" t="str">
        <f aca="false">IF(A421="","",IF(AND(C421="Won",P421&lt;&gt;"",P421&lt;=S_Today+S_RenewalDays,COUNTIFS($A$3:$A$502,A421,$F$3:$F$502,"Yes",$X$3:$X$502,"Yes")=0),"Renewal due",IF(X421&lt;&gt;"Yes","",IF(OR(L421="",M421=""),"Missing next action",IF(M421&lt;S_Today,"Overdue",IF(AND(C421="Contacted",_xlfn.MAXIFS(Interactions!$A$3:$A$502,Interactions!$B$3:$B$502,A421,Interactions!$F$3:$F$502,"Sent by us")&gt;0,_xlfn.MAXIFS(Interactions!$A$3:$A$502,Interactions!$B$3:$B$502,A421,Interactions!$F$3:$F$502,"Sent by us")&lt;=S_Today-S_NoReplyDays,MAX(_xlfn.MAXIFS(Interactions!$A$3:$A$502,Interactions!$B$3:$B$502,A421,Interactions!$F$3:$F$502,"Received from them"),_xlfn.MAXIFS(Interactions!$A$3:$A$502,Interactions!$B$3:$B$502,A421,Interactions!$F$3:$F$502,"Two-way"))&lt;_xlfn.MAXIFS(Interactions!$A$3:$A$502,Interactions!$B$3:$B$502,A421,Interactions!$F$3:$F$502,"Sent by us")),"No reply",IF(M421&lt;=S_Today+7,"Due this week","")))))))</f>
        <v/>
      </c>
      <c r="Z421" s="34" t="str">
        <f aca="false">IF(OR(A421="",Y421=""),"",IF(Y421="Renewal due",100000,IF(Y421="Overdue",200000,IF(Y421="No reply",300000,IF(Y421="Due this week",400000,500000))))+IF(Y421="Renewal due",P421-40000,IF(Y421="Missing next action",0,M421-40000))+ROW()/100000)</f>
        <v/>
      </c>
      <c r="AA421" s="32" t="str">
        <f aca="false">IF(A421="","",_xlfn.TEXTJOIN(", ",TRUE(),IF(AND(X421="Yes",D421=""),"No owner",IF(AND(D421&lt;&gt;"",COUNTIFS(R_TeamName,D421,R_TeamActive,"No")&gt;0),"Needs new owner","")),IF(AND(OR(C421="Proposal sent",C421="Negotiation"),H421="",I421="",K421=""),"Add package or proposed value",""),IF(AND(C421="Won",OR(P421="",V421="")),"Won needs renewal date and closed on",""),IF(AND(C421="Won",G421="Cash",J421=""),"Add agreed value",""),IF(AND(C421="Lost",OR(S421="",V421="")),"Lost needs reason and closed on",""),IF(AND(C421="Nurture",OR(T421="",U421="")),"Nurture needs reason and date","")))</f>
        <v/>
      </c>
      <c r="AB421" s="34" t="str">
        <f aca="false">IF(AND(C421="Won",V421&lt;&gt;"",V421&gt;=S_SemStart,V421&lt;=S_SemEnd),V421+ROW()/100000,"")</f>
        <v/>
      </c>
      <c r="AC421" s="34" t="str">
        <f aca="false">IF(AND(C421="Lost",V421&lt;&gt;"",V421&gt;=S_SemStart,V421&lt;=S_SemEnd),V421+ROW()/100000,"")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9"/>
      <c r="J422" s="29"/>
      <c r="K422" s="27"/>
      <c r="L422" s="27"/>
      <c r="M422" s="28"/>
      <c r="N422" s="28"/>
      <c r="O422" s="28"/>
      <c r="P422" s="28"/>
      <c r="Q422" s="27"/>
      <c r="R422" s="27"/>
      <c r="S422" s="27"/>
      <c r="T422" s="27"/>
      <c r="U422" s="28"/>
      <c r="V422" s="28"/>
      <c r="W422" s="27"/>
      <c r="X422" s="32" t="str">
        <f aca="false">IF(A422="","",IF(OR(C422="Planned",C422="Contacted",C422="Meeting",C422="Proposal sent",C422="Negotiation"),"Yes","No"))</f>
        <v/>
      </c>
      <c r="Y422" s="32" t="str">
        <f aca="false">IF(A422="","",IF(AND(C422="Won",P422&lt;&gt;"",P422&lt;=S_Today+S_RenewalDays,COUNTIFS($A$3:$A$502,A422,$F$3:$F$502,"Yes",$X$3:$X$502,"Yes")=0),"Renewal due",IF(X422&lt;&gt;"Yes","",IF(OR(L422="",M422=""),"Missing next action",IF(M422&lt;S_Today,"Overdue",IF(AND(C422="Contacted",_xlfn.MAXIFS(Interactions!$A$3:$A$502,Interactions!$B$3:$B$502,A422,Interactions!$F$3:$F$502,"Sent by us")&gt;0,_xlfn.MAXIFS(Interactions!$A$3:$A$502,Interactions!$B$3:$B$502,A422,Interactions!$F$3:$F$502,"Sent by us")&lt;=S_Today-S_NoReplyDays,MAX(_xlfn.MAXIFS(Interactions!$A$3:$A$502,Interactions!$B$3:$B$502,A422,Interactions!$F$3:$F$502,"Received from them"),_xlfn.MAXIFS(Interactions!$A$3:$A$502,Interactions!$B$3:$B$502,A422,Interactions!$F$3:$F$502,"Two-way"))&lt;_xlfn.MAXIFS(Interactions!$A$3:$A$502,Interactions!$B$3:$B$502,A422,Interactions!$F$3:$F$502,"Sent by us")),"No reply",IF(M422&lt;=S_Today+7,"Due this week","")))))))</f>
        <v/>
      </c>
      <c r="Z422" s="34" t="str">
        <f aca="false">IF(OR(A422="",Y422=""),"",IF(Y422="Renewal due",100000,IF(Y422="Overdue",200000,IF(Y422="No reply",300000,IF(Y422="Due this week",400000,500000))))+IF(Y422="Renewal due",P422-40000,IF(Y422="Missing next action",0,M422-40000))+ROW()/100000)</f>
        <v/>
      </c>
      <c r="AA422" s="32" t="str">
        <f aca="false">IF(A422="","",_xlfn.TEXTJOIN(", ",TRUE(),IF(AND(X422="Yes",D422=""),"No owner",IF(AND(D422&lt;&gt;"",COUNTIFS(R_TeamName,D422,R_TeamActive,"No")&gt;0),"Needs new owner","")),IF(AND(OR(C422="Proposal sent",C422="Negotiation"),H422="",I422="",K422=""),"Add package or proposed value",""),IF(AND(C422="Won",OR(P422="",V422="")),"Won needs renewal date and closed on",""),IF(AND(C422="Won",G422="Cash",J422=""),"Add agreed value",""),IF(AND(C422="Lost",OR(S422="",V422="")),"Lost needs reason and closed on",""),IF(AND(C422="Nurture",OR(T422="",U422="")),"Nurture needs reason and date","")))</f>
        <v/>
      </c>
      <c r="AB422" s="34" t="str">
        <f aca="false">IF(AND(C422="Won",V422&lt;&gt;"",V422&gt;=S_SemStart,V422&lt;=S_SemEnd),V422+ROW()/100000,"")</f>
        <v/>
      </c>
      <c r="AC422" s="34" t="str">
        <f aca="false">IF(AND(C422="Lost",V422&lt;&gt;"",V422&gt;=S_SemStart,V422&lt;=S_SemEnd),V422+ROW()/100000,"")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9"/>
      <c r="J423" s="29"/>
      <c r="K423" s="27"/>
      <c r="L423" s="27"/>
      <c r="M423" s="28"/>
      <c r="N423" s="28"/>
      <c r="O423" s="28"/>
      <c r="P423" s="28"/>
      <c r="Q423" s="27"/>
      <c r="R423" s="27"/>
      <c r="S423" s="27"/>
      <c r="T423" s="27"/>
      <c r="U423" s="28"/>
      <c r="V423" s="28"/>
      <c r="W423" s="27"/>
      <c r="X423" s="32" t="str">
        <f aca="false">IF(A423="","",IF(OR(C423="Planned",C423="Contacted",C423="Meeting",C423="Proposal sent",C423="Negotiation"),"Yes","No"))</f>
        <v/>
      </c>
      <c r="Y423" s="32" t="str">
        <f aca="false">IF(A423="","",IF(AND(C423="Won",P423&lt;&gt;"",P423&lt;=S_Today+S_RenewalDays,COUNTIFS($A$3:$A$502,A423,$F$3:$F$502,"Yes",$X$3:$X$502,"Yes")=0),"Renewal due",IF(X423&lt;&gt;"Yes","",IF(OR(L423="",M423=""),"Missing next action",IF(M423&lt;S_Today,"Overdue",IF(AND(C423="Contacted",_xlfn.MAXIFS(Interactions!$A$3:$A$502,Interactions!$B$3:$B$502,A423,Interactions!$F$3:$F$502,"Sent by us")&gt;0,_xlfn.MAXIFS(Interactions!$A$3:$A$502,Interactions!$B$3:$B$502,A423,Interactions!$F$3:$F$502,"Sent by us")&lt;=S_Today-S_NoReplyDays,MAX(_xlfn.MAXIFS(Interactions!$A$3:$A$502,Interactions!$B$3:$B$502,A423,Interactions!$F$3:$F$502,"Received from them"),_xlfn.MAXIFS(Interactions!$A$3:$A$502,Interactions!$B$3:$B$502,A423,Interactions!$F$3:$F$502,"Two-way"))&lt;_xlfn.MAXIFS(Interactions!$A$3:$A$502,Interactions!$B$3:$B$502,A423,Interactions!$F$3:$F$502,"Sent by us")),"No reply",IF(M423&lt;=S_Today+7,"Due this week","")))))))</f>
        <v/>
      </c>
      <c r="Z423" s="34" t="str">
        <f aca="false">IF(OR(A423="",Y423=""),"",IF(Y423="Renewal due",100000,IF(Y423="Overdue",200000,IF(Y423="No reply",300000,IF(Y423="Due this week",400000,500000))))+IF(Y423="Renewal due",P423-40000,IF(Y423="Missing next action",0,M423-40000))+ROW()/100000)</f>
        <v/>
      </c>
      <c r="AA423" s="32" t="str">
        <f aca="false">IF(A423="","",_xlfn.TEXTJOIN(", ",TRUE(),IF(AND(X423="Yes",D423=""),"No owner",IF(AND(D423&lt;&gt;"",COUNTIFS(R_TeamName,D423,R_TeamActive,"No")&gt;0),"Needs new owner","")),IF(AND(OR(C423="Proposal sent",C423="Negotiation"),H423="",I423="",K423=""),"Add package or proposed value",""),IF(AND(C423="Won",OR(P423="",V423="")),"Won needs renewal date and closed on",""),IF(AND(C423="Won",G423="Cash",J423=""),"Add agreed value",""),IF(AND(C423="Lost",OR(S423="",V423="")),"Lost needs reason and closed on",""),IF(AND(C423="Nurture",OR(T423="",U423="")),"Nurture needs reason and date","")))</f>
        <v/>
      </c>
      <c r="AB423" s="34" t="str">
        <f aca="false">IF(AND(C423="Won",V423&lt;&gt;"",V423&gt;=S_SemStart,V423&lt;=S_SemEnd),V423+ROW()/100000,"")</f>
        <v/>
      </c>
      <c r="AC423" s="34" t="str">
        <f aca="false">IF(AND(C423="Lost",V423&lt;&gt;"",V423&gt;=S_SemStart,V423&lt;=S_SemEnd),V423+ROW()/100000,"")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9"/>
      <c r="J424" s="29"/>
      <c r="K424" s="27"/>
      <c r="L424" s="27"/>
      <c r="M424" s="28"/>
      <c r="N424" s="28"/>
      <c r="O424" s="28"/>
      <c r="P424" s="28"/>
      <c r="Q424" s="27"/>
      <c r="R424" s="27"/>
      <c r="S424" s="27"/>
      <c r="T424" s="27"/>
      <c r="U424" s="28"/>
      <c r="V424" s="28"/>
      <c r="W424" s="27"/>
      <c r="X424" s="32" t="str">
        <f aca="false">IF(A424="","",IF(OR(C424="Planned",C424="Contacted",C424="Meeting",C424="Proposal sent",C424="Negotiation"),"Yes","No"))</f>
        <v/>
      </c>
      <c r="Y424" s="32" t="str">
        <f aca="false">IF(A424="","",IF(AND(C424="Won",P424&lt;&gt;"",P424&lt;=S_Today+S_RenewalDays,COUNTIFS($A$3:$A$502,A424,$F$3:$F$502,"Yes",$X$3:$X$502,"Yes")=0),"Renewal due",IF(X424&lt;&gt;"Yes","",IF(OR(L424="",M424=""),"Missing next action",IF(M424&lt;S_Today,"Overdue",IF(AND(C424="Contacted",_xlfn.MAXIFS(Interactions!$A$3:$A$502,Interactions!$B$3:$B$502,A424,Interactions!$F$3:$F$502,"Sent by us")&gt;0,_xlfn.MAXIFS(Interactions!$A$3:$A$502,Interactions!$B$3:$B$502,A424,Interactions!$F$3:$F$502,"Sent by us")&lt;=S_Today-S_NoReplyDays,MAX(_xlfn.MAXIFS(Interactions!$A$3:$A$502,Interactions!$B$3:$B$502,A424,Interactions!$F$3:$F$502,"Received from them"),_xlfn.MAXIFS(Interactions!$A$3:$A$502,Interactions!$B$3:$B$502,A424,Interactions!$F$3:$F$502,"Two-way"))&lt;_xlfn.MAXIFS(Interactions!$A$3:$A$502,Interactions!$B$3:$B$502,A424,Interactions!$F$3:$F$502,"Sent by us")),"No reply",IF(M424&lt;=S_Today+7,"Due this week","")))))))</f>
        <v/>
      </c>
      <c r="Z424" s="34" t="str">
        <f aca="false">IF(OR(A424="",Y424=""),"",IF(Y424="Renewal due",100000,IF(Y424="Overdue",200000,IF(Y424="No reply",300000,IF(Y424="Due this week",400000,500000))))+IF(Y424="Renewal due",P424-40000,IF(Y424="Missing next action",0,M424-40000))+ROW()/100000)</f>
        <v/>
      </c>
      <c r="AA424" s="32" t="str">
        <f aca="false">IF(A424="","",_xlfn.TEXTJOIN(", ",TRUE(),IF(AND(X424="Yes",D424=""),"No owner",IF(AND(D424&lt;&gt;"",COUNTIFS(R_TeamName,D424,R_TeamActive,"No")&gt;0),"Needs new owner","")),IF(AND(OR(C424="Proposal sent",C424="Negotiation"),H424="",I424="",K424=""),"Add package or proposed value",""),IF(AND(C424="Won",OR(P424="",V424="")),"Won needs renewal date and closed on",""),IF(AND(C424="Won",G424="Cash",J424=""),"Add agreed value",""),IF(AND(C424="Lost",OR(S424="",V424="")),"Lost needs reason and closed on",""),IF(AND(C424="Nurture",OR(T424="",U424="")),"Nurture needs reason and date","")))</f>
        <v/>
      </c>
      <c r="AB424" s="34" t="str">
        <f aca="false">IF(AND(C424="Won",V424&lt;&gt;"",V424&gt;=S_SemStart,V424&lt;=S_SemEnd),V424+ROW()/100000,"")</f>
        <v/>
      </c>
      <c r="AC424" s="34" t="str">
        <f aca="false">IF(AND(C424="Lost",V424&lt;&gt;"",V424&gt;=S_SemStart,V424&lt;=S_SemEnd),V424+ROW()/100000,"")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9"/>
      <c r="J425" s="29"/>
      <c r="K425" s="27"/>
      <c r="L425" s="27"/>
      <c r="M425" s="28"/>
      <c r="N425" s="28"/>
      <c r="O425" s="28"/>
      <c r="P425" s="28"/>
      <c r="Q425" s="27"/>
      <c r="R425" s="27"/>
      <c r="S425" s="27"/>
      <c r="T425" s="27"/>
      <c r="U425" s="28"/>
      <c r="V425" s="28"/>
      <c r="W425" s="27"/>
      <c r="X425" s="32" t="str">
        <f aca="false">IF(A425="","",IF(OR(C425="Planned",C425="Contacted",C425="Meeting",C425="Proposal sent",C425="Negotiation"),"Yes","No"))</f>
        <v/>
      </c>
      <c r="Y425" s="32" t="str">
        <f aca="false">IF(A425="","",IF(AND(C425="Won",P425&lt;&gt;"",P425&lt;=S_Today+S_RenewalDays,COUNTIFS($A$3:$A$502,A425,$F$3:$F$502,"Yes",$X$3:$X$502,"Yes")=0),"Renewal due",IF(X425&lt;&gt;"Yes","",IF(OR(L425="",M425=""),"Missing next action",IF(M425&lt;S_Today,"Overdue",IF(AND(C425="Contacted",_xlfn.MAXIFS(Interactions!$A$3:$A$502,Interactions!$B$3:$B$502,A425,Interactions!$F$3:$F$502,"Sent by us")&gt;0,_xlfn.MAXIFS(Interactions!$A$3:$A$502,Interactions!$B$3:$B$502,A425,Interactions!$F$3:$F$502,"Sent by us")&lt;=S_Today-S_NoReplyDays,MAX(_xlfn.MAXIFS(Interactions!$A$3:$A$502,Interactions!$B$3:$B$502,A425,Interactions!$F$3:$F$502,"Received from them"),_xlfn.MAXIFS(Interactions!$A$3:$A$502,Interactions!$B$3:$B$502,A425,Interactions!$F$3:$F$502,"Two-way"))&lt;_xlfn.MAXIFS(Interactions!$A$3:$A$502,Interactions!$B$3:$B$502,A425,Interactions!$F$3:$F$502,"Sent by us")),"No reply",IF(M425&lt;=S_Today+7,"Due this week","")))))))</f>
        <v/>
      </c>
      <c r="Z425" s="34" t="str">
        <f aca="false">IF(OR(A425="",Y425=""),"",IF(Y425="Renewal due",100000,IF(Y425="Overdue",200000,IF(Y425="No reply",300000,IF(Y425="Due this week",400000,500000))))+IF(Y425="Renewal due",P425-40000,IF(Y425="Missing next action",0,M425-40000))+ROW()/100000)</f>
        <v/>
      </c>
      <c r="AA425" s="32" t="str">
        <f aca="false">IF(A425="","",_xlfn.TEXTJOIN(", ",TRUE(),IF(AND(X425="Yes",D425=""),"No owner",IF(AND(D425&lt;&gt;"",COUNTIFS(R_TeamName,D425,R_TeamActive,"No")&gt;0),"Needs new owner","")),IF(AND(OR(C425="Proposal sent",C425="Negotiation"),H425="",I425="",K425=""),"Add package or proposed value",""),IF(AND(C425="Won",OR(P425="",V425="")),"Won needs renewal date and closed on",""),IF(AND(C425="Won",G425="Cash",J425=""),"Add agreed value",""),IF(AND(C425="Lost",OR(S425="",V425="")),"Lost needs reason and closed on",""),IF(AND(C425="Nurture",OR(T425="",U425="")),"Nurture needs reason and date","")))</f>
        <v/>
      </c>
      <c r="AB425" s="34" t="str">
        <f aca="false">IF(AND(C425="Won",V425&lt;&gt;"",V425&gt;=S_SemStart,V425&lt;=S_SemEnd),V425+ROW()/100000,"")</f>
        <v/>
      </c>
      <c r="AC425" s="34" t="str">
        <f aca="false">IF(AND(C425="Lost",V425&lt;&gt;"",V425&gt;=S_SemStart,V425&lt;=S_SemEnd),V425+ROW()/100000,"")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9"/>
      <c r="J426" s="29"/>
      <c r="K426" s="27"/>
      <c r="L426" s="27"/>
      <c r="M426" s="28"/>
      <c r="N426" s="28"/>
      <c r="O426" s="28"/>
      <c r="P426" s="28"/>
      <c r="Q426" s="27"/>
      <c r="R426" s="27"/>
      <c r="S426" s="27"/>
      <c r="T426" s="27"/>
      <c r="U426" s="28"/>
      <c r="V426" s="28"/>
      <c r="W426" s="27"/>
      <c r="X426" s="32" t="str">
        <f aca="false">IF(A426="","",IF(OR(C426="Planned",C426="Contacted",C426="Meeting",C426="Proposal sent",C426="Negotiation"),"Yes","No"))</f>
        <v/>
      </c>
      <c r="Y426" s="32" t="str">
        <f aca="false">IF(A426="","",IF(AND(C426="Won",P426&lt;&gt;"",P426&lt;=S_Today+S_RenewalDays,COUNTIFS($A$3:$A$502,A426,$F$3:$F$502,"Yes",$X$3:$X$502,"Yes")=0),"Renewal due",IF(X426&lt;&gt;"Yes","",IF(OR(L426="",M426=""),"Missing next action",IF(M426&lt;S_Today,"Overdue",IF(AND(C426="Contacted",_xlfn.MAXIFS(Interactions!$A$3:$A$502,Interactions!$B$3:$B$502,A426,Interactions!$F$3:$F$502,"Sent by us")&gt;0,_xlfn.MAXIFS(Interactions!$A$3:$A$502,Interactions!$B$3:$B$502,A426,Interactions!$F$3:$F$502,"Sent by us")&lt;=S_Today-S_NoReplyDays,MAX(_xlfn.MAXIFS(Interactions!$A$3:$A$502,Interactions!$B$3:$B$502,A426,Interactions!$F$3:$F$502,"Received from them"),_xlfn.MAXIFS(Interactions!$A$3:$A$502,Interactions!$B$3:$B$502,A426,Interactions!$F$3:$F$502,"Two-way"))&lt;_xlfn.MAXIFS(Interactions!$A$3:$A$502,Interactions!$B$3:$B$502,A426,Interactions!$F$3:$F$502,"Sent by us")),"No reply",IF(M426&lt;=S_Today+7,"Due this week","")))))))</f>
        <v/>
      </c>
      <c r="Z426" s="34" t="str">
        <f aca="false">IF(OR(A426="",Y426=""),"",IF(Y426="Renewal due",100000,IF(Y426="Overdue",200000,IF(Y426="No reply",300000,IF(Y426="Due this week",400000,500000))))+IF(Y426="Renewal due",P426-40000,IF(Y426="Missing next action",0,M426-40000))+ROW()/100000)</f>
        <v/>
      </c>
      <c r="AA426" s="32" t="str">
        <f aca="false">IF(A426="","",_xlfn.TEXTJOIN(", ",TRUE(),IF(AND(X426="Yes",D426=""),"No owner",IF(AND(D426&lt;&gt;"",COUNTIFS(R_TeamName,D426,R_TeamActive,"No")&gt;0),"Needs new owner","")),IF(AND(OR(C426="Proposal sent",C426="Negotiation"),H426="",I426="",K426=""),"Add package or proposed value",""),IF(AND(C426="Won",OR(P426="",V426="")),"Won needs renewal date and closed on",""),IF(AND(C426="Won",G426="Cash",J426=""),"Add agreed value",""),IF(AND(C426="Lost",OR(S426="",V426="")),"Lost needs reason and closed on",""),IF(AND(C426="Nurture",OR(T426="",U426="")),"Nurture needs reason and date","")))</f>
        <v/>
      </c>
      <c r="AB426" s="34" t="str">
        <f aca="false">IF(AND(C426="Won",V426&lt;&gt;"",V426&gt;=S_SemStart,V426&lt;=S_SemEnd),V426+ROW()/100000,"")</f>
        <v/>
      </c>
      <c r="AC426" s="34" t="str">
        <f aca="false">IF(AND(C426="Lost",V426&lt;&gt;"",V426&gt;=S_SemStart,V426&lt;=S_SemEnd),V426+ROW()/100000,"")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9"/>
      <c r="J427" s="29"/>
      <c r="K427" s="27"/>
      <c r="L427" s="27"/>
      <c r="M427" s="28"/>
      <c r="N427" s="28"/>
      <c r="O427" s="28"/>
      <c r="P427" s="28"/>
      <c r="Q427" s="27"/>
      <c r="R427" s="27"/>
      <c r="S427" s="27"/>
      <c r="T427" s="27"/>
      <c r="U427" s="28"/>
      <c r="V427" s="28"/>
      <c r="W427" s="27"/>
      <c r="X427" s="32" t="str">
        <f aca="false">IF(A427="","",IF(OR(C427="Planned",C427="Contacted",C427="Meeting",C427="Proposal sent",C427="Negotiation"),"Yes","No"))</f>
        <v/>
      </c>
      <c r="Y427" s="32" t="str">
        <f aca="false">IF(A427="","",IF(AND(C427="Won",P427&lt;&gt;"",P427&lt;=S_Today+S_RenewalDays,COUNTIFS($A$3:$A$502,A427,$F$3:$F$502,"Yes",$X$3:$X$502,"Yes")=0),"Renewal due",IF(X427&lt;&gt;"Yes","",IF(OR(L427="",M427=""),"Missing next action",IF(M427&lt;S_Today,"Overdue",IF(AND(C427="Contacted",_xlfn.MAXIFS(Interactions!$A$3:$A$502,Interactions!$B$3:$B$502,A427,Interactions!$F$3:$F$502,"Sent by us")&gt;0,_xlfn.MAXIFS(Interactions!$A$3:$A$502,Interactions!$B$3:$B$502,A427,Interactions!$F$3:$F$502,"Sent by us")&lt;=S_Today-S_NoReplyDays,MAX(_xlfn.MAXIFS(Interactions!$A$3:$A$502,Interactions!$B$3:$B$502,A427,Interactions!$F$3:$F$502,"Received from them"),_xlfn.MAXIFS(Interactions!$A$3:$A$502,Interactions!$B$3:$B$502,A427,Interactions!$F$3:$F$502,"Two-way"))&lt;_xlfn.MAXIFS(Interactions!$A$3:$A$502,Interactions!$B$3:$B$502,A427,Interactions!$F$3:$F$502,"Sent by us")),"No reply",IF(M427&lt;=S_Today+7,"Due this week","")))))))</f>
        <v/>
      </c>
      <c r="Z427" s="34" t="str">
        <f aca="false">IF(OR(A427="",Y427=""),"",IF(Y427="Renewal due",100000,IF(Y427="Overdue",200000,IF(Y427="No reply",300000,IF(Y427="Due this week",400000,500000))))+IF(Y427="Renewal due",P427-40000,IF(Y427="Missing next action",0,M427-40000))+ROW()/100000)</f>
        <v/>
      </c>
      <c r="AA427" s="32" t="str">
        <f aca="false">IF(A427="","",_xlfn.TEXTJOIN(", ",TRUE(),IF(AND(X427="Yes",D427=""),"No owner",IF(AND(D427&lt;&gt;"",COUNTIFS(R_TeamName,D427,R_TeamActive,"No")&gt;0),"Needs new owner","")),IF(AND(OR(C427="Proposal sent",C427="Negotiation"),H427="",I427="",K427=""),"Add package or proposed value",""),IF(AND(C427="Won",OR(P427="",V427="")),"Won needs renewal date and closed on",""),IF(AND(C427="Won",G427="Cash",J427=""),"Add agreed value",""),IF(AND(C427="Lost",OR(S427="",V427="")),"Lost needs reason and closed on",""),IF(AND(C427="Nurture",OR(T427="",U427="")),"Nurture needs reason and date","")))</f>
        <v/>
      </c>
      <c r="AB427" s="34" t="str">
        <f aca="false">IF(AND(C427="Won",V427&lt;&gt;"",V427&gt;=S_SemStart,V427&lt;=S_SemEnd),V427+ROW()/100000,"")</f>
        <v/>
      </c>
      <c r="AC427" s="34" t="str">
        <f aca="false">IF(AND(C427="Lost",V427&lt;&gt;"",V427&gt;=S_SemStart,V427&lt;=S_SemEnd),V427+ROW()/100000,"")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9"/>
      <c r="J428" s="29"/>
      <c r="K428" s="27"/>
      <c r="L428" s="27"/>
      <c r="M428" s="28"/>
      <c r="N428" s="28"/>
      <c r="O428" s="28"/>
      <c r="P428" s="28"/>
      <c r="Q428" s="27"/>
      <c r="R428" s="27"/>
      <c r="S428" s="27"/>
      <c r="T428" s="27"/>
      <c r="U428" s="28"/>
      <c r="V428" s="28"/>
      <c r="W428" s="27"/>
      <c r="X428" s="32" t="str">
        <f aca="false">IF(A428="","",IF(OR(C428="Planned",C428="Contacted",C428="Meeting",C428="Proposal sent",C428="Negotiation"),"Yes","No"))</f>
        <v/>
      </c>
      <c r="Y428" s="32" t="str">
        <f aca="false">IF(A428="","",IF(AND(C428="Won",P428&lt;&gt;"",P428&lt;=S_Today+S_RenewalDays,COUNTIFS($A$3:$A$502,A428,$F$3:$F$502,"Yes",$X$3:$X$502,"Yes")=0),"Renewal due",IF(X428&lt;&gt;"Yes","",IF(OR(L428="",M428=""),"Missing next action",IF(M428&lt;S_Today,"Overdue",IF(AND(C428="Contacted",_xlfn.MAXIFS(Interactions!$A$3:$A$502,Interactions!$B$3:$B$502,A428,Interactions!$F$3:$F$502,"Sent by us")&gt;0,_xlfn.MAXIFS(Interactions!$A$3:$A$502,Interactions!$B$3:$B$502,A428,Interactions!$F$3:$F$502,"Sent by us")&lt;=S_Today-S_NoReplyDays,MAX(_xlfn.MAXIFS(Interactions!$A$3:$A$502,Interactions!$B$3:$B$502,A428,Interactions!$F$3:$F$502,"Received from them"),_xlfn.MAXIFS(Interactions!$A$3:$A$502,Interactions!$B$3:$B$502,A428,Interactions!$F$3:$F$502,"Two-way"))&lt;_xlfn.MAXIFS(Interactions!$A$3:$A$502,Interactions!$B$3:$B$502,A428,Interactions!$F$3:$F$502,"Sent by us")),"No reply",IF(M428&lt;=S_Today+7,"Due this week","")))))))</f>
        <v/>
      </c>
      <c r="Z428" s="34" t="str">
        <f aca="false">IF(OR(A428="",Y428=""),"",IF(Y428="Renewal due",100000,IF(Y428="Overdue",200000,IF(Y428="No reply",300000,IF(Y428="Due this week",400000,500000))))+IF(Y428="Renewal due",P428-40000,IF(Y428="Missing next action",0,M428-40000))+ROW()/100000)</f>
        <v/>
      </c>
      <c r="AA428" s="32" t="str">
        <f aca="false">IF(A428="","",_xlfn.TEXTJOIN(", ",TRUE(),IF(AND(X428="Yes",D428=""),"No owner",IF(AND(D428&lt;&gt;"",COUNTIFS(R_TeamName,D428,R_TeamActive,"No")&gt;0),"Needs new owner","")),IF(AND(OR(C428="Proposal sent",C428="Negotiation"),H428="",I428="",K428=""),"Add package or proposed value",""),IF(AND(C428="Won",OR(P428="",V428="")),"Won needs renewal date and closed on",""),IF(AND(C428="Won",G428="Cash",J428=""),"Add agreed value",""),IF(AND(C428="Lost",OR(S428="",V428="")),"Lost needs reason and closed on",""),IF(AND(C428="Nurture",OR(T428="",U428="")),"Nurture needs reason and date","")))</f>
        <v/>
      </c>
      <c r="AB428" s="34" t="str">
        <f aca="false">IF(AND(C428="Won",V428&lt;&gt;"",V428&gt;=S_SemStart,V428&lt;=S_SemEnd),V428+ROW()/100000,"")</f>
        <v/>
      </c>
      <c r="AC428" s="34" t="str">
        <f aca="false">IF(AND(C428="Lost",V428&lt;&gt;"",V428&gt;=S_SemStart,V428&lt;=S_SemEnd),V428+ROW()/100000,"")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9"/>
      <c r="J429" s="29"/>
      <c r="K429" s="27"/>
      <c r="L429" s="27"/>
      <c r="M429" s="28"/>
      <c r="N429" s="28"/>
      <c r="O429" s="28"/>
      <c r="P429" s="28"/>
      <c r="Q429" s="27"/>
      <c r="R429" s="27"/>
      <c r="S429" s="27"/>
      <c r="T429" s="27"/>
      <c r="U429" s="28"/>
      <c r="V429" s="28"/>
      <c r="W429" s="27"/>
      <c r="X429" s="32" t="str">
        <f aca="false">IF(A429="","",IF(OR(C429="Planned",C429="Contacted",C429="Meeting",C429="Proposal sent",C429="Negotiation"),"Yes","No"))</f>
        <v/>
      </c>
      <c r="Y429" s="32" t="str">
        <f aca="false">IF(A429="","",IF(AND(C429="Won",P429&lt;&gt;"",P429&lt;=S_Today+S_RenewalDays,COUNTIFS($A$3:$A$502,A429,$F$3:$F$502,"Yes",$X$3:$X$502,"Yes")=0),"Renewal due",IF(X429&lt;&gt;"Yes","",IF(OR(L429="",M429=""),"Missing next action",IF(M429&lt;S_Today,"Overdue",IF(AND(C429="Contacted",_xlfn.MAXIFS(Interactions!$A$3:$A$502,Interactions!$B$3:$B$502,A429,Interactions!$F$3:$F$502,"Sent by us")&gt;0,_xlfn.MAXIFS(Interactions!$A$3:$A$502,Interactions!$B$3:$B$502,A429,Interactions!$F$3:$F$502,"Sent by us")&lt;=S_Today-S_NoReplyDays,MAX(_xlfn.MAXIFS(Interactions!$A$3:$A$502,Interactions!$B$3:$B$502,A429,Interactions!$F$3:$F$502,"Received from them"),_xlfn.MAXIFS(Interactions!$A$3:$A$502,Interactions!$B$3:$B$502,A429,Interactions!$F$3:$F$502,"Two-way"))&lt;_xlfn.MAXIFS(Interactions!$A$3:$A$502,Interactions!$B$3:$B$502,A429,Interactions!$F$3:$F$502,"Sent by us")),"No reply",IF(M429&lt;=S_Today+7,"Due this week","")))))))</f>
        <v/>
      </c>
      <c r="Z429" s="34" t="str">
        <f aca="false">IF(OR(A429="",Y429=""),"",IF(Y429="Renewal due",100000,IF(Y429="Overdue",200000,IF(Y429="No reply",300000,IF(Y429="Due this week",400000,500000))))+IF(Y429="Renewal due",P429-40000,IF(Y429="Missing next action",0,M429-40000))+ROW()/100000)</f>
        <v/>
      </c>
      <c r="AA429" s="32" t="str">
        <f aca="false">IF(A429="","",_xlfn.TEXTJOIN(", ",TRUE(),IF(AND(X429="Yes",D429=""),"No owner",IF(AND(D429&lt;&gt;"",COUNTIFS(R_TeamName,D429,R_TeamActive,"No")&gt;0),"Needs new owner","")),IF(AND(OR(C429="Proposal sent",C429="Negotiation"),H429="",I429="",K429=""),"Add package or proposed value",""),IF(AND(C429="Won",OR(P429="",V429="")),"Won needs renewal date and closed on",""),IF(AND(C429="Won",G429="Cash",J429=""),"Add agreed value",""),IF(AND(C429="Lost",OR(S429="",V429="")),"Lost needs reason and closed on",""),IF(AND(C429="Nurture",OR(T429="",U429="")),"Nurture needs reason and date","")))</f>
        <v/>
      </c>
      <c r="AB429" s="34" t="str">
        <f aca="false">IF(AND(C429="Won",V429&lt;&gt;"",V429&gt;=S_SemStart,V429&lt;=S_SemEnd),V429+ROW()/100000,"")</f>
        <v/>
      </c>
      <c r="AC429" s="34" t="str">
        <f aca="false">IF(AND(C429="Lost",V429&lt;&gt;"",V429&gt;=S_SemStart,V429&lt;=S_SemEnd),V429+ROW()/100000,"")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9"/>
      <c r="J430" s="29"/>
      <c r="K430" s="27"/>
      <c r="L430" s="27"/>
      <c r="M430" s="28"/>
      <c r="N430" s="28"/>
      <c r="O430" s="28"/>
      <c r="P430" s="28"/>
      <c r="Q430" s="27"/>
      <c r="R430" s="27"/>
      <c r="S430" s="27"/>
      <c r="T430" s="27"/>
      <c r="U430" s="28"/>
      <c r="V430" s="28"/>
      <c r="W430" s="27"/>
      <c r="X430" s="32" t="str">
        <f aca="false">IF(A430="","",IF(OR(C430="Planned",C430="Contacted",C430="Meeting",C430="Proposal sent",C430="Negotiation"),"Yes","No"))</f>
        <v/>
      </c>
      <c r="Y430" s="32" t="str">
        <f aca="false">IF(A430="","",IF(AND(C430="Won",P430&lt;&gt;"",P430&lt;=S_Today+S_RenewalDays,COUNTIFS($A$3:$A$502,A430,$F$3:$F$502,"Yes",$X$3:$X$502,"Yes")=0),"Renewal due",IF(X430&lt;&gt;"Yes","",IF(OR(L430="",M430=""),"Missing next action",IF(M430&lt;S_Today,"Overdue",IF(AND(C430="Contacted",_xlfn.MAXIFS(Interactions!$A$3:$A$502,Interactions!$B$3:$B$502,A430,Interactions!$F$3:$F$502,"Sent by us")&gt;0,_xlfn.MAXIFS(Interactions!$A$3:$A$502,Interactions!$B$3:$B$502,A430,Interactions!$F$3:$F$502,"Sent by us")&lt;=S_Today-S_NoReplyDays,MAX(_xlfn.MAXIFS(Interactions!$A$3:$A$502,Interactions!$B$3:$B$502,A430,Interactions!$F$3:$F$502,"Received from them"),_xlfn.MAXIFS(Interactions!$A$3:$A$502,Interactions!$B$3:$B$502,A430,Interactions!$F$3:$F$502,"Two-way"))&lt;_xlfn.MAXIFS(Interactions!$A$3:$A$502,Interactions!$B$3:$B$502,A430,Interactions!$F$3:$F$502,"Sent by us")),"No reply",IF(M430&lt;=S_Today+7,"Due this week","")))))))</f>
        <v/>
      </c>
      <c r="Z430" s="34" t="str">
        <f aca="false">IF(OR(A430="",Y430=""),"",IF(Y430="Renewal due",100000,IF(Y430="Overdue",200000,IF(Y430="No reply",300000,IF(Y430="Due this week",400000,500000))))+IF(Y430="Renewal due",P430-40000,IF(Y430="Missing next action",0,M430-40000))+ROW()/100000)</f>
        <v/>
      </c>
      <c r="AA430" s="32" t="str">
        <f aca="false">IF(A430="","",_xlfn.TEXTJOIN(", ",TRUE(),IF(AND(X430="Yes",D430=""),"No owner",IF(AND(D430&lt;&gt;"",COUNTIFS(R_TeamName,D430,R_TeamActive,"No")&gt;0),"Needs new owner","")),IF(AND(OR(C430="Proposal sent",C430="Negotiation"),H430="",I430="",K430=""),"Add package or proposed value",""),IF(AND(C430="Won",OR(P430="",V430="")),"Won needs renewal date and closed on",""),IF(AND(C430="Won",G430="Cash",J430=""),"Add agreed value",""),IF(AND(C430="Lost",OR(S430="",V430="")),"Lost needs reason and closed on",""),IF(AND(C430="Nurture",OR(T430="",U430="")),"Nurture needs reason and date","")))</f>
        <v/>
      </c>
      <c r="AB430" s="34" t="str">
        <f aca="false">IF(AND(C430="Won",V430&lt;&gt;"",V430&gt;=S_SemStart,V430&lt;=S_SemEnd),V430+ROW()/100000,"")</f>
        <v/>
      </c>
      <c r="AC430" s="34" t="str">
        <f aca="false">IF(AND(C430="Lost",V430&lt;&gt;"",V430&gt;=S_SemStart,V430&lt;=S_SemEnd),V430+ROW()/100000,"")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9"/>
      <c r="J431" s="29"/>
      <c r="K431" s="27"/>
      <c r="L431" s="27"/>
      <c r="M431" s="28"/>
      <c r="N431" s="28"/>
      <c r="O431" s="28"/>
      <c r="P431" s="28"/>
      <c r="Q431" s="27"/>
      <c r="R431" s="27"/>
      <c r="S431" s="27"/>
      <c r="T431" s="27"/>
      <c r="U431" s="28"/>
      <c r="V431" s="28"/>
      <c r="W431" s="27"/>
      <c r="X431" s="32" t="str">
        <f aca="false">IF(A431="","",IF(OR(C431="Planned",C431="Contacted",C431="Meeting",C431="Proposal sent",C431="Negotiation"),"Yes","No"))</f>
        <v/>
      </c>
      <c r="Y431" s="32" t="str">
        <f aca="false">IF(A431="","",IF(AND(C431="Won",P431&lt;&gt;"",P431&lt;=S_Today+S_RenewalDays,COUNTIFS($A$3:$A$502,A431,$F$3:$F$502,"Yes",$X$3:$X$502,"Yes")=0),"Renewal due",IF(X431&lt;&gt;"Yes","",IF(OR(L431="",M431=""),"Missing next action",IF(M431&lt;S_Today,"Overdue",IF(AND(C431="Contacted",_xlfn.MAXIFS(Interactions!$A$3:$A$502,Interactions!$B$3:$B$502,A431,Interactions!$F$3:$F$502,"Sent by us")&gt;0,_xlfn.MAXIFS(Interactions!$A$3:$A$502,Interactions!$B$3:$B$502,A431,Interactions!$F$3:$F$502,"Sent by us")&lt;=S_Today-S_NoReplyDays,MAX(_xlfn.MAXIFS(Interactions!$A$3:$A$502,Interactions!$B$3:$B$502,A431,Interactions!$F$3:$F$502,"Received from them"),_xlfn.MAXIFS(Interactions!$A$3:$A$502,Interactions!$B$3:$B$502,A431,Interactions!$F$3:$F$502,"Two-way"))&lt;_xlfn.MAXIFS(Interactions!$A$3:$A$502,Interactions!$B$3:$B$502,A431,Interactions!$F$3:$F$502,"Sent by us")),"No reply",IF(M431&lt;=S_Today+7,"Due this week","")))))))</f>
        <v/>
      </c>
      <c r="Z431" s="34" t="str">
        <f aca="false">IF(OR(A431="",Y431=""),"",IF(Y431="Renewal due",100000,IF(Y431="Overdue",200000,IF(Y431="No reply",300000,IF(Y431="Due this week",400000,500000))))+IF(Y431="Renewal due",P431-40000,IF(Y431="Missing next action",0,M431-40000))+ROW()/100000)</f>
        <v/>
      </c>
      <c r="AA431" s="32" t="str">
        <f aca="false">IF(A431="","",_xlfn.TEXTJOIN(", ",TRUE(),IF(AND(X431="Yes",D431=""),"No owner",IF(AND(D431&lt;&gt;"",COUNTIFS(R_TeamName,D431,R_TeamActive,"No")&gt;0),"Needs new owner","")),IF(AND(OR(C431="Proposal sent",C431="Negotiation"),H431="",I431="",K431=""),"Add package or proposed value",""),IF(AND(C431="Won",OR(P431="",V431="")),"Won needs renewal date and closed on",""),IF(AND(C431="Won",G431="Cash",J431=""),"Add agreed value",""),IF(AND(C431="Lost",OR(S431="",V431="")),"Lost needs reason and closed on",""),IF(AND(C431="Nurture",OR(T431="",U431="")),"Nurture needs reason and date","")))</f>
        <v/>
      </c>
      <c r="AB431" s="34" t="str">
        <f aca="false">IF(AND(C431="Won",V431&lt;&gt;"",V431&gt;=S_SemStart,V431&lt;=S_SemEnd),V431+ROW()/100000,"")</f>
        <v/>
      </c>
      <c r="AC431" s="34" t="str">
        <f aca="false">IF(AND(C431="Lost",V431&lt;&gt;"",V431&gt;=S_SemStart,V431&lt;=S_SemEnd),V431+ROW()/100000,"")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9"/>
      <c r="J432" s="29"/>
      <c r="K432" s="27"/>
      <c r="L432" s="27"/>
      <c r="M432" s="28"/>
      <c r="N432" s="28"/>
      <c r="O432" s="28"/>
      <c r="P432" s="28"/>
      <c r="Q432" s="27"/>
      <c r="R432" s="27"/>
      <c r="S432" s="27"/>
      <c r="T432" s="27"/>
      <c r="U432" s="28"/>
      <c r="V432" s="28"/>
      <c r="W432" s="27"/>
      <c r="X432" s="32" t="str">
        <f aca="false">IF(A432="","",IF(OR(C432="Planned",C432="Contacted",C432="Meeting",C432="Proposal sent",C432="Negotiation"),"Yes","No"))</f>
        <v/>
      </c>
      <c r="Y432" s="32" t="str">
        <f aca="false">IF(A432="","",IF(AND(C432="Won",P432&lt;&gt;"",P432&lt;=S_Today+S_RenewalDays,COUNTIFS($A$3:$A$502,A432,$F$3:$F$502,"Yes",$X$3:$X$502,"Yes")=0),"Renewal due",IF(X432&lt;&gt;"Yes","",IF(OR(L432="",M432=""),"Missing next action",IF(M432&lt;S_Today,"Overdue",IF(AND(C432="Contacted",_xlfn.MAXIFS(Interactions!$A$3:$A$502,Interactions!$B$3:$B$502,A432,Interactions!$F$3:$F$502,"Sent by us")&gt;0,_xlfn.MAXIFS(Interactions!$A$3:$A$502,Interactions!$B$3:$B$502,A432,Interactions!$F$3:$F$502,"Sent by us")&lt;=S_Today-S_NoReplyDays,MAX(_xlfn.MAXIFS(Interactions!$A$3:$A$502,Interactions!$B$3:$B$502,A432,Interactions!$F$3:$F$502,"Received from them"),_xlfn.MAXIFS(Interactions!$A$3:$A$502,Interactions!$B$3:$B$502,A432,Interactions!$F$3:$F$502,"Two-way"))&lt;_xlfn.MAXIFS(Interactions!$A$3:$A$502,Interactions!$B$3:$B$502,A432,Interactions!$F$3:$F$502,"Sent by us")),"No reply",IF(M432&lt;=S_Today+7,"Due this week","")))))))</f>
        <v/>
      </c>
      <c r="Z432" s="34" t="str">
        <f aca="false">IF(OR(A432="",Y432=""),"",IF(Y432="Renewal due",100000,IF(Y432="Overdue",200000,IF(Y432="No reply",300000,IF(Y432="Due this week",400000,500000))))+IF(Y432="Renewal due",P432-40000,IF(Y432="Missing next action",0,M432-40000))+ROW()/100000)</f>
        <v/>
      </c>
      <c r="AA432" s="32" t="str">
        <f aca="false">IF(A432="","",_xlfn.TEXTJOIN(", ",TRUE(),IF(AND(X432="Yes",D432=""),"No owner",IF(AND(D432&lt;&gt;"",COUNTIFS(R_TeamName,D432,R_TeamActive,"No")&gt;0),"Needs new owner","")),IF(AND(OR(C432="Proposal sent",C432="Negotiation"),H432="",I432="",K432=""),"Add package or proposed value",""),IF(AND(C432="Won",OR(P432="",V432="")),"Won needs renewal date and closed on",""),IF(AND(C432="Won",G432="Cash",J432=""),"Add agreed value",""),IF(AND(C432="Lost",OR(S432="",V432="")),"Lost needs reason and closed on",""),IF(AND(C432="Nurture",OR(T432="",U432="")),"Nurture needs reason and date","")))</f>
        <v/>
      </c>
      <c r="AB432" s="34" t="str">
        <f aca="false">IF(AND(C432="Won",V432&lt;&gt;"",V432&gt;=S_SemStart,V432&lt;=S_SemEnd),V432+ROW()/100000,"")</f>
        <v/>
      </c>
      <c r="AC432" s="34" t="str">
        <f aca="false">IF(AND(C432="Lost",V432&lt;&gt;"",V432&gt;=S_SemStart,V432&lt;=S_SemEnd),V432+ROW()/100000,"")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9"/>
      <c r="J433" s="29"/>
      <c r="K433" s="27"/>
      <c r="L433" s="27"/>
      <c r="M433" s="28"/>
      <c r="N433" s="28"/>
      <c r="O433" s="28"/>
      <c r="P433" s="28"/>
      <c r="Q433" s="27"/>
      <c r="R433" s="27"/>
      <c r="S433" s="27"/>
      <c r="T433" s="27"/>
      <c r="U433" s="28"/>
      <c r="V433" s="28"/>
      <c r="W433" s="27"/>
      <c r="X433" s="32" t="str">
        <f aca="false">IF(A433="","",IF(OR(C433="Planned",C433="Contacted",C433="Meeting",C433="Proposal sent",C433="Negotiation"),"Yes","No"))</f>
        <v/>
      </c>
      <c r="Y433" s="32" t="str">
        <f aca="false">IF(A433="","",IF(AND(C433="Won",P433&lt;&gt;"",P433&lt;=S_Today+S_RenewalDays,COUNTIFS($A$3:$A$502,A433,$F$3:$F$502,"Yes",$X$3:$X$502,"Yes")=0),"Renewal due",IF(X433&lt;&gt;"Yes","",IF(OR(L433="",M433=""),"Missing next action",IF(M433&lt;S_Today,"Overdue",IF(AND(C433="Contacted",_xlfn.MAXIFS(Interactions!$A$3:$A$502,Interactions!$B$3:$B$502,A433,Interactions!$F$3:$F$502,"Sent by us")&gt;0,_xlfn.MAXIFS(Interactions!$A$3:$A$502,Interactions!$B$3:$B$502,A433,Interactions!$F$3:$F$502,"Sent by us")&lt;=S_Today-S_NoReplyDays,MAX(_xlfn.MAXIFS(Interactions!$A$3:$A$502,Interactions!$B$3:$B$502,A433,Interactions!$F$3:$F$502,"Received from them"),_xlfn.MAXIFS(Interactions!$A$3:$A$502,Interactions!$B$3:$B$502,A433,Interactions!$F$3:$F$502,"Two-way"))&lt;_xlfn.MAXIFS(Interactions!$A$3:$A$502,Interactions!$B$3:$B$502,A433,Interactions!$F$3:$F$502,"Sent by us")),"No reply",IF(M433&lt;=S_Today+7,"Due this week","")))))))</f>
        <v/>
      </c>
      <c r="Z433" s="34" t="str">
        <f aca="false">IF(OR(A433="",Y433=""),"",IF(Y433="Renewal due",100000,IF(Y433="Overdue",200000,IF(Y433="No reply",300000,IF(Y433="Due this week",400000,500000))))+IF(Y433="Renewal due",P433-40000,IF(Y433="Missing next action",0,M433-40000))+ROW()/100000)</f>
        <v/>
      </c>
      <c r="AA433" s="32" t="str">
        <f aca="false">IF(A433="","",_xlfn.TEXTJOIN(", ",TRUE(),IF(AND(X433="Yes",D433=""),"No owner",IF(AND(D433&lt;&gt;"",COUNTIFS(R_TeamName,D433,R_TeamActive,"No")&gt;0),"Needs new owner","")),IF(AND(OR(C433="Proposal sent",C433="Negotiation"),H433="",I433="",K433=""),"Add package or proposed value",""),IF(AND(C433="Won",OR(P433="",V433="")),"Won needs renewal date and closed on",""),IF(AND(C433="Won",G433="Cash",J433=""),"Add agreed value",""),IF(AND(C433="Lost",OR(S433="",V433="")),"Lost needs reason and closed on",""),IF(AND(C433="Nurture",OR(T433="",U433="")),"Nurture needs reason and date","")))</f>
        <v/>
      </c>
      <c r="AB433" s="34" t="str">
        <f aca="false">IF(AND(C433="Won",V433&lt;&gt;"",V433&gt;=S_SemStart,V433&lt;=S_SemEnd),V433+ROW()/100000,"")</f>
        <v/>
      </c>
      <c r="AC433" s="34" t="str">
        <f aca="false">IF(AND(C433="Lost",V433&lt;&gt;"",V433&gt;=S_SemStart,V433&lt;=S_SemEnd),V433+ROW()/100000,"")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9"/>
      <c r="J434" s="29"/>
      <c r="K434" s="27"/>
      <c r="L434" s="27"/>
      <c r="M434" s="28"/>
      <c r="N434" s="28"/>
      <c r="O434" s="28"/>
      <c r="P434" s="28"/>
      <c r="Q434" s="27"/>
      <c r="R434" s="27"/>
      <c r="S434" s="27"/>
      <c r="T434" s="27"/>
      <c r="U434" s="28"/>
      <c r="V434" s="28"/>
      <c r="W434" s="27"/>
      <c r="X434" s="32" t="str">
        <f aca="false">IF(A434="","",IF(OR(C434="Planned",C434="Contacted",C434="Meeting",C434="Proposal sent",C434="Negotiation"),"Yes","No"))</f>
        <v/>
      </c>
      <c r="Y434" s="32" t="str">
        <f aca="false">IF(A434="","",IF(AND(C434="Won",P434&lt;&gt;"",P434&lt;=S_Today+S_RenewalDays,COUNTIFS($A$3:$A$502,A434,$F$3:$F$502,"Yes",$X$3:$X$502,"Yes")=0),"Renewal due",IF(X434&lt;&gt;"Yes","",IF(OR(L434="",M434=""),"Missing next action",IF(M434&lt;S_Today,"Overdue",IF(AND(C434="Contacted",_xlfn.MAXIFS(Interactions!$A$3:$A$502,Interactions!$B$3:$B$502,A434,Interactions!$F$3:$F$502,"Sent by us")&gt;0,_xlfn.MAXIFS(Interactions!$A$3:$A$502,Interactions!$B$3:$B$502,A434,Interactions!$F$3:$F$502,"Sent by us")&lt;=S_Today-S_NoReplyDays,MAX(_xlfn.MAXIFS(Interactions!$A$3:$A$502,Interactions!$B$3:$B$502,A434,Interactions!$F$3:$F$502,"Received from them"),_xlfn.MAXIFS(Interactions!$A$3:$A$502,Interactions!$B$3:$B$502,A434,Interactions!$F$3:$F$502,"Two-way"))&lt;_xlfn.MAXIFS(Interactions!$A$3:$A$502,Interactions!$B$3:$B$502,A434,Interactions!$F$3:$F$502,"Sent by us")),"No reply",IF(M434&lt;=S_Today+7,"Due this week","")))))))</f>
        <v/>
      </c>
      <c r="Z434" s="34" t="str">
        <f aca="false">IF(OR(A434="",Y434=""),"",IF(Y434="Renewal due",100000,IF(Y434="Overdue",200000,IF(Y434="No reply",300000,IF(Y434="Due this week",400000,500000))))+IF(Y434="Renewal due",P434-40000,IF(Y434="Missing next action",0,M434-40000))+ROW()/100000)</f>
        <v/>
      </c>
      <c r="AA434" s="32" t="str">
        <f aca="false">IF(A434="","",_xlfn.TEXTJOIN(", ",TRUE(),IF(AND(X434="Yes",D434=""),"No owner",IF(AND(D434&lt;&gt;"",COUNTIFS(R_TeamName,D434,R_TeamActive,"No")&gt;0),"Needs new owner","")),IF(AND(OR(C434="Proposal sent",C434="Negotiation"),H434="",I434="",K434=""),"Add package or proposed value",""),IF(AND(C434="Won",OR(P434="",V434="")),"Won needs renewal date and closed on",""),IF(AND(C434="Won",G434="Cash",J434=""),"Add agreed value",""),IF(AND(C434="Lost",OR(S434="",V434="")),"Lost needs reason and closed on",""),IF(AND(C434="Nurture",OR(T434="",U434="")),"Nurture needs reason and date","")))</f>
        <v/>
      </c>
      <c r="AB434" s="34" t="str">
        <f aca="false">IF(AND(C434="Won",V434&lt;&gt;"",V434&gt;=S_SemStart,V434&lt;=S_SemEnd),V434+ROW()/100000,"")</f>
        <v/>
      </c>
      <c r="AC434" s="34" t="str">
        <f aca="false">IF(AND(C434="Lost",V434&lt;&gt;"",V434&gt;=S_SemStart,V434&lt;=S_SemEnd),V434+ROW()/100000,"")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9"/>
      <c r="J435" s="29"/>
      <c r="K435" s="27"/>
      <c r="L435" s="27"/>
      <c r="M435" s="28"/>
      <c r="N435" s="28"/>
      <c r="O435" s="28"/>
      <c r="P435" s="28"/>
      <c r="Q435" s="27"/>
      <c r="R435" s="27"/>
      <c r="S435" s="27"/>
      <c r="T435" s="27"/>
      <c r="U435" s="28"/>
      <c r="V435" s="28"/>
      <c r="W435" s="27"/>
      <c r="X435" s="32" t="str">
        <f aca="false">IF(A435="","",IF(OR(C435="Planned",C435="Contacted",C435="Meeting",C435="Proposal sent",C435="Negotiation"),"Yes","No"))</f>
        <v/>
      </c>
      <c r="Y435" s="32" t="str">
        <f aca="false">IF(A435="","",IF(AND(C435="Won",P435&lt;&gt;"",P435&lt;=S_Today+S_RenewalDays,COUNTIFS($A$3:$A$502,A435,$F$3:$F$502,"Yes",$X$3:$X$502,"Yes")=0),"Renewal due",IF(X435&lt;&gt;"Yes","",IF(OR(L435="",M435=""),"Missing next action",IF(M435&lt;S_Today,"Overdue",IF(AND(C435="Contacted",_xlfn.MAXIFS(Interactions!$A$3:$A$502,Interactions!$B$3:$B$502,A435,Interactions!$F$3:$F$502,"Sent by us")&gt;0,_xlfn.MAXIFS(Interactions!$A$3:$A$502,Interactions!$B$3:$B$502,A435,Interactions!$F$3:$F$502,"Sent by us")&lt;=S_Today-S_NoReplyDays,MAX(_xlfn.MAXIFS(Interactions!$A$3:$A$502,Interactions!$B$3:$B$502,A435,Interactions!$F$3:$F$502,"Received from them"),_xlfn.MAXIFS(Interactions!$A$3:$A$502,Interactions!$B$3:$B$502,A435,Interactions!$F$3:$F$502,"Two-way"))&lt;_xlfn.MAXIFS(Interactions!$A$3:$A$502,Interactions!$B$3:$B$502,A435,Interactions!$F$3:$F$502,"Sent by us")),"No reply",IF(M435&lt;=S_Today+7,"Due this week","")))))))</f>
        <v/>
      </c>
      <c r="Z435" s="34" t="str">
        <f aca="false">IF(OR(A435="",Y435=""),"",IF(Y435="Renewal due",100000,IF(Y435="Overdue",200000,IF(Y435="No reply",300000,IF(Y435="Due this week",400000,500000))))+IF(Y435="Renewal due",P435-40000,IF(Y435="Missing next action",0,M435-40000))+ROW()/100000)</f>
        <v/>
      </c>
      <c r="AA435" s="32" t="str">
        <f aca="false">IF(A435="","",_xlfn.TEXTJOIN(", ",TRUE(),IF(AND(X435="Yes",D435=""),"No owner",IF(AND(D435&lt;&gt;"",COUNTIFS(R_TeamName,D435,R_TeamActive,"No")&gt;0),"Needs new owner","")),IF(AND(OR(C435="Proposal sent",C435="Negotiation"),H435="",I435="",K435=""),"Add package or proposed value",""),IF(AND(C435="Won",OR(P435="",V435="")),"Won needs renewal date and closed on",""),IF(AND(C435="Won",G435="Cash",J435=""),"Add agreed value",""),IF(AND(C435="Lost",OR(S435="",V435="")),"Lost needs reason and closed on",""),IF(AND(C435="Nurture",OR(T435="",U435="")),"Nurture needs reason and date","")))</f>
        <v/>
      </c>
      <c r="AB435" s="34" t="str">
        <f aca="false">IF(AND(C435="Won",V435&lt;&gt;"",V435&gt;=S_SemStart,V435&lt;=S_SemEnd),V435+ROW()/100000,"")</f>
        <v/>
      </c>
      <c r="AC435" s="34" t="str">
        <f aca="false">IF(AND(C435="Lost",V435&lt;&gt;"",V435&gt;=S_SemStart,V435&lt;=S_SemEnd),V435+ROW()/100000,"")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9"/>
      <c r="J436" s="29"/>
      <c r="K436" s="27"/>
      <c r="L436" s="27"/>
      <c r="M436" s="28"/>
      <c r="N436" s="28"/>
      <c r="O436" s="28"/>
      <c r="P436" s="28"/>
      <c r="Q436" s="27"/>
      <c r="R436" s="27"/>
      <c r="S436" s="27"/>
      <c r="T436" s="27"/>
      <c r="U436" s="28"/>
      <c r="V436" s="28"/>
      <c r="W436" s="27"/>
      <c r="X436" s="32" t="str">
        <f aca="false">IF(A436="","",IF(OR(C436="Planned",C436="Contacted",C436="Meeting",C436="Proposal sent",C436="Negotiation"),"Yes","No"))</f>
        <v/>
      </c>
      <c r="Y436" s="32" t="str">
        <f aca="false">IF(A436="","",IF(AND(C436="Won",P436&lt;&gt;"",P436&lt;=S_Today+S_RenewalDays,COUNTIFS($A$3:$A$502,A436,$F$3:$F$502,"Yes",$X$3:$X$502,"Yes")=0),"Renewal due",IF(X436&lt;&gt;"Yes","",IF(OR(L436="",M436=""),"Missing next action",IF(M436&lt;S_Today,"Overdue",IF(AND(C436="Contacted",_xlfn.MAXIFS(Interactions!$A$3:$A$502,Interactions!$B$3:$B$502,A436,Interactions!$F$3:$F$502,"Sent by us")&gt;0,_xlfn.MAXIFS(Interactions!$A$3:$A$502,Interactions!$B$3:$B$502,A436,Interactions!$F$3:$F$502,"Sent by us")&lt;=S_Today-S_NoReplyDays,MAX(_xlfn.MAXIFS(Interactions!$A$3:$A$502,Interactions!$B$3:$B$502,A436,Interactions!$F$3:$F$502,"Received from them"),_xlfn.MAXIFS(Interactions!$A$3:$A$502,Interactions!$B$3:$B$502,A436,Interactions!$F$3:$F$502,"Two-way"))&lt;_xlfn.MAXIFS(Interactions!$A$3:$A$502,Interactions!$B$3:$B$502,A436,Interactions!$F$3:$F$502,"Sent by us")),"No reply",IF(M436&lt;=S_Today+7,"Due this week","")))))))</f>
        <v/>
      </c>
      <c r="Z436" s="34" t="str">
        <f aca="false">IF(OR(A436="",Y436=""),"",IF(Y436="Renewal due",100000,IF(Y436="Overdue",200000,IF(Y436="No reply",300000,IF(Y436="Due this week",400000,500000))))+IF(Y436="Renewal due",P436-40000,IF(Y436="Missing next action",0,M436-40000))+ROW()/100000)</f>
        <v/>
      </c>
      <c r="AA436" s="32" t="str">
        <f aca="false">IF(A436="","",_xlfn.TEXTJOIN(", ",TRUE(),IF(AND(X436="Yes",D436=""),"No owner",IF(AND(D436&lt;&gt;"",COUNTIFS(R_TeamName,D436,R_TeamActive,"No")&gt;0),"Needs new owner","")),IF(AND(OR(C436="Proposal sent",C436="Negotiation"),H436="",I436="",K436=""),"Add package or proposed value",""),IF(AND(C436="Won",OR(P436="",V436="")),"Won needs renewal date and closed on",""),IF(AND(C436="Won",G436="Cash",J436=""),"Add agreed value",""),IF(AND(C436="Lost",OR(S436="",V436="")),"Lost needs reason and closed on",""),IF(AND(C436="Nurture",OR(T436="",U436="")),"Nurture needs reason and date","")))</f>
        <v/>
      </c>
      <c r="AB436" s="34" t="str">
        <f aca="false">IF(AND(C436="Won",V436&lt;&gt;"",V436&gt;=S_SemStart,V436&lt;=S_SemEnd),V436+ROW()/100000,"")</f>
        <v/>
      </c>
      <c r="AC436" s="34" t="str">
        <f aca="false">IF(AND(C436="Lost",V436&lt;&gt;"",V436&gt;=S_SemStart,V436&lt;=S_SemEnd),V436+ROW()/100000,"")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9"/>
      <c r="J437" s="29"/>
      <c r="K437" s="27"/>
      <c r="L437" s="27"/>
      <c r="M437" s="28"/>
      <c r="N437" s="28"/>
      <c r="O437" s="28"/>
      <c r="P437" s="28"/>
      <c r="Q437" s="27"/>
      <c r="R437" s="27"/>
      <c r="S437" s="27"/>
      <c r="T437" s="27"/>
      <c r="U437" s="28"/>
      <c r="V437" s="28"/>
      <c r="W437" s="27"/>
      <c r="X437" s="32" t="str">
        <f aca="false">IF(A437="","",IF(OR(C437="Planned",C437="Contacted",C437="Meeting",C437="Proposal sent",C437="Negotiation"),"Yes","No"))</f>
        <v/>
      </c>
      <c r="Y437" s="32" t="str">
        <f aca="false">IF(A437="","",IF(AND(C437="Won",P437&lt;&gt;"",P437&lt;=S_Today+S_RenewalDays,COUNTIFS($A$3:$A$502,A437,$F$3:$F$502,"Yes",$X$3:$X$502,"Yes")=0),"Renewal due",IF(X437&lt;&gt;"Yes","",IF(OR(L437="",M437=""),"Missing next action",IF(M437&lt;S_Today,"Overdue",IF(AND(C437="Contacted",_xlfn.MAXIFS(Interactions!$A$3:$A$502,Interactions!$B$3:$B$502,A437,Interactions!$F$3:$F$502,"Sent by us")&gt;0,_xlfn.MAXIFS(Interactions!$A$3:$A$502,Interactions!$B$3:$B$502,A437,Interactions!$F$3:$F$502,"Sent by us")&lt;=S_Today-S_NoReplyDays,MAX(_xlfn.MAXIFS(Interactions!$A$3:$A$502,Interactions!$B$3:$B$502,A437,Interactions!$F$3:$F$502,"Received from them"),_xlfn.MAXIFS(Interactions!$A$3:$A$502,Interactions!$B$3:$B$502,A437,Interactions!$F$3:$F$502,"Two-way"))&lt;_xlfn.MAXIFS(Interactions!$A$3:$A$502,Interactions!$B$3:$B$502,A437,Interactions!$F$3:$F$502,"Sent by us")),"No reply",IF(M437&lt;=S_Today+7,"Due this week","")))))))</f>
        <v/>
      </c>
      <c r="Z437" s="34" t="str">
        <f aca="false">IF(OR(A437="",Y437=""),"",IF(Y437="Renewal due",100000,IF(Y437="Overdue",200000,IF(Y437="No reply",300000,IF(Y437="Due this week",400000,500000))))+IF(Y437="Renewal due",P437-40000,IF(Y437="Missing next action",0,M437-40000))+ROW()/100000)</f>
        <v/>
      </c>
      <c r="AA437" s="32" t="str">
        <f aca="false">IF(A437="","",_xlfn.TEXTJOIN(", ",TRUE(),IF(AND(X437="Yes",D437=""),"No owner",IF(AND(D437&lt;&gt;"",COUNTIFS(R_TeamName,D437,R_TeamActive,"No")&gt;0),"Needs new owner","")),IF(AND(OR(C437="Proposal sent",C437="Negotiation"),H437="",I437="",K437=""),"Add package or proposed value",""),IF(AND(C437="Won",OR(P437="",V437="")),"Won needs renewal date and closed on",""),IF(AND(C437="Won",G437="Cash",J437=""),"Add agreed value",""),IF(AND(C437="Lost",OR(S437="",V437="")),"Lost needs reason and closed on",""),IF(AND(C437="Nurture",OR(T437="",U437="")),"Nurture needs reason and date","")))</f>
        <v/>
      </c>
      <c r="AB437" s="34" t="str">
        <f aca="false">IF(AND(C437="Won",V437&lt;&gt;"",V437&gt;=S_SemStart,V437&lt;=S_SemEnd),V437+ROW()/100000,"")</f>
        <v/>
      </c>
      <c r="AC437" s="34" t="str">
        <f aca="false">IF(AND(C437="Lost",V437&lt;&gt;"",V437&gt;=S_SemStart,V437&lt;=S_SemEnd),V437+ROW()/100000,"")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9"/>
      <c r="J438" s="29"/>
      <c r="K438" s="27"/>
      <c r="L438" s="27"/>
      <c r="M438" s="28"/>
      <c r="N438" s="28"/>
      <c r="O438" s="28"/>
      <c r="P438" s="28"/>
      <c r="Q438" s="27"/>
      <c r="R438" s="27"/>
      <c r="S438" s="27"/>
      <c r="T438" s="27"/>
      <c r="U438" s="28"/>
      <c r="V438" s="28"/>
      <c r="W438" s="27"/>
      <c r="X438" s="32" t="str">
        <f aca="false">IF(A438="","",IF(OR(C438="Planned",C438="Contacted",C438="Meeting",C438="Proposal sent",C438="Negotiation"),"Yes","No"))</f>
        <v/>
      </c>
      <c r="Y438" s="32" t="str">
        <f aca="false">IF(A438="","",IF(AND(C438="Won",P438&lt;&gt;"",P438&lt;=S_Today+S_RenewalDays,COUNTIFS($A$3:$A$502,A438,$F$3:$F$502,"Yes",$X$3:$X$502,"Yes")=0),"Renewal due",IF(X438&lt;&gt;"Yes","",IF(OR(L438="",M438=""),"Missing next action",IF(M438&lt;S_Today,"Overdue",IF(AND(C438="Contacted",_xlfn.MAXIFS(Interactions!$A$3:$A$502,Interactions!$B$3:$B$502,A438,Interactions!$F$3:$F$502,"Sent by us")&gt;0,_xlfn.MAXIFS(Interactions!$A$3:$A$502,Interactions!$B$3:$B$502,A438,Interactions!$F$3:$F$502,"Sent by us")&lt;=S_Today-S_NoReplyDays,MAX(_xlfn.MAXIFS(Interactions!$A$3:$A$502,Interactions!$B$3:$B$502,A438,Interactions!$F$3:$F$502,"Received from them"),_xlfn.MAXIFS(Interactions!$A$3:$A$502,Interactions!$B$3:$B$502,A438,Interactions!$F$3:$F$502,"Two-way"))&lt;_xlfn.MAXIFS(Interactions!$A$3:$A$502,Interactions!$B$3:$B$502,A438,Interactions!$F$3:$F$502,"Sent by us")),"No reply",IF(M438&lt;=S_Today+7,"Due this week","")))))))</f>
        <v/>
      </c>
      <c r="Z438" s="34" t="str">
        <f aca="false">IF(OR(A438="",Y438=""),"",IF(Y438="Renewal due",100000,IF(Y438="Overdue",200000,IF(Y438="No reply",300000,IF(Y438="Due this week",400000,500000))))+IF(Y438="Renewal due",P438-40000,IF(Y438="Missing next action",0,M438-40000))+ROW()/100000)</f>
        <v/>
      </c>
      <c r="AA438" s="32" t="str">
        <f aca="false">IF(A438="","",_xlfn.TEXTJOIN(", ",TRUE(),IF(AND(X438="Yes",D438=""),"No owner",IF(AND(D438&lt;&gt;"",COUNTIFS(R_TeamName,D438,R_TeamActive,"No")&gt;0),"Needs new owner","")),IF(AND(OR(C438="Proposal sent",C438="Negotiation"),H438="",I438="",K438=""),"Add package or proposed value",""),IF(AND(C438="Won",OR(P438="",V438="")),"Won needs renewal date and closed on",""),IF(AND(C438="Won",G438="Cash",J438=""),"Add agreed value",""),IF(AND(C438="Lost",OR(S438="",V438="")),"Lost needs reason and closed on",""),IF(AND(C438="Nurture",OR(T438="",U438="")),"Nurture needs reason and date","")))</f>
        <v/>
      </c>
      <c r="AB438" s="34" t="str">
        <f aca="false">IF(AND(C438="Won",V438&lt;&gt;"",V438&gt;=S_SemStart,V438&lt;=S_SemEnd),V438+ROW()/100000,"")</f>
        <v/>
      </c>
      <c r="AC438" s="34" t="str">
        <f aca="false">IF(AND(C438="Lost",V438&lt;&gt;"",V438&gt;=S_SemStart,V438&lt;=S_SemEnd),V438+ROW()/100000,"")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9"/>
      <c r="J439" s="29"/>
      <c r="K439" s="27"/>
      <c r="L439" s="27"/>
      <c r="M439" s="28"/>
      <c r="N439" s="28"/>
      <c r="O439" s="28"/>
      <c r="P439" s="28"/>
      <c r="Q439" s="27"/>
      <c r="R439" s="27"/>
      <c r="S439" s="27"/>
      <c r="T439" s="27"/>
      <c r="U439" s="28"/>
      <c r="V439" s="28"/>
      <c r="W439" s="27"/>
      <c r="X439" s="32" t="str">
        <f aca="false">IF(A439="","",IF(OR(C439="Planned",C439="Contacted",C439="Meeting",C439="Proposal sent",C439="Negotiation"),"Yes","No"))</f>
        <v/>
      </c>
      <c r="Y439" s="32" t="str">
        <f aca="false">IF(A439="","",IF(AND(C439="Won",P439&lt;&gt;"",P439&lt;=S_Today+S_RenewalDays,COUNTIFS($A$3:$A$502,A439,$F$3:$F$502,"Yes",$X$3:$X$502,"Yes")=0),"Renewal due",IF(X439&lt;&gt;"Yes","",IF(OR(L439="",M439=""),"Missing next action",IF(M439&lt;S_Today,"Overdue",IF(AND(C439="Contacted",_xlfn.MAXIFS(Interactions!$A$3:$A$502,Interactions!$B$3:$B$502,A439,Interactions!$F$3:$F$502,"Sent by us")&gt;0,_xlfn.MAXIFS(Interactions!$A$3:$A$502,Interactions!$B$3:$B$502,A439,Interactions!$F$3:$F$502,"Sent by us")&lt;=S_Today-S_NoReplyDays,MAX(_xlfn.MAXIFS(Interactions!$A$3:$A$502,Interactions!$B$3:$B$502,A439,Interactions!$F$3:$F$502,"Received from them"),_xlfn.MAXIFS(Interactions!$A$3:$A$502,Interactions!$B$3:$B$502,A439,Interactions!$F$3:$F$502,"Two-way"))&lt;_xlfn.MAXIFS(Interactions!$A$3:$A$502,Interactions!$B$3:$B$502,A439,Interactions!$F$3:$F$502,"Sent by us")),"No reply",IF(M439&lt;=S_Today+7,"Due this week","")))))))</f>
        <v/>
      </c>
      <c r="Z439" s="34" t="str">
        <f aca="false">IF(OR(A439="",Y439=""),"",IF(Y439="Renewal due",100000,IF(Y439="Overdue",200000,IF(Y439="No reply",300000,IF(Y439="Due this week",400000,500000))))+IF(Y439="Renewal due",P439-40000,IF(Y439="Missing next action",0,M439-40000))+ROW()/100000)</f>
        <v/>
      </c>
      <c r="AA439" s="32" t="str">
        <f aca="false">IF(A439="","",_xlfn.TEXTJOIN(", ",TRUE(),IF(AND(X439="Yes",D439=""),"No owner",IF(AND(D439&lt;&gt;"",COUNTIFS(R_TeamName,D439,R_TeamActive,"No")&gt;0),"Needs new owner","")),IF(AND(OR(C439="Proposal sent",C439="Negotiation"),H439="",I439="",K439=""),"Add package or proposed value",""),IF(AND(C439="Won",OR(P439="",V439="")),"Won needs renewal date and closed on",""),IF(AND(C439="Won",G439="Cash",J439=""),"Add agreed value",""),IF(AND(C439="Lost",OR(S439="",V439="")),"Lost needs reason and closed on",""),IF(AND(C439="Nurture",OR(T439="",U439="")),"Nurture needs reason and date","")))</f>
        <v/>
      </c>
      <c r="AB439" s="34" t="str">
        <f aca="false">IF(AND(C439="Won",V439&lt;&gt;"",V439&gt;=S_SemStart,V439&lt;=S_SemEnd),V439+ROW()/100000,"")</f>
        <v/>
      </c>
      <c r="AC439" s="34" t="str">
        <f aca="false">IF(AND(C439="Lost",V439&lt;&gt;"",V439&gt;=S_SemStart,V439&lt;=S_SemEnd),V439+ROW()/100000,"")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9"/>
      <c r="J440" s="29"/>
      <c r="K440" s="27"/>
      <c r="L440" s="27"/>
      <c r="M440" s="28"/>
      <c r="N440" s="28"/>
      <c r="O440" s="28"/>
      <c r="P440" s="28"/>
      <c r="Q440" s="27"/>
      <c r="R440" s="27"/>
      <c r="S440" s="27"/>
      <c r="T440" s="27"/>
      <c r="U440" s="28"/>
      <c r="V440" s="28"/>
      <c r="W440" s="27"/>
      <c r="X440" s="32" t="str">
        <f aca="false">IF(A440="","",IF(OR(C440="Planned",C440="Contacted",C440="Meeting",C440="Proposal sent",C440="Negotiation"),"Yes","No"))</f>
        <v/>
      </c>
      <c r="Y440" s="32" t="str">
        <f aca="false">IF(A440="","",IF(AND(C440="Won",P440&lt;&gt;"",P440&lt;=S_Today+S_RenewalDays,COUNTIFS($A$3:$A$502,A440,$F$3:$F$502,"Yes",$X$3:$X$502,"Yes")=0),"Renewal due",IF(X440&lt;&gt;"Yes","",IF(OR(L440="",M440=""),"Missing next action",IF(M440&lt;S_Today,"Overdue",IF(AND(C440="Contacted",_xlfn.MAXIFS(Interactions!$A$3:$A$502,Interactions!$B$3:$B$502,A440,Interactions!$F$3:$F$502,"Sent by us")&gt;0,_xlfn.MAXIFS(Interactions!$A$3:$A$502,Interactions!$B$3:$B$502,A440,Interactions!$F$3:$F$502,"Sent by us")&lt;=S_Today-S_NoReplyDays,MAX(_xlfn.MAXIFS(Interactions!$A$3:$A$502,Interactions!$B$3:$B$502,A440,Interactions!$F$3:$F$502,"Received from them"),_xlfn.MAXIFS(Interactions!$A$3:$A$502,Interactions!$B$3:$B$502,A440,Interactions!$F$3:$F$502,"Two-way"))&lt;_xlfn.MAXIFS(Interactions!$A$3:$A$502,Interactions!$B$3:$B$502,A440,Interactions!$F$3:$F$502,"Sent by us")),"No reply",IF(M440&lt;=S_Today+7,"Due this week","")))))))</f>
        <v/>
      </c>
      <c r="Z440" s="34" t="str">
        <f aca="false">IF(OR(A440="",Y440=""),"",IF(Y440="Renewal due",100000,IF(Y440="Overdue",200000,IF(Y440="No reply",300000,IF(Y440="Due this week",400000,500000))))+IF(Y440="Renewal due",P440-40000,IF(Y440="Missing next action",0,M440-40000))+ROW()/100000)</f>
        <v/>
      </c>
      <c r="AA440" s="32" t="str">
        <f aca="false">IF(A440="","",_xlfn.TEXTJOIN(", ",TRUE(),IF(AND(X440="Yes",D440=""),"No owner",IF(AND(D440&lt;&gt;"",COUNTIFS(R_TeamName,D440,R_TeamActive,"No")&gt;0),"Needs new owner","")),IF(AND(OR(C440="Proposal sent",C440="Negotiation"),H440="",I440="",K440=""),"Add package or proposed value",""),IF(AND(C440="Won",OR(P440="",V440="")),"Won needs renewal date and closed on",""),IF(AND(C440="Won",G440="Cash",J440=""),"Add agreed value",""),IF(AND(C440="Lost",OR(S440="",V440="")),"Lost needs reason and closed on",""),IF(AND(C440="Nurture",OR(T440="",U440="")),"Nurture needs reason and date","")))</f>
        <v/>
      </c>
      <c r="AB440" s="34" t="str">
        <f aca="false">IF(AND(C440="Won",V440&lt;&gt;"",V440&gt;=S_SemStart,V440&lt;=S_SemEnd),V440+ROW()/100000,"")</f>
        <v/>
      </c>
      <c r="AC440" s="34" t="str">
        <f aca="false">IF(AND(C440="Lost",V440&lt;&gt;"",V440&gt;=S_SemStart,V440&lt;=S_SemEnd),V440+ROW()/100000,"")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9"/>
      <c r="J441" s="29"/>
      <c r="K441" s="27"/>
      <c r="L441" s="27"/>
      <c r="M441" s="28"/>
      <c r="N441" s="28"/>
      <c r="O441" s="28"/>
      <c r="P441" s="28"/>
      <c r="Q441" s="27"/>
      <c r="R441" s="27"/>
      <c r="S441" s="27"/>
      <c r="T441" s="27"/>
      <c r="U441" s="28"/>
      <c r="V441" s="28"/>
      <c r="W441" s="27"/>
      <c r="X441" s="32" t="str">
        <f aca="false">IF(A441="","",IF(OR(C441="Planned",C441="Contacted",C441="Meeting",C441="Proposal sent",C441="Negotiation"),"Yes","No"))</f>
        <v/>
      </c>
      <c r="Y441" s="32" t="str">
        <f aca="false">IF(A441="","",IF(AND(C441="Won",P441&lt;&gt;"",P441&lt;=S_Today+S_RenewalDays,COUNTIFS($A$3:$A$502,A441,$F$3:$F$502,"Yes",$X$3:$X$502,"Yes")=0),"Renewal due",IF(X441&lt;&gt;"Yes","",IF(OR(L441="",M441=""),"Missing next action",IF(M441&lt;S_Today,"Overdue",IF(AND(C441="Contacted",_xlfn.MAXIFS(Interactions!$A$3:$A$502,Interactions!$B$3:$B$502,A441,Interactions!$F$3:$F$502,"Sent by us")&gt;0,_xlfn.MAXIFS(Interactions!$A$3:$A$502,Interactions!$B$3:$B$502,A441,Interactions!$F$3:$F$502,"Sent by us")&lt;=S_Today-S_NoReplyDays,MAX(_xlfn.MAXIFS(Interactions!$A$3:$A$502,Interactions!$B$3:$B$502,A441,Interactions!$F$3:$F$502,"Received from them"),_xlfn.MAXIFS(Interactions!$A$3:$A$502,Interactions!$B$3:$B$502,A441,Interactions!$F$3:$F$502,"Two-way"))&lt;_xlfn.MAXIFS(Interactions!$A$3:$A$502,Interactions!$B$3:$B$502,A441,Interactions!$F$3:$F$502,"Sent by us")),"No reply",IF(M441&lt;=S_Today+7,"Due this week","")))))))</f>
        <v/>
      </c>
      <c r="Z441" s="34" t="str">
        <f aca="false">IF(OR(A441="",Y441=""),"",IF(Y441="Renewal due",100000,IF(Y441="Overdue",200000,IF(Y441="No reply",300000,IF(Y441="Due this week",400000,500000))))+IF(Y441="Renewal due",P441-40000,IF(Y441="Missing next action",0,M441-40000))+ROW()/100000)</f>
        <v/>
      </c>
      <c r="AA441" s="32" t="str">
        <f aca="false">IF(A441="","",_xlfn.TEXTJOIN(", ",TRUE(),IF(AND(X441="Yes",D441=""),"No owner",IF(AND(D441&lt;&gt;"",COUNTIFS(R_TeamName,D441,R_TeamActive,"No")&gt;0),"Needs new owner","")),IF(AND(OR(C441="Proposal sent",C441="Negotiation"),H441="",I441="",K441=""),"Add package or proposed value",""),IF(AND(C441="Won",OR(P441="",V441="")),"Won needs renewal date and closed on",""),IF(AND(C441="Won",G441="Cash",J441=""),"Add agreed value",""),IF(AND(C441="Lost",OR(S441="",V441="")),"Lost needs reason and closed on",""),IF(AND(C441="Nurture",OR(T441="",U441="")),"Nurture needs reason and date","")))</f>
        <v/>
      </c>
      <c r="AB441" s="34" t="str">
        <f aca="false">IF(AND(C441="Won",V441&lt;&gt;"",V441&gt;=S_SemStart,V441&lt;=S_SemEnd),V441+ROW()/100000,"")</f>
        <v/>
      </c>
      <c r="AC441" s="34" t="str">
        <f aca="false">IF(AND(C441="Lost",V441&lt;&gt;"",V441&gt;=S_SemStart,V441&lt;=S_SemEnd),V441+ROW()/100000,"")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9"/>
      <c r="J442" s="29"/>
      <c r="K442" s="27"/>
      <c r="L442" s="27"/>
      <c r="M442" s="28"/>
      <c r="N442" s="28"/>
      <c r="O442" s="28"/>
      <c r="P442" s="28"/>
      <c r="Q442" s="27"/>
      <c r="R442" s="27"/>
      <c r="S442" s="27"/>
      <c r="T442" s="27"/>
      <c r="U442" s="28"/>
      <c r="V442" s="28"/>
      <c r="W442" s="27"/>
      <c r="X442" s="32" t="str">
        <f aca="false">IF(A442="","",IF(OR(C442="Planned",C442="Contacted",C442="Meeting",C442="Proposal sent",C442="Negotiation"),"Yes","No"))</f>
        <v/>
      </c>
      <c r="Y442" s="32" t="str">
        <f aca="false">IF(A442="","",IF(AND(C442="Won",P442&lt;&gt;"",P442&lt;=S_Today+S_RenewalDays,COUNTIFS($A$3:$A$502,A442,$F$3:$F$502,"Yes",$X$3:$X$502,"Yes")=0),"Renewal due",IF(X442&lt;&gt;"Yes","",IF(OR(L442="",M442=""),"Missing next action",IF(M442&lt;S_Today,"Overdue",IF(AND(C442="Contacted",_xlfn.MAXIFS(Interactions!$A$3:$A$502,Interactions!$B$3:$B$502,A442,Interactions!$F$3:$F$502,"Sent by us")&gt;0,_xlfn.MAXIFS(Interactions!$A$3:$A$502,Interactions!$B$3:$B$502,A442,Interactions!$F$3:$F$502,"Sent by us")&lt;=S_Today-S_NoReplyDays,MAX(_xlfn.MAXIFS(Interactions!$A$3:$A$502,Interactions!$B$3:$B$502,A442,Interactions!$F$3:$F$502,"Received from them"),_xlfn.MAXIFS(Interactions!$A$3:$A$502,Interactions!$B$3:$B$502,A442,Interactions!$F$3:$F$502,"Two-way"))&lt;_xlfn.MAXIFS(Interactions!$A$3:$A$502,Interactions!$B$3:$B$502,A442,Interactions!$F$3:$F$502,"Sent by us")),"No reply",IF(M442&lt;=S_Today+7,"Due this week","")))))))</f>
        <v/>
      </c>
      <c r="Z442" s="34" t="str">
        <f aca="false">IF(OR(A442="",Y442=""),"",IF(Y442="Renewal due",100000,IF(Y442="Overdue",200000,IF(Y442="No reply",300000,IF(Y442="Due this week",400000,500000))))+IF(Y442="Renewal due",P442-40000,IF(Y442="Missing next action",0,M442-40000))+ROW()/100000)</f>
        <v/>
      </c>
      <c r="AA442" s="32" t="str">
        <f aca="false">IF(A442="","",_xlfn.TEXTJOIN(", ",TRUE(),IF(AND(X442="Yes",D442=""),"No owner",IF(AND(D442&lt;&gt;"",COUNTIFS(R_TeamName,D442,R_TeamActive,"No")&gt;0),"Needs new owner","")),IF(AND(OR(C442="Proposal sent",C442="Negotiation"),H442="",I442="",K442=""),"Add package or proposed value",""),IF(AND(C442="Won",OR(P442="",V442="")),"Won needs renewal date and closed on",""),IF(AND(C442="Won",G442="Cash",J442=""),"Add agreed value",""),IF(AND(C442="Lost",OR(S442="",V442="")),"Lost needs reason and closed on",""),IF(AND(C442="Nurture",OR(T442="",U442="")),"Nurture needs reason and date","")))</f>
        <v/>
      </c>
      <c r="AB442" s="34" t="str">
        <f aca="false">IF(AND(C442="Won",V442&lt;&gt;"",V442&gt;=S_SemStart,V442&lt;=S_SemEnd),V442+ROW()/100000,"")</f>
        <v/>
      </c>
      <c r="AC442" s="34" t="str">
        <f aca="false">IF(AND(C442="Lost",V442&lt;&gt;"",V442&gt;=S_SemStart,V442&lt;=S_SemEnd),V442+ROW()/100000,"")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9"/>
      <c r="J443" s="29"/>
      <c r="K443" s="27"/>
      <c r="L443" s="27"/>
      <c r="M443" s="28"/>
      <c r="N443" s="28"/>
      <c r="O443" s="28"/>
      <c r="P443" s="28"/>
      <c r="Q443" s="27"/>
      <c r="R443" s="27"/>
      <c r="S443" s="27"/>
      <c r="T443" s="27"/>
      <c r="U443" s="28"/>
      <c r="V443" s="28"/>
      <c r="W443" s="27"/>
      <c r="X443" s="32" t="str">
        <f aca="false">IF(A443="","",IF(OR(C443="Planned",C443="Contacted",C443="Meeting",C443="Proposal sent",C443="Negotiation"),"Yes","No"))</f>
        <v/>
      </c>
      <c r="Y443" s="32" t="str">
        <f aca="false">IF(A443="","",IF(AND(C443="Won",P443&lt;&gt;"",P443&lt;=S_Today+S_RenewalDays,COUNTIFS($A$3:$A$502,A443,$F$3:$F$502,"Yes",$X$3:$X$502,"Yes")=0),"Renewal due",IF(X443&lt;&gt;"Yes","",IF(OR(L443="",M443=""),"Missing next action",IF(M443&lt;S_Today,"Overdue",IF(AND(C443="Contacted",_xlfn.MAXIFS(Interactions!$A$3:$A$502,Interactions!$B$3:$B$502,A443,Interactions!$F$3:$F$502,"Sent by us")&gt;0,_xlfn.MAXIFS(Interactions!$A$3:$A$502,Interactions!$B$3:$B$502,A443,Interactions!$F$3:$F$502,"Sent by us")&lt;=S_Today-S_NoReplyDays,MAX(_xlfn.MAXIFS(Interactions!$A$3:$A$502,Interactions!$B$3:$B$502,A443,Interactions!$F$3:$F$502,"Received from them"),_xlfn.MAXIFS(Interactions!$A$3:$A$502,Interactions!$B$3:$B$502,A443,Interactions!$F$3:$F$502,"Two-way"))&lt;_xlfn.MAXIFS(Interactions!$A$3:$A$502,Interactions!$B$3:$B$502,A443,Interactions!$F$3:$F$502,"Sent by us")),"No reply",IF(M443&lt;=S_Today+7,"Due this week","")))))))</f>
        <v/>
      </c>
      <c r="Z443" s="34" t="str">
        <f aca="false">IF(OR(A443="",Y443=""),"",IF(Y443="Renewal due",100000,IF(Y443="Overdue",200000,IF(Y443="No reply",300000,IF(Y443="Due this week",400000,500000))))+IF(Y443="Renewal due",P443-40000,IF(Y443="Missing next action",0,M443-40000))+ROW()/100000)</f>
        <v/>
      </c>
      <c r="AA443" s="32" t="str">
        <f aca="false">IF(A443="","",_xlfn.TEXTJOIN(", ",TRUE(),IF(AND(X443="Yes",D443=""),"No owner",IF(AND(D443&lt;&gt;"",COUNTIFS(R_TeamName,D443,R_TeamActive,"No")&gt;0),"Needs new owner","")),IF(AND(OR(C443="Proposal sent",C443="Negotiation"),H443="",I443="",K443=""),"Add package or proposed value",""),IF(AND(C443="Won",OR(P443="",V443="")),"Won needs renewal date and closed on",""),IF(AND(C443="Won",G443="Cash",J443=""),"Add agreed value",""),IF(AND(C443="Lost",OR(S443="",V443="")),"Lost needs reason and closed on",""),IF(AND(C443="Nurture",OR(T443="",U443="")),"Nurture needs reason and date","")))</f>
        <v/>
      </c>
      <c r="AB443" s="34" t="str">
        <f aca="false">IF(AND(C443="Won",V443&lt;&gt;"",V443&gt;=S_SemStart,V443&lt;=S_SemEnd),V443+ROW()/100000,"")</f>
        <v/>
      </c>
      <c r="AC443" s="34" t="str">
        <f aca="false">IF(AND(C443="Lost",V443&lt;&gt;"",V443&gt;=S_SemStart,V443&lt;=S_SemEnd),V443+ROW()/100000,"")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9"/>
      <c r="J444" s="29"/>
      <c r="K444" s="27"/>
      <c r="L444" s="27"/>
      <c r="M444" s="28"/>
      <c r="N444" s="28"/>
      <c r="O444" s="28"/>
      <c r="P444" s="28"/>
      <c r="Q444" s="27"/>
      <c r="R444" s="27"/>
      <c r="S444" s="27"/>
      <c r="T444" s="27"/>
      <c r="U444" s="28"/>
      <c r="V444" s="28"/>
      <c r="W444" s="27"/>
      <c r="X444" s="32" t="str">
        <f aca="false">IF(A444="","",IF(OR(C444="Planned",C444="Contacted",C444="Meeting",C444="Proposal sent",C444="Negotiation"),"Yes","No"))</f>
        <v/>
      </c>
      <c r="Y444" s="32" t="str">
        <f aca="false">IF(A444="","",IF(AND(C444="Won",P444&lt;&gt;"",P444&lt;=S_Today+S_RenewalDays,COUNTIFS($A$3:$A$502,A444,$F$3:$F$502,"Yes",$X$3:$X$502,"Yes")=0),"Renewal due",IF(X444&lt;&gt;"Yes","",IF(OR(L444="",M444=""),"Missing next action",IF(M444&lt;S_Today,"Overdue",IF(AND(C444="Contacted",_xlfn.MAXIFS(Interactions!$A$3:$A$502,Interactions!$B$3:$B$502,A444,Interactions!$F$3:$F$502,"Sent by us")&gt;0,_xlfn.MAXIFS(Interactions!$A$3:$A$502,Interactions!$B$3:$B$502,A444,Interactions!$F$3:$F$502,"Sent by us")&lt;=S_Today-S_NoReplyDays,MAX(_xlfn.MAXIFS(Interactions!$A$3:$A$502,Interactions!$B$3:$B$502,A444,Interactions!$F$3:$F$502,"Received from them"),_xlfn.MAXIFS(Interactions!$A$3:$A$502,Interactions!$B$3:$B$502,A444,Interactions!$F$3:$F$502,"Two-way"))&lt;_xlfn.MAXIFS(Interactions!$A$3:$A$502,Interactions!$B$3:$B$502,A444,Interactions!$F$3:$F$502,"Sent by us")),"No reply",IF(M444&lt;=S_Today+7,"Due this week","")))))))</f>
        <v/>
      </c>
      <c r="Z444" s="34" t="str">
        <f aca="false">IF(OR(A444="",Y444=""),"",IF(Y444="Renewal due",100000,IF(Y444="Overdue",200000,IF(Y444="No reply",300000,IF(Y444="Due this week",400000,500000))))+IF(Y444="Renewal due",P444-40000,IF(Y444="Missing next action",0,M444-40000))+ROW()/100000)</f>
        <v/>
      </c>
      <c r="AA444" s="32" t="str">
        <f aca="false">IF(A444="","",_xlfn.TEXTJOIN(", ",TRUE(),IF(AND(X444="Yes",D444=""),"No owner",IF(AND(D444&lt;&gt;"",COUNTIFS(R_TeamName,D444,R_TeamActive,"No")&gt;0),"Needs new owner","")),IF(AND(OR(C444="Proposal sent",C444="Negotiation"),H444="",I444="",K444=""),"Add package or proposed value",""),IF(AND(C444="Won",OR(P444="",V444="")),"Won needs renewal date and closed on",""),IF(AND(C444="Won",G444="Cash",J444=""),"Add agreed value",""),IF(AND(C444="Lost",OR(S444="",V444="")),"Lost needs reason and closed on",""),IF(AND(C444="Nurture",OR(T444="",U444="")),"Nurture needs reason and date","")))</f>
        <v/>
      </c>
      <c r="AB444" s="34" t="str">
        <f aca="false">IF(AND(C444="Won",V444&lt;&gt;"",V444&gt;=S_SemStart,V444&lt;=S_SemEnd),V444+ROW()/100000,"")</f>
        <v/>
      </c>
      <c r="AC444" s="34" t="str">
        <f aca="false">IF(AND(C444="Lost",V444&lt;&gt;"",V444&gt;=S_SemStart,V444&lt;=S_SemEnd),V444+ROW()/100000,"")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9"/>
      <c r="J445" s="29"/>
      <c r="K445" s="27"/>
      <c r="L445" s="27"/>
      <c r="M445" s="28"/>
      <c r="N445" s="28"/>
      <c r="O445" s="28"/>
      <c r="P445" s="28"/>
      <c r="Q445" s="27"/>
      <c r="R445" s="27"/>
      <c r="S445" s="27"/>
      <c r="T445" s="27"/>
      <c r="U445" s="28"/>
      <c r="V445" s="28"/>
      <c r="W445" s="27"/>
      <c r="X445" s="32" t="str">
        <f aca="false">IF(A445="","",IF(OR(C445="Planned",C445="Contacted",C445="Meeting",C445="Proposal sent",C445="Negotiation"),"Yes","No"))</f>
        <v/>
      </c>
      <c r="Y445" s="32" t="str">
        <f aca="false">IF(A445="","",IF(AND(C445="Won",P445&lt;&gt;"",P445&lt;=S_Today+S_RenewalDays,COUNTIFS($A$3:$A$502,A445,$F$3:$F$502,"Yes",$X$3:$X$502,"Yes")=0),"Renewal due",IF(X445&lt;&gt;"Yes","",IF(OR(L445="",M445=""),"Missing next action",IF(M445&lt;S_Today,"Overdue",IF(AND(C445="Contacted",_xlfn.MAXIFS(Interactions!$A$3:$A$502,Interactions!$B$3:$B$502,A445,Interactions!$F$3:$F$502,"Sent by us")&gt;0,_xlfn.MAXIFS(Interactions!$A$3:$A$502,Interactions!$B$3:$B$502,A445,Interactions!$F$3:$F$502,"Sent by us")&lt;=S_Today-S_NoReplyDays,MAX(_xlfn.MAXIFS(Interactions!$A$3:$A$502,Interactions!$B$3:$B$502,A445,Interactions!$F$3:$F$502,"Received from them"),_xlfn.MAXIFS(Interactions!$A$3:$A$502,Interactions!$B$3:$B$502,A445,Interactions!$F$3:$F$502,"Two-way"))&lt;_xlfn.MAXIFS(Interactions!$A$3:$A$502,Interactions!$B$3:$B$502,A445,Interactions!$F$3:$F$502,"Sent by us")),"No reply",IF(M445&lt;=S_Today+7,"Due this week","")))))))</f>
        <v/>
      </c>
      <c r="Z445" s="34" t="str">
        <f aca="false">IF(OR(A445="",Y445=""),"",IF(Y445="Renewal due",100000,IF(Y445="Overdue",200000,IF(Y445="No reply",300000,IF(Y445="Due this week",400000,500000))))+IF(Y445="Renewal due",P445-40000,IF(Y445="Missing next action",0,M445-40000))+ROW()/100000)</f>
        <v/>
      </c>
      <c r="AA445" s="32" t="str">
        <f aca="false">IF(A445="","",_xlfn.TEXTJOIN(", ",TRUE(),IF(AND(X445="Yes",D445=""),"No owner",IF(AND(D445&lt;&gt;"",COUNTIFS(R_TeamName,D445,R_TeamActive,"No")&gt;0),"Needs new owner","")),IF(AND(OR(C445="Proposal sent",C445="Negotiation"),H445="",I445="",K445=""),"Add package or proposed value",""),IF(AND(C445="Won",OR(P445="",V445="")),"Won needs renewal date and closed on",""),IF(AND(C445="Won",G445="Cash",J445=""),"Add agreed value",""),IF(AND(C445="Lost",OR(S445="",V445="")),"Lost needs reason and closed on",""),IF(AND(C445="Nurture",OR(T445="",U445="")),"Nurture needs reason and date","")))</f>
        <v/>
      </c>
      <c r="AB445" s="34" t="str">
        <f aca="false">IF(AND(C445="Won",V445&lt;&gt;"",V445&gt;=S_SemStart,V445&lt;=S_SemEnd),V445+ROW()/100000,"")</f>
        <v/>
      </c>
      <c r="AC445" s="34" t="str">
        <f aca="false">IF(AND(C445="Lost",V445&lt;&gt;"",V445&gt;=S_SemStart,V445&lt;=S_SemEnd),V445+ROW()/100000,"")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9"/>
      <c r="J446" s="29"/>
      <c r="K446" s="27"/>
      <c r="L446" s="27"/>
      <c r="M446" s="28"/>
      <c r="N446" s="28"/>
      <c r="O446" s="28"/>
      <c r="P446" s="28"/>
      <c r="Q446" s="27"/>
      <c r="R446" s="27"/>
      <c r="S446" s="27"/>
      <c r="T446" s="27"/>
      <c r="U446" s="28"/>
      <c r="V446" s="28"/>
      <c r="W446" s="27"/>
      <c r="X446" s="32" t="str">
        <f aca="false">IF(A446="","",IF(OR(C446="Planned",C446="Contacted",C446="Meeting",C446="Proposal sent",C446="Negotiation"),"Yes","No"))</f>
        <v/>
      </c>
      <c r="Y446" s="32" t="str">
        <f aca="false">IF(A446="","",IF(AND(C446="Won",P446&lt;&gt;"",P446&lt;=S_Today+S_RenewalDays,COUNTIFS($A$3:$A$502,A446,$F$3:$F$502,"Yes",$X$3:$X$502,"Yes")=0),"Renewal due",IF(X446&lt;&gt;"Yes","",IF(OR(L446="",M446=""),"Missing next action",IF(M446&lt;S_Today,"Overdue",IF(AND(C446="Contacted",_xlfn.MAXIFS(Interactions!$A$3:$A$502,Interactions!$B$3:$B$502,A446,Interactions!$F$3:$F$502,"Sent by us")&gt;0,_xlfn.MAXIFS(Interactions!$A$3:$A$502,Interactions!$B$3:$B$502,A446,Interactions!$F$3:$F$502,"Sent by us")&lt;=S_Today-S_NoReplyDays,MAX(_xlfn.MAXIFS(Interactions!$A$3:$A$502,Interactions!$B$3:$B$502,A446,Interactions!$F$3:$F$502,"Received from them"),_xlfn.MAXIFS(Interactions!$A$3:$A$502,Interactions!$B$3:$B$502,A446,Interactions!$F$3:$F$502,"Two-way"))&lt;_xlfn.MAXIFS(Interactions!$A$3:$A$502,Interactions!$B$3:$B$502,A446,Interactions!$F$3:$F$502,"Sent by us")),"No reply",IF(M446&lt;=S_Today+7,"Due this week","")))))))</f>
        <v/>
      </c>
      <c r="Z446" s="34" t="str">
        <f aca="false">IF(OR(A446="",Y446=""),"",IF(Y446="Renewal due",100000,IF(Y446="Overdue",200000,IF(Y446="No reply",300000,IF(Y446="Due this week",400000,500000))))+IF(Y446="Renewal due",P446-40000,IF(Y446="Missing next action",0,M446-40000))+ROW()/100000)</f>
        <v/>
      </c>
      <c r="AA446" s="32" t="str">
        <f aca="false">IF(A446="","",_xlfn.TEXTJOIN(", ",TRUE(),IF(AND(X446="Yes",D446=""),"No owner",IF(AND(D446&lt;&gt;"",COUNTIFS(R_TeamName,D446,R_TeamActive,"No")&gt;0),"Needs new owner","")),IF(AND(OR(C446="Proposal sent",C446="Negotiation"),H446="",I446="",K446=""),"Add package or proposed value",""),IF(AND(C446="Won",OR(P446="",V446="")),"Won needs renewal date and closed on",""),IF(AND(C446="Won",G446="Cash",J446=""),"Add agreed value",""),IF(AND(C446="Lost",OR(S446="",V446="")),"Lost needs reason and closed on",""),IF(AND(C446="Nurture",OR(T446="",U446="")),"Nurture needs reason and date","")))</f>
        <v/>
      </c>
      <c r="AB446" s="34" t="str">
        <f aca="false">IF(AND(C446="Won",V446&lt;&gt;"",V446&gt;=S_SemStart,V446&lt;=S_SemEnd),V446+ROW()/100000,"")</f>
        <v/>
      </c>
      <c r="AC446" s="34" t="str">
        <f aca="false">IF(AND(C446="Lost",V446&lt;&gt;"",V446&gt;=S_SemStart,V446&lt;=S_SemEnd),V446+ROW()/100000,"")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9"/>
      <c r="J447" s="29"/>
      <c r="K447" s="27"/>
      <c r="L447" s="27"/>
      <c r="M447" s="28"/>
      <c r="N447" s="28"/>
      <c r="O447" s="28"/>
      <c r="P447" s="28"/>
      <c r="Q447" s="27"/>
      <c r="R447" s="27"/>
      <c r="S447" s="27"/>
      <c r="T447" s="27"/>
      <c r="U447" s="28"/>
      <c r="V447" s="28"/>
      <c r="W447" s="27"/>
      <c r="X447" s="32" t="str">
        <f aca="false">IF(A447="","",IF(OR(C447="Planned",C447="Contacted",C447="Meeting",C447="Proposal sent",C447="Negotiation"),"Yes","No"))</f>
        <v/>
      </c>
      <c r="Y447" s="32" t="str">
        <f aca="false">IF(A447="","",IF(AND(C447="Won",P447&lt;&gt;"",P447&lt;=S_Today+S_RenewalDays,COUNTIFS($A$3:$A$502,A447,$F$3:$F$502,"Yes",$X$3:$X$502,"Yes")=0),"Renewal due",IF(X447&lt;&gt;"Yes","",IF(OR(L447="",M447=""),"Missing next action",IF(M447&lt;S_Today,"Overdue",IF(AND(C447="Contacted",_xlfn.MAXIFS(Interactions!$A$3:$A$502,Interactions!$B$3:$B$502,A447,Interactions!$F$3:$F$502,"Sent by us")&gt;0,_xlfn.MAXIFS(Interactions!$A$3:$A$502,Interactions!$B$3:$B$502,A447,Interactions!$F$3:$F$502,"Sent by us")&lt;=S_Today-S_NoReplyDays,MAX(_xlfn.MAXIFS(Interactions!$A$3:$A$502,Interactions!$B$3:$B$502,A447,Interactions!$F$3:$F$502,"Received from them"),_xlfn.MAXIFS(Interactions!$A$3:$A$502,Interactions!$B$3:$B$502,A447,Interactions!$F$3:$F$502,"Two-way"))&lt;_xlfn.MAXIFS(Interactions!$A$3:$A$502,Interactions!$B$3:$B$502,A447,Interactions!$F$3:$F$502,"Sent by us")),"No reply",IF(M447&lt;=S_Today+7,"Due this week","")))))))</f>
        <v/>
      </c>
      <c r="Z447" s="34" t="str">
        <f aca="false">IF(OR(A447="",Y447=""),"",IF(Y447="Renewal due",100000,IF(Y447="Overdue",200000,IF(Y447="No reply",300000,IF(Y447="Due this week",400000,500000))))+IF(Y447="Renewal due",P447-40000,IF(Y447="Missing next action",0,M447-40000))+ROW()/100000)</f>
        <v/>
      </c>
      <c r="AA447" s="32" t="str">
        <f aca="false">IF(A447="","",_xlfn.TEXTJOIN(", ",TRUE(),IF(AND(X447="Yes",D447=""),"No owner",IF(AND(D447&lt;&gt;"",COUNTIFS(R_TeamName,D447,R_TeamActive,"No")&gt;0),"Needs new owner","")),IF(AND(OR(C447="Proposal sent",C447="Negotiation"),H447="",I447="",K447=""),"Add package or proposed value",""),IF(AND(C447="Won",OR(P447="",V447="")),"Won needs renewal date and closed on",""),IF(AND(C447="Won",G447="Cash",J447=""),"Add agreed value",""),IF(AND(C447="Lost",OR(S447="",V447="")),"Lost needs reason and closed on",""),IF(AND(C447="Nurture",OR(T447="",U447="")),"Nurture needs reason and date","")))</f>
        <v/>
      </c>
      <c r="AB447" s="34" t="str">
        <f aca="false">IF(AND(C447="Won",V447&lt;&gt;"",V447&gt;=S_SemStart,V447&lt;=S_SemEnd),V447+ROW()/100000,"")</f>
        <v/>
      </c>
      <c r="AC447" s="34" t="str">
        <f aca="false">IF(AND(C447="Lost",V447&lt;&gt;"",V447&gt;=S_SemStart,V447&lt;=S_SemEnd),V447+ROW()/100000,"")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9"/>
      <c r="J448" s="29"/>
      <c r="K448" s="27"/>
      <c r="L448" s="27"/>
      <c r="M448" s="28"/>
      <c r="N448" s="28"/>
      <c r="O448" s="28"/>
      <c r="P448" s="28"/>
      <c r="Q448" s="27"/>
      <c r="R448" s="27"/>
      <c r="S448" s="27"/>
      <c r="T448" s="27"/>
      <c r="U448" s="28"/>
      <c r="V448" s="28"/>
      <c r="W448" s="27"/>
      <c r="X448" s="32" t="str">
        <f aca="false">IF(A448="","",IF(OR(C448="Planned",C448="Contacted",C448="Meeting",C448="Proposal sent",C448="Negotiation"),"Yes","No"))</f>
        <v/>
      </c>
      <c r="Y448" s="32" t="str">
        <f aca="false">IF(A448="","",IF(AND(C448="Won",P448&lt;&gt;"",P448&lt;=S_Today+S_RenewalDays,COUNTIFS($A$3:$A$502,A448,$F$3:$F$502,"Yes",$X$3:$X$502,"Yes")=0),"Renewal due",IF(X448&lt;&gt;"Yes","",IF(OR(L448="",M448=""),"Missing next action",IF(M448&lt;S_Today,"Overdue",IF(AND(C448="Contacted",_xlfn.MAXIFS(Interactions!$A$3:$A$502,Interactions!$B$3:$B$502,A448,Interactions!$F$3:$F$502,"Sent by us")&gt;0,_xlfn.MAXIFS(Interactions!$A$3:$A$502,Interactions!$B$3:$B$502,A448,Interactions!$F$3:$F$502,"Sent by us")&lt;=S_Today-S_NoReplyDays,MAX(_xlfn.MAXIFS(Interactions!$A$3:$A$502,Interactions!$B$3:$B$502,A448,Interactions!$F$3:$F$502,"Received from them"),_xlfn.MAXIFS(Interactions!$A$3:$A$502,Interactions!$B$3:$B$502,A448,Interactions!$F$3:$F$502,"Two-way"))&lt;_xlfn.MAXIFS(Interactions!$A$3:$A$502,Interactions!$B$3:$B$502,A448,Interactions!$F$3:$F$502,"Sent by us")),"No reply",IF(M448&lt;=S_Today+7,"Due this week","")))))))</f>
        <v/>
      </c>
      <c r="Z448" s="34" t="str">
        <f aca="false">IF(OR(A448="",Y448=""),"",IF(Y448="Renewal due",100000,IF(Y448="Overdue",200000,IF(Y448="No reply",300000,IF(Y448="Due this week",400000,500000))))+IF(Y448="Renewal due",P448-40000,IF(Y448="Missing next action",0,M448-40000))+ROW()/100000)</f>
        <v/>
      </c>
      <c r="AA448" s="32" t="str">
        <f aca="false">IF(A448="","",_xlfn.TEXTJOIN(", ",TRUE(),IF(AND(X448="Yes",D448=""),"No owner",IF(AND(D448&lt;&gt;"",COUNTIFS(R_TeamName,D448,R_TeamActive,"No")&gt;0),"Needs new owner","")),IF(AND(OR(C448="Proposal sent",C448="Negotiation"),H448="",I448="",K448=""),"Add package or proposed value",""),IF(AND(C448="Won",OR(P448="",V448="")),"Won needs renewal date and closed on",""),IF(AND(C448="Won",G448="Cash",J448=""),"Add agreed value",""),IF(AND(C448="Lost",OR(S448="",V448="")),"Lost needs reason and closed on",""),IF(AND(C448="Nurture",OR(T448="",U448="")),"Nurture needs reason and date","")))</f>
        <v/>
      </c>
      <c r="AB448" s="34" t="str">
        <f aca="false">IF(AND(C448="Won",V448&lt;&gt;"",V448&gt;=S_SemStart,V448&lt;=S_SemEnd),V448+ROW()/100000,"")</f>
        <v/>
      </c>
      <c r="AC448" s="34" t="str">
        <f aca="false">IF(AND(C448="Lost",V448&lt;&gt;"",V448&gt;=S_SemStart,V448&lt;=S_SemEnd),V448+ROW()/100000,"")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9"/>
      <c r="J449" s="29"/>
      <c r="K449" s="27"/>
      <c r="L449" s="27"/>
      <c r="M449" s="28"/>
      <c r="N449" s="28"/>
      <c r="O449" s="28"/>
      <c r="P449" s="28"/>
      <c r="Q449" s="27"/>
      <c r="R449" s="27"/>
      <c r="S449" s="27"/>
      <c r="T449" s="27"/>
      <c r="U449" s="28"/>
      <c r="V449" s="28"/>
      <c r="W449" s="27"/>
      <c r="X449" s="32" t="str">
        <f aca="false">IF(A449="","",IF(OR(C449="Planned",C449="Contacted",C449="Meeting",C449="Proposal sent",C449="Negotiation"),"Yes","No"))</f>
        <v/>
      </c>
      <c r="Y449" s="32" t="str">
        <f aca="false">IF(A449="","",IF(AND(C449="Won",P449&lt;&gt;"",P449&lt;=S_Today+S_RenewalDays,COUNTIFS($A$3:$A$502,A449,$F$3:$F$502,"Yes",$X$3:$X$502,"Yes")=0),"Renewal due",IF(X449&lt;&gt;"Yes","",IF(OR(L449="",M449=""),"Missing next action",IF(M449&lt;S_Today,"Overdue",IF(AND(C449="Contacted",_xlfn.MAXIFS(Interactions!$A$3:$A$502,Interactions!$B$3:$B$502,A449,Interactions!$F$3:$F$502,"Sent by us")&gt;0,_xlfn.MAXIFS(Interactions!$A$3:$A$502,Interactions!$B$3:$B$502,A449,Interactions!$F$3:$F$502,"Sent by us")&lt;=S_Today-S_NoReplyDays,MAX(_xlfn.MAXIFS(Interactions!$A$3:$A$502,Interactions!$B$3:$B$502,A449,Interactions!$F$3:$F$502,"Received from them"),_xlfn.MAXIFS(Interactions!$A$3:$A$502,Interactions!$B$3:$B$502,A449,Interactions!$F$3:$F$502,"Two-way"))&lt;_xlfn.MAXIFS(Interactions!$A$3:$A$502,Interactions!$B$3:$B$502,A449,Interactions!$F$3:$F$502,"Sent by us")),"No reply",IF(M449&lt;=S_Today+7,"Due this week","")))))))</f>
        <v/>
      </c>
      <c r="Z449" s="34" t="str">
        <f aca="false">IF(OR(A449="",Y449=""),"",IF(Y449="Renewal due",100000,IF(Y449="Overdue",200000,IF(Y449="No reply",300000,IF(Y449="Due this week",400000,500000))))+IF(Y449="Renewal due",P449-40000,IF(Y449="Missing next action",0,M449-40000))+ROW()/100000)</f>
        <v/>
      </c>
      <c r="AA449" s="32" t="str">
        <f aca="false">IF(A449="","",_xlfn.TEXTJOIN(", ",TRUE(),IF(AND(X449="Yes",D449=""),"No owner",IF(AND(D449&lt;&gt;"",COUNTIFS(R_TeamName,D449,R_TeamActive,"No")&gt;0),"Needs new owner","")),IF(AND(OR(C449="Proposal sent",C449="Negotiation"),H449="",I449="",K449=""),"Add package or proposed value",""),IF(AND(C449="Won",OR(P449="",V449="")),"Won needs renewal date and closed on",""),IF(AND(C449="Won",G449="Cash",J449=""),"Add agreed value",""),IF(AND(C449="Lost",OR(S449="",V449="")),"Lost needs reason and closed on",""),IF(AND(C449="Nurture",OR(T449="",U449="")),"Nurture needs reason and date","")))</f>
        <v/>
      </c>
      <c r="AB449" s="34" t="str">
        <f aca="false">IF(AND(C449="Won",V449&lt;&gt;"",V449&gt;=S_SemStart,V449&lt;=S_SemEnd),V449+ROW()/100000,"")</f>
        <v/>
      </c>
      <c r="AC449" s="34" t="str">
        <f aca="false">IF(AND(C449="Lost",V449&lt;&gt;"",V449&gt;=S_SemStart,V449&lt;=S_SemEnd),V449+ROW()/100000,"")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9"/>
      <c r="J450" s="29"/>
      <c r="K450" s="27"/>
      <c r="L450" s="27"/>
      <c r="M450" s="28"/>
      <c r="N450" s="28"/>
      <c r="O450" s="28"/>
      <c r="P450" s="28"/>
      <c r="Q450" s="27"/>
      <c r="R450" s="27"/>
      <c r="S450" s="27"/>
      <c r="T450" s="27"/>
      <c r="U450" s="28"/>
      <c r="V450" s="28"/>
      <c r="W450" s="27"/>
      <c r="X450" s="32" t="str">
        <f aca="false">IF(A450="","",IF(OR(C450="Planned",C450="Contacted",C450="Meeting",C450="Proposal sent",C450="Negotiation"),"Yes","No"))</f>
        <v/>
      </c>
      <c r="Y450" s="32" t="str">
        <f aca="false">IF(A450="","",IF(AND(C450="Won",P450&lt;&gt;"",P450&lt;=S_Today+S_RenewalDays,COUNTIFS($A$3:$A$502,A450,$F$3:$F$502,"Yes",$X$3:$X$502,"Yes")=0),"Renewal due",IF(X450&lt;&gt;"Yes","",IF(OR(L450="",M450=""),"Missing next action",IF(M450&lt;S_Today,"Overdue",IF(AND(C450="Contacted",_xlfn.MAXIFS(Interactions!$A$3:$A$502,Interactions!$B$3:$B$502,A450,Interactions!$F$3:$F$502,"Sent by us")&gt;0,_xlfn.MAXIFS(Interactions!$A$3:$A$502,Interactions!$B$3:$B$502,A450,Interactions!$F$3:$F$502,"Sent by us")&lt;=S_Today-S_NoReplyDays,MAX(_xlfn.MAXIFS(Interactions!$A$3:$A$502,Interactions!$B$3:$B$502,A450,Interactions!$F$3:$F$502,"Received from them"),_xlfn.MAXIFS(Interactions!$A$3:$A$502,Interactions!$B$3:$B$502,A450,Interactions!$F$3:$F$502,"Two-way"))&lt;_xlfn.MAXIFS(Interactions!$A$3:$A$502,Interactions!$B$3:$B$502,A450,Interactions!$F$3:$F$502,"Sent by us")),"No reply",IF(M450&lt;=S_Today+7,"Due this week","")))))))</f>
        <v/>
      </c>
      <c r="Z450" s="34" t="str">
        <f aca="false">IF(OR(A450="",Y450=""),"",IF(Y450="Renewal due",100000,IF(Y450="Overdue",200000,IF(Y450="No reply",300000,IF(Y450="Due this week",400000,500000))))+IF(Y450="Renewal due",P450-40000,IF(Y450="Missing next action",0,M450-40000))+ROW()/100000)</f>
        <v/>
      </c>
      <c r="AA450" s="32" t="str">
        <f aca="false">IF(A450="","",_xlfn.TEXTJOIN(", ",TRUE(),IF(AND(X450="Yes",D450=""),"No owner",IF(AND(D450&lt;&gt;"",COUNTIFS(R_TeamName,D450,R_TeamActive,"No")&gt;0),"Needs new owner","")),IF(AND(OR(C450="Proposal sent",C450="Negotiation"),H450="",I450="",K450=""),"Add package or proposed value",""),IF(AND(C450="Won",OR(P450="",V450="")),"Won needs renewal date and closed on",""),IF(AND(C450="Won",G450="Cash",J450=""),"Add agreed value",""),IF(AND(C450="Lost",OR(S450="",V450="")),"Lost needs reason and closed on",""),IF(AND(C450="Nurture",OR(T450="",U450="")),"Nurture needs reason and date","")))</f>
        <v/>
      </c>
      <c r="AB450" s="34" t="str">
        <f aca="false">IF(AND(C450="Won",V450&lt;&gt;"",V450&gt;=S_SemStart,V450&lt;=S_SemEnd),V450+ROW()/100000,"")</f>
        <v/>
      </c>
      <c r="AC450" s="34" t="str">
        <f aca="false">IF(AND(C450="Lost",V450&lt;&gt;"",V450&gt;=S_SemStart,V450&lt;=S_SemEnd),V450+ROW()/100000,"")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9"/>
      <c r="J451" s="29"/>
      <c r="K451" s="27"/>
      <c r="L451" s="27"/>
      <c r="M451" s="28"/>
      <c r="N451" s="28"/>
      <c r="O451" s="28"/>
      <c r="P451" s="28"/>
      <c r="Q451" s="27"/>
      <c r="R451" s="27"/>
      <c r="S451" s="27"/>
      <c r="T451" s="27"/>
      <c r="U451" s="28"/>
      <c r="V451" s="28"/>
      <c r="W451" s="27"/>
      <c r="X451" s="32" t="str">
        <f aca="false">IF(A451="","",IF(OR(C451="Planned",C451="Contacted",C451="Meeting",C451="Proposal sent",C451="Negotiation"),"Yes","No"))</f>
        <v/>
      </c>
      <c r="Y451" s="32" t="str">
        <f aca="false">IF(A451="","",IF(AND(C451="Won",P451&lt;&gt;"",P451&lt;=S_Today+S_RenewalDays,COUNTIFS($A$3:$A$502,A451,$F$3:$F$502,"Yes",$X$3:$X$502,"Yes")=0),"Renewal due",IF(X451&lt;&gt;"Yes","",IF(OR(L451="",M451=""),"Missing next action",IF(M451&lt;S_Today,"Overdue",IF(AND(C451="Contacted",_xlfn.MAXIFS(Interactions!$A$3:$A$502,Interactions!$B$3:$B$502,A451,Interactions!$F$3:$F$502,"Sent by us")&gt;0,_xlfn.MAXIFS(Interactions!$A$3:$A$502,Interactions!$B$3:$B$502,A451,Interactions!$F$3:$F$502,"Sent by us")&lt;=S_Today-S_NoReplyDays,MAX(_xlfn.MAXIFS(Interactions!$A$3:$A$502,Interactions!$B$3:$B$502,A451,Interactions!$F$3:$F$502,"Received from them"),_xlfn.MAXIFS(Interactions!$A$3:$A$502,Interactions!$B$3:$B$502,A451,Interactions!$F$3:$F$502,"Two-way"))&lt;_xlfn.MAXIFS(Interactions!$A$3:$A$502,Interactions!$B$3:$B$502,A451,Interactions!$F$3:$F$502,"Sent by us")),"No reply",IF(M451&lt;=S_Today+7,"Due this week","")))))))</f>
        <v/>
      </c>
      <c r="Z451" s="34" t="str">
        <f aca="false">IF(OR(A451="",Y451=""),"",IF(Y451="Renewal due",100000,IF(Y451="Overdue",200000,IF(Y451="No reply",300000,IF(Y451="Due this week",400000,500000))))+IF(Y451="Renewal due",P451-40000,IF(Y451="Missing next action",0,M451-40000))+ROW()/100000)</f>
        <v/>
      </c>
      <c r="AA451" s="32" t="str">
        <f aca="false">IF(A451="","",_xlfn.TEXTJOIN(", ",TRUE(),IF(AND(X451="Yes",D451=""),"No owner",IF(AND(D451&lt;&gt;"",COUNTIFS(R_TeamName,D451,R_TeamActive,"No")&gt;0),"Needs new owner","")),IF(AND(OR(C451="Proposal sent",C451="Negotiation"),H451="",I451="",K451=""),"Add package or proposed value",""),IF(AND(C451="Won",OR(P451="",V451="")),"Won needs renewal date and closed on",""),IF(AND(C451="Won",G451="Cash",J451=""),"Add agreed value",""),IF(AND(C451="Lost",OR(S451="",V451="")),"Lost needs reason and closed on",""),IF(AND(C451="Nurture",OR(T451="",U451="")),"Nurture needs reason and date","")))</f>
        <v/>
      </c>
      <c r="AB451" s="34" t="str">
        <f aca="false">IF(AND(C451="Won",V451&lt;&gt;"",V451&gt;=S_SemStart,V451&lt;=S_SemEnd),V451+ROW()/100000,"")</f>
        <v/>
      </c>
      <c r="AC451" s="34" t="str">
        <f aca="false">IF(AND(C451="Lost",V451&lt;&gt;"",V451&gt;=S_SemStart,V451&lt;=S_SemEnd),V451+ROW()/100000,"")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9"/>
      <c r="J452" s="29"/>
      <c r="K452" s="27"/>
      <c r="L452" s="27"/>
      <c r="M452" s="28"/>
      <c r="N452" s="28"/>
      <c r="O452" s="28"/>
      <c r="P452" s="28"/>
      <c r="Q452" s="27"/>
      <c r="R452" s="27"/>
      <c r="S452" s="27"/>
      <c r="T452" s="27"/>
      <c r="U452" s="28"/>
      <c r="V452" s="28"/>
      <c r="W452" s="27"/>
      <c r="X452" s="32" t="str">
        <f aca="false">IF(A452="","",IF(OR(C452="Planned",C452="Contacted",C452="Meeting",C452="Proposal sent",C452="Negotiation"),"Yes","No"))</f>
        <v/>
      </c>
      <c r="Y452" s="32" t="str">
        <f aca="false">IF(A452="","",IF(AND(C452="Won",P452&lt;&gt;"",P452&lt;=S_Today+S_RenewalDays,COUNTIFS($A$3:$A$502,A452,$F$3:$F$502,"Yes",$X$3:$X$502,"Yes")=0),"Renewal due",IF(X452&lt;&gt;"Yes","",IF(OR(L452="",M452=""),"Missing next action",IF(M452&lt;S_Today,"Overdue",IF(AND(C452="Contacted",_xlfn.MAXIFS(Interactions!$A$3:$A$502,Interactions!$B$3:$B$502,A452,Interactions!$F$3:$F$502,"Sent by us")&gt;0,_xlfn.MAXIFS(Interactions!$A$3:$A$502,Interactions!$B$3:$B$502,A452,Interactions!$F$3:$F$502,"Sent by us")&lt;=S_Today-S_NoReplyDays,MAX(_xlfn.MAXIFS(Interactions!$A$3:$A$502,Interactions!$B$3:$B$502,A452,Interactions!$F$3:$F$502,"Received from them"),_xlfn.MAXIFS(Interactions!$A$3:$A$502,Interactions!$B$3:$B$502,A452,Interactions!$F$3:$F$502,"Two-way"))&lt;_xlfn.MAXIFS(Interactions!$A$3:$A$502,Interactions!$B$3:$B$502,A452,Interactions!$F$3:$F$502,"Sent by us")),"No reply",IF(M452&lt;=S_Today+7,"Due this week","")))))))</f>
        <v/>
      </c>
      <c r="Z452" s="34" t="str">
        <f aca="false">IF(OR(A452="",Y452=""),"",IF(Y452="Renewal due",100000,IF(Y452="Overdue",200000,IF(Y452="No reply",300000,IF(Y452="Due this week",400000,500000))))+IF(Y452="Renewal due",P452-40000,IF(Y452="Missing next action",0,M452-40000))+ROW()/100000)</f>
        <v/>
      </c>
      <c r="AA452" s="32" t="str">
        <f aca="false">IF(A452="","",_xlfn.TEXTJOIN(", ",TRUE(),IF(AND(X452="Yes",D452=""),"No owner",IF(AND(D452&lt;&gt;"",COUNTIFS(R_TeamName,D452,R_TeamActive,"No")&gt;0),"Needs new owner","")),IF(AND(OR(C452="Proposal sent",C452="Negotiation"),H452="",I452="",K452=""),"Add package or proposed value",""),IF(AND(C452="Won",OR(P452="",V452="")),"Won needs renewal date and closed on",""),IF(AND(C452="Won",G452="Cash",J452=""),"Add agreed value",""),IF(AND(C452="Lost",OR(S452="",V452="")),"Lost needs reason and closed on",""),IF(AND(C452="Nurture",OR(T452="",U452="")),"Nurture needs reason and date","")))</f>
        <v/>
      </c>
      <c r="AB452" s="34" t="str">
        <f aca="false">IF(AND(C452="Won",V452&lt;&gt;"",V452&gt;=S_SemStart,V452&lt;=S_SemEnd),V452+ROW()/100000,"")</f>
        <v/>
      </c>
      <c r="AC452" s="34" t="str">
        <f aca="false">IF(AND(C452="Lost",V452&lt;&gt;"",V452&gt;=S_SemStart,V452&lt;=S_SemEnd),V452+ROW()/100000,"")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9"/>
      <c r="J453" s="29"/>
      <c r="K453" s="27"/>
      <c r="L453" s="27"/>
      <c r="M453" s="28"/>
      <c r="N453" s="28"/>
      <c r="O453" s="28"/>
      <c r="P453" s="28"/>
      <c r="Q453" s="27"/>
      <c r="R453" s="27"/>
      <c r="S453" s="27"/>
      <c r="T453" s="27"/>
      <c r="U453" s="28"/>
      <c r="V453" s="28"/>
      <c r="W453" s="27"/>
      <c r="X453" s="32" t="str">
        <f aca="false">IF(A453="","",IF(OR(C453="Planned",C453="Contacted",C453="Meeting",C453="Proposal sent",C453="Negotiation"),"Yes","No"))</f>
        <v/>
      </c>
      <c r="Y453" s="32" t="str">
        <f aca="false">IF(A453="","",IF(AND(C453="Won",P453&lt;&gt;"",P453&lt;=S_Today+S_RenewalDays,COUNTIFS($A$3:$A$502,A453,$F$3:$F$502,"Yes",$X$3:$X$502,"Yes")=0),"Renewal due",IF(X453&lt;&gt;"Yes","",IF(OR(L453="",M453=""),"Missing next action",IF(M453&lt;S_Today,"Overdue",IF(AND(C453="Contacted",_xlfn.MAXIFS(Interactions!$A$3:$A$502,Interactions!$B$3:$B$502,A453,Interactions!$F$3:$F$502,"Sent by us")&gt;0,_xlfn.MAXIFS(Interactions!$A$3:$A$502,Interactions!$B$3:$B$502,A453,Interactions!$F$3:$F$502,"Sent by us")&lt;=S_Today-S_NoReplyDays,MAX(_xlfn.MAXIFS(Interactions!$A$3:$A$502,Interactions!$B$3:$B$502,A453,Interactions!$F$3:$F$502,"Received from them"),_xlfn.MAXIFS(Interactions!$A$3:$A$502,Interactions!$B$3:$B$502,A453,Interactions!$F$3:$F$502,"Two-way"))&lt;_xlfn.MAXIFS(Interactions!$A$3:$A$502,Interactions!$B$3:$B$502,A453,Interactions!$F$3:$F$502,"Sent by us")),"No reply",IF(M453&lt;=S_Today+7,"Due this week","")))))))</f>
        <v/>
      </c>
      <c r="Z453" s="34" t="str">
        <f aca="false">IF(OR(A453="",Y453=""),"",IF(Y453="Renewal due",100000,IF(Y453="Overdue",200000,IF(Y453="No reply",300000,IF(Y453="Due this week",400000,500000))))+IF(Y453="Renewal due",P453-40000,IF(Y453="Missing next action",0,M453-40000))+ROW()/100000)</f>
        <v/>
      </c>
      <c r="AA453" s="32" t="str">
        <f aca="false">IF(A453="","",_xlfn.TEXTJOIN(", ",TRUE(),IF(AND(X453="Yes",D453=""),"No owner",IF(AND(D453&lt;&gt;"",COUNTIFS(R_TeamName,D453,R_TeamActive,"No")&gt;0),"Needs new owner","")),IF(AND(OR(C453="Proposal sent",C453="Negotiation"),H453="",I453="",K453=""),"Add package or proposed value",""),IF(AND(C453="Won",OR(P453="",V453="")),"Won needs renewal date and closed on",""),IF(AND(C453="Won",G453="Cash",J453=""),"Add agreed value",""),IF(AND(C453="Lost",OR(S453="",V453="")),"Lost needs reason and closed on",""),IF(AND(C453="Nurture",OR(T453="",U453="")),"Nurture needs reason and date","")))</f>
        <v/>
      </c>
      <c r="AB453" s="34" t="str">
        <f aca="false">IF(AND(C453="Won",V453&lt;&gt;"",V453&gt;=S_SemStart,V453&lt;=S_SemEnd),V453+ROW()/100000,"")</f>
        <v/>
      </c>
      <c r="AC453" s="34" t="str">
        <f aca="false">IF(AND(C453="Lost",V453&lt;&gt;"",V453&gt;=S_SemStart,V453&lt;=S_SemEnd),V453+ROW()/100000,"")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9"/>
      <c r="J454" s="29"/>
      <c r="K454" s="27"/>
      <c r="L454" s="27"/>
      <c r="M454" s="28"/>
      <c r="N454" s="28"/>
      <c r="O454" s="28"/>
      <c r="P454" s="28"/>
      <c r="Q454" s="27"/>
      <c r="R454" s="27"/>
      <c r="S454" s="27"/>
      <c r="T454" s="27"/>
      <c r="U454" s="28"/>
      <c r="V454" s="28"/>
      <c r="W454" s="27"/>
      <c r="X454" s="32" t="str">
        <f aca="false">IF(A454="","",IF(OR(C454="Planned",C454="Contacted",C454="Meeting",C454="Proposal sent",C454="Negotiation"),"Yes","No"))</f>
        <v/>
      </c>
      <c r="Y454" s="32" t="str">
        <f aca="false">IF(A454="","",IF(AND(C454="Won",P454&lt;&gt;"",P454&lt;=S_Today+S_RenewalDays,COUNTIFS($A$3:$A$502,A454,$F$3:$F$502,"Yes",$X$3:$X$502,"Yes")=0),"Renewal due",IF(X454&lt;&gt;"Yes","",IF(OR(L454="",M454=""),"Missing next action",IF(M454&lt;S_Today,"Overdue",IF(AND(C454="Contacted",_xlfn.MAXIFS(Interactions!$A$3:$A$502,Interactions!$B$3:$B$502,A454,Interactions!$F$3:$F$502,"Sent by us")&gt;0,_xlfn.MAXIFS(Interactions!$A$3:$A$502,Interactions!$B$3:$B$502,A454,Interactions!$F$3:$F$502,"Sent by us")&lt;=S_Today-S_NoReplyDays,MAX(_xlfn.MAXIFS(Interactions!$A$3:$A$502,Interactions!$B$3:$B$502,A454,Interactions!$F$3:$F$502,"Received from them"),_xlfn.MAXIFS(Interactions!$A$3:$A$502,Interactions!$B$3:$B$502,A454,Interactions!$F$3:$F$502,"Two-way"))&lt;_xlfn.MAXIFS(Interactions!$A$3:$A$502,Interactions!$B$3:$B$502,A454,Interactions!$F$3:$F$502,"Sent by us")),"No reply",IF(M454&lt;=S_Today+7,"Due this week","")))))))</f>
        <v/>
      </c>
      <c r="Z454" s="34" t="str">
        <f aca="false">IF(OR(A454="",Y454=""),"",IF(Y454="Renewal due",100000,IF(Y454="Overdue",200000,IF(Y454="No reply",300000,IF(Y454="Due this week",400000,500000))))+IF(Y454="Renewal due",P454-40000,IF(Y454="Missing next action",0,M454-40000))+ROW()/100000)</f>
        <v/>
      </c>
      <c r="AA454" s="32" t="str">
        <f aca="false">IF(A454="","",_xlfn.TEXTJOIN(", ",TRUE(),IF(AND(X454="Yes",D454=""),"No owner",IF(AND(D454&lt;&gt;"",COUNTIFS(R_TeamName,D454,R_TeamActive,"No")&gt;0),"Needs new owner","")),IF(AND(OR(C454="Proposal sent",C454="Negotiation"),H454="",I454="",K454=""),"Add package or proposed value",""),IF(AND(C454="Won",OR(P454="",V454="")),"Won needs renewal date and closed on",""),IF(AND(C454="Won",G454="Cash",J454=""),"Add agreed value",""),IF(AND(C454="Lost",OR(S454="",V454="")),"Lost needs reason and closed on",""),IF(AND(C454="Nurture",OR(T454="",U454="")),"Nurture needs reason and date","")))</f>
        <v/>
      </c>
      <c r="AB454" s="34" t="str">
        <f aca="false">IF(AND(C454="Won",V454&lt;&gt;"",V454&gt;=S_SemStart,V454&lt;=S_SemEnd),V454+ROW()/100000,"")</f>
        <v/>
      </c>
      <c r="AC454" s="34" t="str">
        <f aca="false">IF(AND(C454="Lost",V454&lt;&gt;"",V454&gt;=S_SemStart,V454&lt;=S_SemEnd),V454+ROW()/100000,"")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9"/>
      <c r="J455" s="29"/>
      <c r="K455" s="27"/>
      <c r="L455" s="27"/>
      <c r="M455" s="28"/>
      <c r="N455" s="28"/>
      <c r="O455" s="28"/>
      <c r="P455" s="28"/>
      <c r="Q455" s="27"/>
      <c r="R455" s="27"/>
      <c r="S455" s="27"/>
      <c r="T455" s="27"/>
      <c r="U455" s="28"/>
      <c r="V455" s="28"/>
      <c r="W455" s="27"/>
      <c r="X455" s="32" t="str">
        <f aca="false">IF(A455="","",IF(OR(C455="Planned",C455="Contacted",C455="Meeting",C455="Proposal sent",C455="Negotiation"),"Yes","No"))</f>
        <v/>
      </c>
      <c r="Y455" s="32" t="str">
        <f aca="false">IF(A455="","",IF(AND(C455="Won",P455&lt;&gt;"",P455&lt;=S_Today+S_RenewalDays,COUNTIFS($A$3:$A$502,A455,$F$3:$F$502,"Yes",$X$3:$X$502,"Yes")=0),"Renewal due",IF(X455&lt;&gt;"Yes","",IF(OR(L455="",M455=""),"Missing next action",IF(M455&lt;S_Today,"Overdue",IF(AND(C455="Contacted",_xlfn.MAXIFS(Interactions!$A$3:$A$502,Interactions!$B$3:$B$502,A455,Interactions!$F$3:$F$502,"Sent by us")&gt;0,_xlfn.MAXIFS(Interactions!$A$3:$A$502,Interactions!$B$3:$B$502,A455,Interactions!$F$3:$F$502,"Sent by us")&lt;=S_Today-S_NoReplyDays,MAX(_xlfn.MAXIFS(Interactions!$A$3:$A$502,Interactions!$B$3:$B$502,A455,Interactions!$F$3:$F$502,"Received from them"),_xlfn.MAXIFS(Interactions!$A$3:$A$502,Interactions!$B$3:$B$502,A455,Interactions!$F$3:$F$502,"Two-way"))&lt;_xlfn.MAXIFS(Interactions!$A$3:$A$502,Interactions!$B$3:$B$502,A455,Interactions!$F$3:$F$502,"Sent by us")),"No reply",IF(M455&lt;=S_Today+7,"Due this week","")))))))</f>
        <v/>
      </c>
      <c r="Z455" s="34" t="str">
        <f aca="false">IF(OR(A455="",Y455=""),"",IF(Y455="Renewal due",100000,IF(Y455="Overdue",200000,IF(Y455="No reply",300000,IF(Y455="Due this week",400000,500000))))+IF(Y455="Renewal due",P455-40000,IF(Y455="Missing next action",0,M455-40000))+ROW()/100000)</f>
        <v/>
      </c>
      <c r="AA455" s="32" t="str">
        <f aca="false">IF(A455="","",_xlfn.TEXTJOIN(", ",TRUE(),IF(AND(X455="Yes",D455=""),"No owner",IF(AND(D455&lt;&gt;"",COUNTIFS(R_TeamName,D455,R_TeamActive,"No")&gt;0),"Needs new owner","")),IF(AND(OR(C455="Proposal sent",C455="Negotiation"),H455="",I455="",K455=""),"Add package or proposed value",""),IF(AND(C455="Won",OR(P455="",V455="")),"Won needs renewal date and closed on",""),IF(AND(C455="Won",G455="Cash",J455=""),"Add agreed value",""),IF(AND(C455="Lost",OR(S455="",V455="")),"Lost needs reason and closed on",""),IF(AND(C455="Nurture",OR(T455="",U455="")),"Nurture needs reason and date","")))</f>
        <v/>
      </c>
      <c r="AB455" s="34" t="str">
        <f aca="false">IF(AND(C455="Won",V455&lt;&gt;"",V455&gt;=S_SemStart,V455&lt;=S_SemEnd),V455+ROW()/100000,"")</f>
        <v/>
      </c>
      <c r="AC455" s="34" t="str">
        <f aca="false">IF(AND(C455="Lost",V455&lt;&gt;"",V455&gt;=S_SemStart,V455&lt;=S_SemEnd),V455+ROW()/100000,"")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9"/>
      <c r="J456" s="29"/>
      <c r="K456" s="27"/>
      <c r="L456" s="27"/>
      <c r="M456" s="28"/>
      <c r="N456" s="28"/>
      <c r="O456" s="28"/>
      <c r="P456" s="28"/>
      <c r="Q456" s="27"/>
      <c r="R456" s="27"/>
      <c r="S456" s="27"/>
      <c r="T456" s="27"/>
      <c r="U456" s="28"/>
      <c r="V456" s="28"/>
      <c r="W456" s="27"/>
      <c r="X456" s="32" t="str">
        <f aca="false">IF(A456="","",IF(OR(C456="Planned",C456="Contacted",C456="Meeting",C456="Proposal sent",C456="Negotiation"),"Yes","No"))</f>
        <v/>
      </c>
      <c r="Y456" s="32" t="str">
        <f aca="false">IF(A456="","",IF(AND(C456="Won",P456&lt;&gt;"",P456&lt;=S_Today+S_RenewalDays,COUNTIFS($A$3:$A$502,A456,$F$3:$F$502,"Yes",$X$3:$X$502,"Yes")=0),"Renewal due",IF(X456&lt;&gt;"Yes","",IF(OR(L456="",M456=""),"Missing next action",IF(M456&lt;S_Today,"Overdue",IF(AND(C456="Contacted",_xlfn.MAXIFS(Interactions!$A$3:$A$502,Interactions!$B$3:$B$502,A456,Interactions!$F$3:$F$502,"Sent by us")&gt;0,_xlfn.MAXIFS(Interactions!$A$3:$A$502,Interactions!$B$3:$B$502,A456,Interactions!$F$3:$F$502,"Sent by us")&lt;=S_Today-S_NoReplyDays,MAX(_xlfn.MAXIFS(Interactions!$A$3:$A$502,Interactions!$B$3:$B$502,A456,Interactions!$F$3:$F$502,"Received from them"),_xlfn.MAXIFS(Interactions!$A$3:$A$502,Interactions!$B$3:$B$502,A456,Interactions!$F$3:$F$502,"Two-way"))&lt;_xlfn.MAXIFS(Interactions!$A$3:$A$502,Interactions!$B$3:$B$502,A456,Interactions!$F$3:$F$502,"Sent by us")),"No reply",IF(M456&lt;=S_Today+7,"Due this week","")))))))</f>
        <v/>
      </c>
      <c r="Z456" s="34" t="str">
        <f aca="false">IF(OR(A456="",Y456=""),"",IF(Y456="Renewal due",100000,IF(Y456="Overdue",200000,IF(Y456="No reply",300000,IF(Y456="Due this week",400000,500000))))+IF(Y456="Renewal due",P456-40000,IF(Y456="Missing next action",0,M456-40000))+ROW()/100000)</f>
        <v/>
      </c>
      <c r="AA456" s="32" t="str">
        <f aca="false">IF(A456="","",_xlfn.TEXTJOIN(", ",TRUE(),IF(AND(X456="Yes",D456=""),"No owner",IF(AND(D456&lt;&gt;"",COUNTIFS(R_TeamName,D456,R_TeamActive,"No")&gt;0),"Needs new owner","")),IF(AND(OR(C456="Proposal sent",C456="Negotiation"),H456="",I456="",K456=""),"Add package or proposed value",""),IF(AND(C456="Won",OR(P456="",V456="")),"Won needs renewal date and closed on",""),IF(AND(C456="Won",G456="Cash",J456=""),"Add agreed value",""),IF(AND(C456="Lost",OR(S456="",V456="")),"Lost needs reason and closed on",""),IF(AND(C456="Nurture",OR(T456="",U456="")),"Nurture needs reason and date","")))</f>
        <v/>
      </c>
      <c r="AB456" s="34" t="str">
        <f aca="false">IF(AND(C456="Won",V456&lt;&gt;"",V456&gt;=S_SemStart,V456&lt;=S_SemEnd),V456+ROW()/100000,"")</f>
        <v/>
      </c>
      <c r="AC456" s="34" t="str">
        <f aca="false">IF(AND(C456="Lost",V456&lt;&gt;"",V456&gt;=S_SemStart,V456&lt;=S_SemEnd),V456+ROW()/100000,"")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9"/>
      <c r="J457" s="29"/>
      <c r="K457" s="27"/>
      <c r="L457" s="27"/>
      <c r="M457" s="28"/>
      <c r="N457" s="28"/>
      <c r="O457" s="28"/>
      <c r="P457" s="28"/>
      <c r="Q457" s="27"/>
      <c r="R457" s="27"/>
      <c r="S457" s="27"/>
      <c r="T457" s="27"/>
      <c r="U457" s="28"/>
      <c r="V457" s="28"/>
      <c r="W457" s="27"/>
      <c r="X457" s="32" t="str">
        <f aca="false">IF(A457="","",IF(OR(C457="Planned",C457="Contacted",C457="Meeting",C457="Proposal sent",C457="Negotiation"),"Yes","No"))</f>
        <v/>
      </c>
      <c r="Y457" s="32" t="str">
        <f aca="false">IF(A457="","",IF(AND(C457="Won",P457&lt;&gt;"",P457&lt;=S_Today+S_RenewalDays,COUNTIFS($A$3:$A$502,A457,$F$3:$F$502,"Yes",$X$3:$X$502,"Yes")=0),"Renewal due",IF(X457&lt;&gt;"Yes","",IF(OR(L457="",M457=""),"Missing next action",IF(M457&lt;S_Today,"Overdue",IF(AND(C457="Contacted",_xlfn.MAXIFS(Interactions!$A$3:$A$502,Interactions!$B$3:$B$502,A457,Interactions!$F$3:$F$502,"Sent by us")&gt;0,_xlfn.MAXIFS(Interactions!$A$3:$A$502,Interactions!$B$3:$B$502,A457,Interactions!$F$3:$F$502,"Sent by us")&lt;=S_Today-S_NoReplyDays,MAX(_xlfn.MAXIFS(Interactions!$A$3:$A$502,Interactions!$B$3:$B$502,A457,Interactions!$F$3:$F$502,"Received from them"),_xlfn.MAXIFS(Interactions!$A$3:$A$502,Interactions!$B$3:$B$502,A457,Interactions!$F$3:$F$502,"Two-way"))&lt;_xlfn.MAXIFS(Interactions!$A$3:$A$502,Interactions!$B$3:$B$502,A457,Interactions!$F$3:$F$502,"Sent by us")),"No reply",IF(M457&lt;=S_Today+7,"Due this week","")))))))</f>
        <v/>
      </c>
      <c r="Z457" s="34" t="str">
        <f aca="false">IF(OR(A457="",Y457=""),"",IF(Y457="Renewal due",100000,IF(Y457="Overdue",200000,IF(Y457="No reply",300000,IF(Y457="Due this week",400000,500000))))+IF(Y457="Renewal due",P457-40000,IF(Y457="Missing next action",0,M457-40000))+ROW()/100000)</f>
        <v/>
      </c>
      <c r="AA457" s="32" t="str">
        <f aca="false">IF(A457="","",_xlfn.TEXTJOIN(", ",TRUE(),IF(AND(X457="Yes",D457=""),"No owner",IF(AND(D457&lt;&gt;"",COUNTIFS(R_TeamName,D457,R_TeamActive,"No")&gt;0),"Needs new owner","")),IF(AND(OR(C457="Proposal sent",C457="Negotiation"),H457="",I457="",K457=""),"Add package or proposed value",""),IF(AND(C457="Won",OR(P457="",V457="")),"Won needs renewal date and closed on",""),IF(AND(C457="Won",G457="Cash",J457=""),"Add agreed value",""),IF(AND(C457="Lost",OR(S457="",V457="")),"Lost needs reason and closed on",""),IF(AND(C457="Nurture",OR(T457="",U457="")),"Nurture needs reason and date","")))</f>
        <v/>
      </c>
      <c r="AB457" s="34" t="str">
        <f aca="false">IF(AND(C457="Won",V457&lt;&gt;"",V457&gt;=S_SemStart,V457&lt;=S_SemEnd),V457+ROW()/100000,"")</f>
        <v/>
      </c>
      <c r="AC457" s="34" t="str">
        <f aca="false">IF(AND(C457="Lost",V457&lt;&gt;"",V457&gt;=S_SemStart,V457&lt;=S_SemEnd),V457+ROW()/100000,"")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9"/>
      <c r="J458" s="29"/>
      <c r="K458" s="27"/>
      <c r="L458" s="27"/>
      <c r="M458" s="28"/>
      <c r="N458" s="28"/>
      <c r="O458" s="28"/>
      <c r="P458" s="28"/>
      <c r="Q458" s="27"/>
      <c r="R458" s="27"/>
      <c r="S458" s="27"/>
      <c r="T458" s="27"/>
      <c r="U458" s="28"/>
      <c r="V458" s="28"/>
      <c r="W458" s="27"/>
      <c r="X458" s="32" t="str">
        <f aca="false">IF(A458="","",IF(OR(C458="Planned",C458="Contacted",C458="Meeting",C458="Proposal sent",C458="Negotiation"),"Yes","No"))</f>
        <v/>
      </c>
      <c r="Y458" s="32" t="str">
        <f aca="false">IF(A458="","",IF(AND(C458="Won",P458&lt;&gt;"",P458&lt;=S_Today+S_RenewalDays,COUNTIFS($A$3:$A$502,A458,$F$3:$F$502,"Yes",$X$3:$X$502,"Yes")=0),"Renewal due",IF(X458&lt;&gt;"Yes","",IF(OR(L458="",M458=""),"Missing next action",IF(M458&lt;S_Today,"Overdue",IF(AND(C458="Contacted",_xlfn.MAXIFS(Interactions!$A$3:$A$502,Interactions!$B$3:$B$502,A458,Interactions!$F$3:$F$502,"Sent by us")&gt;0,_xlfn.MAXIFS(Interactions!$A$3:$A$502,Interactions!$B$3:$B$502,A458,Interactions!$F$3:$F$502,"Sent by us")&lt;=S_Today-S_NoReplyDays,MAX(_xlfn.MAXIFS(Interactions!$A$3:$A$502,Interactions!$B$3:$B$502,A458,Interactions!$F$3:$F$502,"Received from them"),_xlfn.MAXIFS(Interactions!$A$3:$A$502,Interactions!$B$3:$B$502,A458,Interactions!$F$3:$F$502,"Two-way"))&lt;_xlfn.MAXIFS(Interactions!$A$3:$A$502,Interactions!$B$3:$B$502,A458,Interactions!$F$3:$F$502,"Sent by us")),"No reply",IF(M458&lt;=S_Today+7,"Due this week","")))))))</f>
        <v/>
      </c>
      <c r="Z458" s="34" t="str">
        <f aca="false">IF(OR(A458="",Y458=""),"",IF(Y458="Renewal due",100000,IF(Y458="Overdue",200000,IF(Y458="No reply",300000,IF(Y458="Due this week",400000,500000))))+IF(Y458="Renewal due",P458-40000,IF(Y458="Missing next action",0,M458-40000))+ROW()/100000)</f>
        <v/>
      </c>
      <c r="AA458" s="32" t="str">
        <f aca="false">IF(A458="","",_xlfn.TEXTJOIN(", ",TRUE(),IF(AND(X458="Yes",D458=""),"No owner",IF(AND(D458&lt;&gt;"",COUNTIFS(R_TeamName,D458,R_TeamActive,"No")&gt;0),"Needs new owner","")),IF(AND(OR(C458="Proposal sent",C458="Negotiation"),H458="",I458="",K458=""),"Add package or proposed value",""),IF(AND(C458="Won",OR(P458="",V458="")),"Won needs renewal date and closed on",""),IF(AND(C458="Won",G458="Cash",J458=""),"Add agreed value",""),IF(AND(C458="Lost",OR(S458="",V458="")),"Lost needs reason and closed on",""),IF(AND(C458="Nurture",OR(T458="",U458="")),"Nurture needs reason and date","")))</f>
        <v/>
      </c>
      <c r="AB458" s="34" t="str">
        <f aca="false">IF(AND(C458="Won",V458&lt;&gt;"",V458&gt;=S_SemStart,V458&lt;=S_SemEnd),V458+ROW()/100000,"")</f>
        <v/>
      </c>
      <c r="AC458" s="34" t="str">
        <f aca="false">IF(AND(C458="Lost",V458&lt;&gt;"",V458&gt;=S_SemStart,V458&lt;=S_SemEnd),V458+ROW()/100000,"")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9"/>
      <c r="J459" s="29"/>
      <c r="K459" s="27"/>
      <c r="L459" s="27"/>
      <c r="M459" s="28"/>
      <c r="N459" s="28"/>
      <c r="O459" s="28"/>
      <c r="P459" s="28"/>
      <c r="Q459" s="27"/>
      <c r="R459" s="27"/>
      <c r="S459" s="27"/>
      <c r="T459" s="27"/>
      <c r="U459" s="28"/>
      <c r="V459" s="28"/>
      <c r="W459" s="27"/>
      <c r="X459" s="32" t="str">
        <f aca="false">IF(A459="","",IF(OR(C459="Planned",C459="Contacted",C459="Meeting",C459="Proposal sent",C459="Negotiation"),"Yes","No"))</f>
        <v/>
      </c>
      <c r="Y459" s="32" t="str">
        <f aca="false">IF(A459="","",IF(AND(C459="Won",P459&lt;&gt;"",P459&lt;=S_Today+S_RenewalDays,COUNTIFS($A$3:$A$502,A459,$F$3:$F$502,"Yes",$X$3:$X$502,"Yes")=0),"Renewal due",IF(X459&lt;&gt;"Yes","",IF(OR(L459="",M459=""),"Missing next action",IF(M459&lt;S_Today,"Overdue",IF(AND(C459="Contacted",_xlfn.MAXIFS(Interactions!$A$3:$A$502,Interactions!$B$3:$B$502,A459,Interactions!$F$3:$F$502,"Sent by us")&gt;0,_xlfn.MAXIFS(Interactions!$A$3:$A$502,Interactions!$B$3:$B$502,A459,Interactions!$F$3:$F$502,"Sent by us")&lt;=S_Today-S_NoReplyDays,MAX(_xlfn.MAXIFS(Interactions!$A$3:$A$502,Interactions!$B$3:$B$502,A459,Interactions!$F$3:$F$502,"Received from them"),_xlfn.MAXIFS(Interactions!$A$3:$A$502,Interactions!$B$3:$B$502,A459,Interactions!$F$3:$F$502,"Two-way"))&lt;_xlfn.MAXIFS(Interactions!$A$3:$A$502,Interactions!$B$3:$B$502,A459,Interactions!$F$3:$F$502,"Sent by us")),"No reply",IF(M459&lt;=S_Today+7,"Due this week","")))))))</f>
        <v/>
      </c>
      <c r="Z459" s="34" t="str">
        <f aca="false">IF(OR(A459="",Y459=""),"",IF(Y459="Renewal due",100000,IF(Y459="Overdue",200000,IF(Y459="No reply",300000,IF(Y459="Due this week",400000,500000))))+IF(Y459="Renewal due",P459-40000,IF(Y459="Missing next action",0,M459-40000))+ROW()/100000)</f>
        <v/>
      </c>
      <c r="AA459" s="32" t="str">
        <f aca="false">IF(A459="","",_xlfn.TEXTJOIN(", ",TRUE(),IF(AND(X459="Yes",D459=""),"No owner",IF(AND(D459&lt;&gt;"",COUNTIFS(R_TeamName,D459,R_TeamActive,"No")&gt;0),"Needs new owner","")),IF(AND(OR(C459="Proposal sent",C459="Negotiation"),H459="",I459="",K459=""),"Add package or proposed value",""),IF(AND(C459="Won",OR(P459="",V459="")),"Won needs renewal date and closed on",""),IF(AND(C459="Won",G459="Cash",J459=""),"Add agreed value",""),IF(AND(C459="Lost",OR(S459="",V459="")),"Lost needs reason and closed on",""),IF(AND(C459="Nurture",OR(T459="",U459="")),"Nurture needs reason and date","")))</f>
        <v/>
      </c>
      <c r="AB459" s="34" t="str">
        <f aca="false">IF(AND(C459="Won",V459&lt;&gt;"",V459&gt;=S_SemStart,V459&lt;=S_SemEnd),V459+ROW()/100000,"")</f>
        <v/>
      </c>
      <c r="AC459" s="34" t="str">
        <f aca="false">IF(AND(C459="Lost",V459&lt;&gt;"",V459&gt;=S_SemStart,V459&lt;=S_SemEnd),V459+ROW()/100000,"")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9"/>
      <c r="J460" s="29"/>
      <c r="K460" s="27"/>
      <c r="L460" s="27"/>
      <c r="M460" s="28"/>
      <c r="N460" s="28"/>
      <c r="O460" s="28"/>
      <c r="P460" s="28"/>
      <c r="Q460" s="27"/>
      <c r="R460" s="27"/>
      <c r="S460" s="27"/>
      <c r="T460" s="27"/>
      <c r="U460" s="28"/>
      <c r="V460" s="28"/>
      <c r="W460" s="27"/>
      <c r="X460" s="32" t="str">
        <f aca="false">IF(A460="","",IF(OR(C460="Planned",C460="Contacted",C460="Meeting",C460="Proposal sent",C460="Negotiation"),"Yes","No"))</f>
        <v/>
      </c>
      <c r="Y460" s="32" t="str">
        <f aca="false">IF(A460="","",IF(AND(C460="Won",P460&lt;&gt;"",P460&lt;=S_Today+S_RenewalDays,COUNTIFS($A$3:$A$502,A460,$F$3:$F$502,"Yes",$X$3:$X$502,"Yes")=0),"Renewal due",IF(X460&lt;&gt;"Yes","",IF(OR(L460="",M460=""),"Missing next action",IF(M460&lt;S_Today,"Overdue",IF(AND(C460="Contacted",_xlfn.MAXIFS(Interactions!$A$3:$A$502,Interactions!$B$3:$B$502,A460,Interactions!$F$3:$F$502,"Sent by us")&gt;0,_xlfn.MAXIFS(Interactions!$A$3:$A$502,Interactions!$B$3:$B$502,A460,Interactions!$F$3:$F$502,"Sent by us")&lt;=S_Today-S_NoReplyDays,MAX(_xlfn.MAXIFS(Interactions!$A$3:$A$502,Interactions!$B$3:$B$502,A460,Interactions!$F$3:$F$502,"Received from them"),_xlfn.MAXIFS(Interactions!$A$3:$A$502,Interactions!$B$3:$B$502,A460,Interactions!$F$3:$F$502,"Two-way"))&lt;_xlfn.MAXIFS(Interactions!$A$3:$A$502,Interactions!$B$3:$B$502,A460,Interactions!$F$3:$F$502,"Sent by us")),"No reply",IF(M460&lt;=S_Today+7,"Due this week","")))))))</f>
        <v/>
      </c>
      <c r="Z460" s="34" t="str">
        <f aca="false">IF(OR(A460="",Y460=""),"",IF(Y460="Renewal due",100000,IF(Y460="Overdue",200000,IF(Y460="No reply",300000,IF(Y460="Due this week",400000,500000))))+IF(Y460="Renewal due",P460-40000,IF(Y460="Missing next action",0,M460-40000))+ROW()/100000)</f>
        <v/>
      </c>
      <c r="AA460" s="32" t="str">
        <f aca="false">IF(A460="","",_xlfn.TEXTJOIN(", ",TRUE(),IF(AND(X460="Yes",D460=""),"No owner",IF(AND(D460&lt;&gt;"",COUNTIFS(R_TeamName,D460,R_TeamActive,"No")&gt;0),"Needs new owner","")),IF(AND(OR(C460="Proposal sent",C460="Negotiation"),H460="",I460="",K460=""),"Add package or proposed value",""),IF(AND(C460="Won",OR(P460="",V460="")),"Won needs renewal date and closed on",""),IF(AND(C460="Won",G460="Cash",J460=""),"Add agreed value",""),IF(AND(C460="Lost",OR(S460="",V460="")),"Lost needs reason and closed on",""),IF(AND(C460="Nurture",OR(T460="",U460="")),"Nurture needs reason and date","")))</f>
        <v/>
      </c>
      <c r="AB460" s="34" t="str">
        <f aca="false">IF(AND(C460="Won",V460&lt;&gt;"",V460&gt;=S_SemStart,V460&lt;=S_SemEnd),V460+ROW()/100000,"")</f>
        <v/>
      </c>
      <c r="AC460" s="34" t="str">
        <f aca="false">IF(AND(C460="Lost",V460&lt;&gt;"",V460&gt;=S_SemStart,V460&lt;=S_SemEnd),V460+ROW()/100000,"")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9"/>
      <c r="J461" s="29"/>
      <c r="K461" s="27"/>
      <c r="L461" s="27"/>
      <c r="M461" s="28"/>
      <c r="N461" s="28"/>
      <c r="O461" s="28"/>
      <c r="P461" s="28"/>
      <c r="Q461" s="27"/>
      <c r="R461" s="27"/>
      <c r="S461" s="27"/>
      <c r="T461" s="27"/>
      <c r="U461" s="28"/>
      <c r="V461" s="28"/>
      <c r="W461" s="27"/>
      <c r="X461" s="32" t="str">
        <f aca="false">IF(A461="","",IF(OR(C461="Planned",C461="Contacted",C461="Meeting",C461="Proposal sent",C461="Negotiation"),"Yes","No"))</f>
        <v/>
      </c>
      <c r="Y461" s="32" t="str">
        <f aca="false">IF(A461="","",IF(AND(C461="Won",P461&lt;&gt;"",P461&lt;=S_Today+S_RenewalDays,COUNTIFS($A$3:$A$502,A461,$F$3:$F$502,"Yes",$X$3:$X$502,"Yes")=0),"Renewal due",IF(X461&lt;&gt;"Yes","",IF(OR(L461="",M461=""),"Missing next action",IF(M461&lt;S_Today,"Overdue",IF(AND(C461="Contacted",_xlfn.MAXIFS(Interactions!$A$3:$A$502,Interactions!$B$3:$B$502,A461,Interactions!$F$3:$F$502,"Sent by us")&gt;0,_xlfn.MAXIFS(Interactions!$A$3:$A$502,Interactions!$B$3:$B$502,A461,Interactions!$F$3:$F$502,"Sent by us")&lt;=S_Today-S_NoReplyDays,MAX(_xlfn.MAXIFS(Interactions!$A$3:$A$502,Interactions!$B$3:$B$502,A461,Interactions!$F$3:$F$502,"Received from them"),_xlfn.MAXIFS(Interactions!$A$3:$A$502,Interactions!$B$3:$B$502,A461,Interactions!$F$3:$F$502,"Two-way"))&lt;_xlfn.MAXIFS(Interactions!$A$3:$A$502,Interactions!$B$3:$B$502,A461,Interactions!$F$3:$F$502,"Sent by us")),"No reply",IF(M461&lt;=S_Today+7,"Due this week","")))))))</f>
        <v/>
      </c>
      <c r="Z461" s="34" t="str">
        <f aca="false">IF(OR(A461="",Y461=""),"",IF(Y461="Renewal due",100000,IF(Y461="Overdue",200000,IF(Y461="No reply",300000,IF(Y461="Due this week",400000,500000))))+IF(Y461="Renewal due",P461-40000,IF(Y461="Missing next action",0,M461-40000))+ROW()/100000)</f>
        <v/>
      </c>
      <c r="AA461" s="32" t="str">
        <f aca="false">IF(A461="","",_xlfn.TEXTJOIN(", ",TRUE(),IF(AND(X461="Yes",D461=""),"No owner",IF(AND(D461&lt;&gt;"",COUNTIFS(R_TeamName,D461,R_TeamActive,"No")&gt;0),"Needs new owner","")),IF(AND(OR(C461="Proposal sent",C461="Negotiation"),H461="",I461="",K461=""),"Add package or proposed value",""),IF(AND(C461="Won",OR(P461="",V461="")),"Won needs renewal date and closed on",""),IF(AND(C461="Won",G461="Cash",J461=""),"Add agreed value",""),IF(AND(C461="Lost",OR(S461="",V461="")),"Lost needs reason and closed on",""),IF(AND(C461="Nurture",OR(T461="",U461="")),"Nurture needs reason and date","")))</f>
        <v/>
      </c>
      <c r="AB461" s="34" t="str">
        <f aca="false">IF(AND(C461="Won",V461&lt;&gt;"",V461&gt;=S_SemStart,V461&lt;=S_SemEnd),V461+ROW()/100000,"")</f>
        <v/>
      </c>
      <c r="AC461" s="34" t="str">
        <f aca="false">IF(AND(C461="Lost",V461&lt;&gt;"",V461&gt;=S_SemStart,V461&lt;=S_SemEnd),V461+ROW()/100000,"")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9"/>
      <c r="J462" s="29"/>
      <c r="K462" s="27"/>
      <c r="L462" s="27"/>
      <c r="M462" s="28"/>
      <c r="N462" s="28"/>
      <c r="O462" s="28"/>
      <c r="P462" s="28"/>
      <c r="Q462" s="27"/>
      <c r="R462" s="27"/>
      <c r="S462" s="27"/>
      <c r="T462" s="27"/>
      <c r="U462" s="28"/>
      <c r="V462" s="28"/>
      <c r="W462" s="27"/>
      <c r="X462" s="32" t="str">
        <f aca="false">IF(A462="","",IF(OR(C462="Planned",C462="Contacted",C462="Meeting",C462="Proposal sent",C462="Negotiation"),"Yes","No"))</f>
        <v/>
      </c>
      <c r="Y462" s="32" t="str">
        <f aca="false">IF(A462="","",IF(AND(C462="Won",P462&lt;&gt;"",P462&lt;=S_Today+S_RenewalDays,COUNTIFS($A$3:$A$502,A462,$F$3:$F$502,"Yes",$X$3:$X$502,"Yes")=0),"Renewal due",IF(X462&lt;&gt;"Yes","",IF(OR(L462="",M462=""),"Missing next action",IF(M462&lt;S_Today,"Overdue",IF(AND(C462="Contacted",_xlfn.MAXIFS(Interactions!$A$3:$A$502,Interactions!$B$3:$B$502,A462,Interactions!$F$3:$F$502,"Sent by us")&gt;0,_xlfn.MAXIFS(Interactions!$A$3:$A$502,Interactions!$B$3:$B$502,A462,Interactions!$F$3:$F$502,"Sent by us")&lt;=S_Today-S_NoReplyDays,MAX(_xlfn.MAXIFS(Interactions!$A$3:$A$502,Interactions!$B$3:$B$502,A462,Interactions!$F$3:$F$502,"Received from them"),_xlfn.MAXIFS(Interactions!$A$3:$A$502,Interactions!$B$3:$B$502,A462,Interactions!$F$3:$F$502,"Two-way"))&lt;_xlfn.MAXIFS(Interactions!$A$3:$A$502,Interactions!$B$3:$B$502,A462,Interactions!$F$3:$F$502,"Sent by us")),"No reply",IF(M462&lt;=S_Today+7,"Due this week","")))))))</f>
        <v/>
      </c>
      <c r="Z462" s="34" t="str">
        <f aca="false">IF(OR(A462="",Y462=""),"",IF(Y462="Renewal due",100000,IF(Y462="Overdue",200000,IF(Y462="No reply",300000,IF(Y462="Due this week",400000,500000))))+IF(Y462="Renewal due",P462-40000,IF(Y462="Missing next action",0,M462-40000))+ROW()/100000)</f>
        <v/>
      </c>
      <c r="AA462" s="32" t="str">
        <f aca="false">IF(A462="","",_xlfn.TEXTJOIN(", ",TRUE(),IF(AND(X462="Yes",D462=""),"No owner",IF(AND(D462&lt;&gt;"",COUNTIFS(R_TeamName,D462,R_TeamActive,"No")&gt;0),"Needs new owner","")),IF(AND(OR(C462="Proposal sent",C462="Negotiation"),H462="",I462="",K462=""),"Add package or proposed value",""),IF(AND(C462="Won",OR(P462="",V462="")),"Won needs renewal date and closed on",""),IF(AND(C462="Won",G462="Cash",J462=""),"Add agreed value",""),IF(AND(C462="Lost",OR(S462="",V462="")),"Lost needs reason and closed on",""),IF(AND(C462="Nurture",OR(T462="",U462="")),"Nurture needs reason and date","")))</f>
        <v/>
      </c>
      <c r="AB462" s="34" t="str">
        <f aca="false">IF(AND(C462="Won",V462&lt;&gt;"",V462&gt;=S_SemStart,V462&lt;=S_SemEnd),V462+ROW()/100000,"")</f>
        <v/>
      </c>
      <c r="AC462" s="34" t="str">
        <f aca="false">IF(AND(C462="Lost",V462&lt;&gt;"",V462&gt;=S_SemStart,V462&lt;=S_SemEnd),V462+ROW()/100000,"")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9"/>
      <c r="J463" s="29"/>
      <c r="K463" s="27"/>
      <c r="L463" s="27"/>
      <c r="M463" s="28"/>
      <c r="N463" s="28"/>
      <c r="O463" s="28"/>
      <c r="P463" s="28"/>
      <c r="Q463" s="27"/>
      <c r="R463" s="27"/>
      <c r="S463" s="27"/>
      <c r="T463" s="27"/>
      <c r="U463" s="28"/>
      <c r="V463" s="28"/>
      <c r="W463" s="27"/>
      <c r="X463" s="32" t="str">
        <f aca="false">IF(A463="","",IF(OR(C463="Planned",C463="Contacted",C463="Meeting",C463="Proposal sent",C463="Negotiation"),"Yes","No"))</f>
        <v/>
      </c>
      <c r="Y463" s="32" t="str">
        <f aca="false">IF(A463="","",IF(AND(C463="Won",P463&lt;&gt;"",P463&lt;=S_Today+S_RenewalDays,COUNTIFS($A$3:$A$502,A463,$F$3:$F$502,"Yes",$X$3:$X$502,"Yes")=0),"Renewal due",IF(X463&lt;&gt;"Yes","",IF(OR(L463="",M463=""),"Missing next action",IF(M463&lt;S_Today,"Overdue",IF(AND(C463="Contacted",_xlfn.MAXIFS(Interactions!$A$3:$A$502,Interactions!$B$3:$B$502,A463,Interactions!$F$3:$F$502,"Sent by us")&gt;0,_xlfn.MAXIFS(Interactions!$A$3:$A$502,Interactions!$B$3:$B$502,A463,Interactions!$F$3:$F$502,"Sent by us")&lt;=S_Today-S_NoReplyDays,MAX(_xlfn.MAXIFS(Interactions!$A$3:$A$502,Interactions!$B$3:$B$502,A463,Interactions!$F$3:$F$502,"Received from them"),_xlfn.MAXIFS(Interactions!$A$3:$A$502,Interactions!$B$3:$B$502,A463,Interactions!$F$3:$F$502,"Two-way"))&lt;_xlfn.MAXIFS(Interactions!$A$3:$A$502,Interactions!$B$3:$B$502,A463,Interactions!$F$3:$F$502,"Sent by us")),"No reply",IF(M463&lt;=S_Today+7,"Due this week","")))))))</f>
        <v/>
      </c>
      <c r="Z463" s="34" t="str">
        <f aca="false">IF(OR(A463="",Y463=""),"",IF(Y463="Renewal due",100000,IF(Y463="Overdue",200000,IF(Y463="No reply",300000,IF(Y463="Due this week",400000,500000))))+IF(Y463="Renewal due",P463-40000,IF(Y463="Missing next action",0,M463-40000))+ROW()/100000)</f>
        <v/>
      </c>
      <c r="AA463" s="32" t="str">
        <f aca="false">IF(A463="","",_xlfn.TEXTJOIN(", ",TRUE(),IF(AND(X463="Yes",D463=""),"No owner",IF(AND(D463&lt;&gt;"",COUNTIFS(R_TeamName,D463,R_TeamActive,"No")&gt;0),"Needs new owner","")),IF(AND(OR(C463="Proposal sent",C463="Negotiation"),H463="",I463="",K463=""),"Add package or proposed value",""),IF(AND(C463="Won",OR(P463="",V463="")),"Won needs renewal date and closed on",""),IF(AND(C463="Won",G463="Cash",J463=""),"Add agreed value",""),IF(AND(C463="Lost",OR(S463="",V463="")),"Lost needs reason and closed on",""),IF(AND(C463="Nurture",OR(T463="",U463="")),"Nurture needs reason and date","")))</f>
        <v/>
      </c>
      <c r="AB463" s="34" t="str">
        <f aca="false">IF(AND(C463="Won",V463&lt;&gt;"",V463&gt;=S_SemStart,V463&lt;=S_SemEnd),V463+ROW()/100000,"")</f>
        <v/>
      </c>
      <c r="AC463" s="34" t="str">
        <f aca="false">IF(AND(C463="Lost",V463&lt;&gt;"",V463&gt;=S_SemStart,V463&lt;=S_SemEnd),V463+ROW()/100000,"")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9"/>
      <c r="J464" s="29"/>
      <c r="K464" s="27"/>
      <c r="L464" s="27"/>
      <c r="M464" s="28"/>
      <c r="N464" s="28"/>
      <c r="O464" s="28"/>
      <c r="P464" s="28"/>
      <c r="Q464" s="27"/>
      <c r="R464" s="27"/>
      <c r="S464" s="27"/>
      <c r="T464" s="27"/>
      <c r="U464" s="28"/>
      <c r="V464" s="28"/>
      <c r="W464" s="27"/>
      <c r="X464" s="32" t="str">
        <f aca="false">IF(A464="","",IF(OR(C464="Planned",C464="Contacted",C464="Meeting",C464="Proposal sent",C464="Negotiation"),"Yes","No"))</f>
        <v/>
      </c>
      <c r="Y464" s="32" t="str">
        <f aca="false">IF(A464="","",IF(AND(C464="Won",P464&lt;&gt;"",P464&lt;=S_Today+S_RenewalDays,COUNTIFS($A$3:$A$502,A464,$F$3:$F$502,"Yes",$X$3:$X$502,"Yes")=0),"Renewal due",IF(X464&lt;&gt;"Yes","",IF(OR(L464="",M464=""),"Missing next action",IF(M464&lt;S_Today,"Overdue",IF(AND(C464="Contacted",_xlfn.MAXIFS(Interactions!$A$3:$A$502,Interactions!$B$3:$B$502,A464,Interactions!$F$3:$F$502,"Sent by us")&gt;0,_xlfn.MAXIFS(Interactions!$A$3:$A$502,Interactions!$B$3:$B$502,A464,Interactions!$F$3:$F$502,"Sent by us")&lt;=S_Today-S_NoReplyDays,MAX(_xlfn.MAXIFS(Interactions!$A$3:$A$502,Interactions!$B$3:$B$502,A464,Interactions!$F$3:$F$502,"Received from them"),_xlfn.MAXIFS(Interactions!$A$3:$A$502,Interactions!$B$3:$B$502,A464,Interactions!$F$3:$F$502,"Two-way"))&lt;_xlfn.MAXIFS(Interactions!$A$3:$A$502,Interactions!$B$3:$B$502,A464,Interactions!$F$3:$F$502,"Sent by us")),"No reply",IF(M464&lt;=S_Today+7,"Due this week","")))))))</f>
        <v/>
      </c>
      <c r="Z464" s="34" t="str">
        <f aca="false">IF(OR(A464="",Y464=""),"",IF(Y464="Renewal due",100000,IF(Y464="Overdue",200000,IF(Y464="No reply",300000,IF(Y464="Due this week",400000,500000))))+IF(Y464="Renewal due",P464-40000,IF(Y464="Missing next action",0,M464-40000))+ROW()/100000)</f>
        <v/>
      </c>
      <c r="AA464" s="32" t="str">
        <f aca="false">IF(A464="","",_xlfn.TEXTJOIN(", ",TRUE(),IF(AND(X464="Yes",D464=""),"No owner",IF(AND(D464&lt;&gt;"",COUNTIFS(R_TeamName,D464,R_TeamActive,"No")&gt;0),"Needs new owner","")),IF(AND(OR(C464="Proposal sent",C464="Negotiation"),H464="",I464="",K464=""),"Add package or proposed value",""),IF(AND(C464="Won",OR(P464="",V464="")),"Won needs renewal date and closed on",""),IF(AND(C464="Won",G464="Cash",J464=""),"Add agreed value",""),IF(AND(C464="Lost",OR(S464="",V464="")),"Lost needs reason and closed on",""),IF(AND(C464="Nurture",OR(T464="",U464="")),"Nurture needs reason and date","")))</f>
        <v/>
      </c>
      <c r="AB464" s="34" t="str">
        <f aca="false">IF(AND(C464="Won",V464&lt;&gt;"",V464&gt;=S_SemStart,V464&lt;=S_SemEnd),V464+ROW()/100000,"")</f>
        <v/>
      </c>
      <c r="AC464" s="34" t="str">
        <f aca="false">IF(AND(C464="Lost",V464&lt;&gt;"",V464&gt;=S_SemStart,V464&lt;=S_SemEnd),V464+ROW()/100000,"")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9"/>
      <c r="J465" s="29"/>
      <c r="K465" s="27"/>
      <c r="L465" s="27"/>
      <c r="M465" s="28"/>
      <c r="N465" s="28"/>
      <c r="O465" s="28"/>
      <c r="P465" s="28"/>
      <c r="Q465" s="27"/>
      <c r="R465" s="27"/>
      <c r="S465" s="27"/>
      <c r="T465" s="27"/>
      <c r="U465" s="28"/>
      <c r="V465" s="28"/>
      <c r="W465" s="27"/>
      <c r="X465" s="32" t="str">
        <f aca="false">IF(A465="","",IF(OR(C465="Planned",C465="Contacted",C465="Meeting",C465="Proposal sent",C465="Negotiation"),"Yes","No"))</f>
        <v/>
      </c>
      <c r="Y465" s="32" t="str">
        <f aca="false">IF(A465="","",IF(AND(C465="Won",P465&lt;&gt;"",P465&lt;=S_Today+S_RenewalDays,COUNTIFS($A$3:$A$502,A465,$F$3:$F$502,"Yes",$X$3:$X$502,"Yes")=0),"Renewal due",IF(X465&lt;&gt;"Yes","",IF(OR(L465="",M465=""),"Missing next action",IF(M465&lt;S_Today,"Overdue",IF(AND(C465="Contacted",_xlfn.MAXIFS(Interactions!$A$3:$A$502,Interactions!$B$3:$B$502,A465,Interactions!$F$3:$F$502,"Sent by us")&gt;0,_xlfn.MAXIFS(Interactions!$A$3:$A$502,Interactions!$B$3:$B$502,A465,Interactions!$F$3:$F$502,"Sent by us")&lt;=S_Today-S_NoReplyDays,MAX(_xlfn.MAXIFS(Interactions!$A$3:$A$502,Interactions!$B$3:$B$502,A465,Interactions!$F$3:$F$502,"Received from them"),_xlfn.MAXIFS(Interactions!$A$3:$A$502,Interactions!$B$3:$B$502,A465,Interactions!$F$3:$F$502,"Two-way"))&lt;_xlfn.MAXIFS(Interactions!$A$3:$A$502,Interactions!$B$3:$B$502,A465,Interactions!$F$3:$F$502,"Sent by us")),"No reply",IF(M465&lt;=S_Today+7,"Due this week","")))))))</f>
        <v/>
      </c>
      <c r="Z465" s="34" t="str">
        <f aca="false">IF(OR(A465="",Y465=""),"",IF(Y465="Renewal due",100000,IF(Y465="Overdue",200000,IF(Y465="No reply",300000,IF(Y465="Due this week",400000,500000))))+IF(Y465="Renewal due",P465-40000,IF(Y465="Missing next action",0,M465-40000))+ROW()/100000)</f>
        <v/>
      </c>
      <c r="AA465" s="32" t="str">
        <f aca="false">IF(A465="","",_xlfn.TEXTJOIN(", ",TRUE(),IF(AND(X465="Yes",D465=""),"No owner",IF(AND(D465&lt;&gt;"",COUNTIFS(R_TeamName,D465,R_TeamActive,"No")&gt;0),"Needs new owner","")),IF(AND(OR(C465="Proposal sent",C465="Negotiation"),H465="",I465="",K465=""),"Add package or proposed value",""),IF(AND(C465="Won",OR(P465="",V465="")),"Won needs renewal date and closed on",""),IF(AND(C465="Won",G465="Cash",J465=""),"Add agreed value",""),IF(AND(C465="Lost",OR(S465="",V465="")),"Lost needs reason and closed on",""),IF(AND(C465="Nurture",OR(T465="",U465="")),"Nurture needs reason and date","")))</f>
        <v/>
      </c>
      <c r="AB465" s="34" t="str">
        <f aca="false">IF(AND(C465="Won",V465&lt;&gt;"",V465&gt;=S_SemStart,V465&lt;=S_SemEnd),V465+ROW()/100000,"")</f>
        <v/>
      </c>
      <c r="AC465" s="34" t="str">
        <f aca="false">IF(AND(C465="Lost",V465&lt;&gt;"",V465&gt;=S_SemStart,V465&lt;=S_SemEnd),V465+ROW()/100000,"")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9"/>
      <c r="J466" s="29"/>
      <c r="K466" s="27"/>
      <c r="L466" s="27"/>
      <c r="M466" s="28"/>
      <c r="N466" s="28"/>
      <c r="O466" s="28"/>
      <c r="P466" s="28"/>
      <c r="Q466" s="27"/>
      <c r="R466" s="27"/>
      <c r="S466" s="27"/>
      <c r="T466" s="27"/>
      <c r="U466" s="28"/>
      <c r="V466" s="28"/>
      <c r="W466" s="27"/>
      <c r="X466" s="32" t="str">
        <f aca="false">IF(A466="","",IF(OR(C466="Planned",C466="Contacted",C466="Meeting",C466="Proposal sent",C466="Negotiation"),"Yes","No"))</f>
        <v/>
      </c>
      <c r="Y466" s="32" t="str">
        <f aca="false">IF(A466="","",IF(AND(C466="Won",P466&lt;&gt;"",P466&lt;=S_Today+S_RenewalDays,COUNTIFS($A$3:$A$502,A466,$F$3:$F$502,"Yes",$X$3:$X$502,"Yes")=0),"Renewal due",IF(X466&lt;&gt;"Yes","",IF(OR(L466="",M466=""),"Missing next action",IF(M466&lt;S_Today,"Overdue",IF(AND(C466="Contacted",_xlfn.MAXIFS(Interactions!$A$3:$A$502,Interactions!$B$3:$B$502,A466,Interactions!$F$3:$F$502,"Sent by us")&gt;0,_xlfn.MAXIFS(Interactions!$A$3:$A$502,Interactions!$B$3:$B$502,A466,Interactions!$F$3:$F$502,"Sent by us")&lt;=S_Today-S_NoReplyDays,MAX(_xlfn.MAXIFS(Interactions!$A$3:$A$502,Interactions!$B$3:$B$502,A466,Interactions!$F$3:$F$502,"Received from them"),_xlfn.MAXIFS(Interactions!$A$3:$A$502,Interactions!$B$3:$B$502,A466,Interactions!$F$3:$F$502,"Two-way"))&lt;_xlfn.MAXIFS(Interactions!$A$3:$A$502,Interactions!$B$3:$B$502,A466,Interactions!$F$3:$F$502,"Sent by us")),"No reply",IF(M466&lt;=S_Today+7,"Due this week","")))))))</f>
        <v/>
      </c>
      <c r="Z466" s="34" t="str">
        <f aca="false">IF(OR(A466="",Y466=""),"",IF(Y466="Renewal due",100000,IF(Y466="Overdue",200000,IF(Y466="No reply",300000,IF(Y466="Due this week",400000,500000))))+IF(Y466="Renewal due",P466-40000,IF(Y466="Missing next action",0,M466-40000))+ROW()/100000)</f>
        <v/>
      </c>
      <c r="AA466" s="32" t="str">
        <f aca="false">IF(A466="","",_xlfn.TEXTJOIN(", ",TRUE(),IF(AND(X466="Yes",D466=""),"No owner",IF(AND(D466&lt;&gt;"",COUNTIFS(R_TeamName,D466,R_TeamActive,"No")&gt;0),"Needs new owner","")),IF(AND(OR(C466="Proposal sent",C466="Negotiation"),H466="",I466="",K466=""),"Add package or proposed value",""),IF(AND(C466="Won",OR(P466="",V466="")),"Won needs renewal date and closed on",""),IF(AND(C466="Won",G466="Cash",J466=""),"Add agreed value",""),IF(AND(C466="Lost",OR(S466="",V466="")),"Lost needs reason and closed on",""),IF(AND(C466="Nurture",OR(T466="",U466="")),"Nurture needs reason and date","")))</f>
        <v/>
      </c>
      <c r="AB466" s="34" t="str">
        <f aca="false">IF(AND(C466="Won",V466&lt;&gt;"",V466&gt;=S_SemStart,V466&lt;=S_SemEnd),V466+ROW()/100000,"")</f>
        <v/>
      </c>
      <c r="AC466" s="34" t="str">
        <f aca="false">IF(AND(C466="Lost",V466&lt;&gt;"",V466&gt;=S_SemStart,V466&lt;=S_SemEnd),V466+ROW()/100000,"")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9"/>
      <c r="J467" s="29"/>
      <c r="K467" s="27"/>
      <c r="L467" s="27"/>
      <c r="M467" s="28"/>
      <c r="N467" s="28"/>
      <c r="O467" s="28"/>
      <c r="P467" s="28"/>
      <c r="Q467" s="27"/>
      <c r="R467" s="27"/>
      <c r="S467" s="27"/>
      <c r="T467" s="27"/>
      <c r="U467" s="28"/>
      <c r="V467" s="28"/>
      <c r="W467" s="27"/>
      <c r="X467" s="32" t="str">
        <f aca="false">IF(A467="","",IF(OR(C467="Planned",C467="Contacted",C467="Meeting",C467="Proposal sent",C467="Negotiation"),"Yes","No"))</f>
        <v/>
      </c>
      <c r="Y467" s="32" t="str">
        <f aca="false">IF(A467="","",IF(AND(C467="Won",P467&lt;&gt;"",P467&lt;=S_Today+S_RenewalDays,COUNTIFS($A$3:$A$502,A467,$F$3:$F$502,"Yes",$X$3:$X$502,"Yes")=0),"Renewal due",IF(X467&lt;&gt;"Yes","",IF(OR(L467="",M467=""),"Missing next action",IF(M467&lt;S_Today,"Overdue",IF(AND(C467="Contacted",_xlfn.MAXIFS(Interactions!$A$3:$A$502,Interactions!$B$3:$B$502,A467,Interactions!$F$3:$F$502,"Sent by us")&gt;0,_xlfn.MAXIFS(Interactions!$A$3:$A$502,Interactions!$B$3:$B$502,A467,Interactions!$F$3:$F$502,"Sent by us")&lt;=S_Today-S_NoReplyDays,MAX(_xlfn.MAXIFS(Interactions!$A$3:$A$502,Interactions!$B$3:$B$502,A467,Interactions!$F$3:$F$502,"Received from them"),_xlfn.MAXIFS(Interactions!$A$3:$A$502,Interactions!$B$3:$B$502,A467,Interactions!$F$3:$F$502,"Two-way"))&lt;_xlfn.MAXIFS(Interactions!$A$3:$A$502,Interactions!$B$3:$B$502,A467,Interactions!$F$3:$F$502,"Sent by us")),"No reply",IF(M467&lt;=S_Today+7,"Due this week","")))))))</f>
        <v/>
      </c>
      <c r="Z467" s="34" t="str">
        <f aca="false">IF(OR(A467="",Y467=""),"",IF(Y467="Renewal due",100000,IF(Y467="Overdue",200000,IF(Y467="No reply",300000,IF(Y467="Due this week",400000,500000))))+IF(Y467="Renewal due",P467-40000,IF(Y467="Missing next action",0,M467-40000))+ROW()/100000)</f>
        <v/>
      </c>
      <c r="AA467" s="32" t="str">
        <f aca="false">IF(A467="","",_xlfn.TEXTJOIN(", ",TRUE(),IF(AND(X467="Yes",D467=""),"No owner",IF(AND(D467&lt;&gt;"",COUNTIFS(R_TeamName,D467,R_TeamActive,"No")&gt;0),"Needs new owner","")),IF(AND(OR(C467="Proposal sent",C467="Negotiation"),H467="",I467="",K467=""),"Add package or proposed value",""),IF(AND(C467="Won",OR(P467="",V467="")),"Won needs renewal date and closed on",""),IF(AND(C467="Won",G467="Cash",J467=""),"Add agreed value",""),IF(AND(C467="Lost",OR(S467="",V467="")),"Lost needs reason and closed on",""),IF(AND(C467="Nurture",OR(T467="",U467="")),"Nurture needs reason and date","")))</f>
        <v/>
      </c>
      <c r="AB467" s="34" t="str">
        <f aca="false">IF(AND(C467="Won",V467&lt;&gt;"",V467&gt;=S_SemStart,V467&lt;=S_SemEnd),V467+ROW()/100000,"")</f>
        <v/>
      </c>
      <c r="AC467" s="34" t="str">
        <f aca="false">IF(AND(C467="Lost",V467&lt;&gt;"",V467&gt;=S_SemStart,V467&lt;=S_SemEnd),V467+ROW()/100000,"")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9"/>
      <c r="J468" s="29"/>
      <c r="K468" s="27"/>
      <c r="L468" s="27"/>
      <c r="M468" s="28"/>
      <c r="N468" s="28"/>
      <c r="O468" s="28"/>
      <c r="P468" s="28"/>
      <c r="Q468" s="27"/>
      <c r="R468" s="27"/>
      <c r="S468" s="27"/>
      <c r="T468" s="27"/>
      <c r="U468" s="28"/>
      <c r="V468" s="28"/>
      <c r="W468" s="27"/>
      <c r="X468" s="32" t="str">
        <f aca="false">IF(A468="","",IF(OR(C468="Planned",C468="Contacted",C468="Meeting",C468="Proposal sent",C468="Negotiation"),"Yes","No"))</f>
        <v/>
      </c>
      <c r="Y468" s="32" t="str">
        <f aca="false">IF(A468="","",IF(AND(C468="Won",P468&lt;&gt;"",P468&lt;=S_Today+S_RenewalDays,COUNTIFS($A$3:$A$502,A468,$F$3:$F$502,"Yes",$X$3:$X$502,"Yes")=0),"Renewal due",IF(X468&lt;&gt;"Yes","",IF(OR(L468="",M468=""),"Missing next action",IF(M468&lt;S_Today,"Overdue",IF(AND(C468="Contacted",_xlfn.MAXIFS(Interactions!$A$3:$A$502,Interactions!$B$3:$B$502,A468,Interactions!$F$3:$F$502,"Sent by us")&gt;0,_xlfn.MAXIFS(Interactions!$A$3:$A$502,Interactions!$B$3:$B$502,A468,Interactions!$F$3:$F$502,"Sent by us")&lt;=S_Today-S_NoReplyDays,MAX(_xlfn.MAXIFS(Interactions!$A$3:$A$502,Interactions!$B$3:$B$502,A468,Interactions!$F$3:$F$502,"Received from them"),_xlfn.MAXIFS(Interactions!$A$3:$A$502,Interactions!$B$3:$B$502,A468,Interactions!$F$3:$F$502,"Two-way"))&lt;_xlfn.MAXIFS(Interactions!$A$3:$A$502,Interactions!$B$3:$B$502,A468,Interactions!$F$3:$F$502,"Sent by us")),"No reply",IF(M468&lt;=S_Today+7,"Due this week","")))))))</f>
        <v/>
      </c>
      <c r="Z468" s="34" t="str">
        <f aca="false">IF(OR(A468="",Y468=""),"",IF(Y468="Renewal due",100000,IF(Y468="Overdue",200000,IF(Y468="No reply",300000,IF(Y468="Due this week",400000,500000))))+IF(Y468="Renewal due",P468-40000,IF(Y468="Missing next action",0,M468-40000))+ROW()/100000)</f>
        <v/>
      </c>
      <c r="AA468" s="32" t="str">
        <f aca="false">IF(A468="","",_xlfn.TEXTJOIN(", ",TRUE(),IF(AND(X468="Yes",D468=""),"No owner",IF(AND(D468&lt;&gt;"",COUNTIFS(R_TeamName,D468,R_TeamActive,"No")&gt;0),"Needs new owner","")),IF(AND(OR(C468="Proposal sent",C468="Negotiation"),H468="",I468="",K468=""),"Add package or proposed value",""),IF(AND(C468="Won",OR(P468="",V468="")),"Won needs renewal date and closed on",""),IF(AND(C468="Won",G468="Cash",J468=""),"Add agreed value",""),IF(AND(C468="Lost",OR(S468="",V468="")),"Lost needs reason and closed on",""),IF(AND(C468="Nurture",OR(T468="",U468="")),"Nurture needs reason and date","")))</f>
        <v/>
      </c>
      <c r="AB468" s="34" t="str">
        <f aca="false">IF(AND(C468="Won",V468&lt;&gt;"",V468&gt;=S_SemStart,V468&lt;=S_SemEnd),V468+ROW()/100000,"")</f>
        <v/>
      </c>
      <c r="AC468" s="34" t="str">
        <f aca="false">IF(AND(C468="Lost",V468&lt;&gt;"",V468&gt;=S_SemStart,V468&lt;=S_SemEnd),V468+ROW()/100000,"")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9"/>
      <c r="J469" s="29"/>
      <c r="K469" s="27"/>
      <c r="L469" s="27"/>
      <c r="M469" s="28"/>
      <c r="N469" s="28"/>
      <c r="O469" s="28"/>
      <c r="P469" s="28"/>
      <c r="Q469" s="27"/>
      <c r="R469" s="27"/>
      <c r="S469" s="27"/>
      <c r="T469" s="27"/>
      <c r="U469" s="28"/>
      <c r="V469" s="28"/>
      <c r="W469" s="27"/>
      <c r="X469" s="32" t="str">
        <f aca="false">IF(A469="","",IF(OR(C469="Planned",C469="Contacted",C469="Meeting",C469="Proposal sent",C469="Negotiation"),"Yes","No"))</f>
        <v/>
      </c>
      <c r="Y469" s="32" t="str">
        <f aca="false">IF(A469="","",IF(AND(C469="Won",P469&lt;&gt;"",P469&lt;=S_Today+S_RenewalDays,COUNTIFS($A$3:$A$502,A469,$F$3:$F$502,"Yes",$X$3:$X$502,"Yes")=0),"Renewal due",IF(X469&lt;&gt;"Yes","",IF(OR(L469="",M469=""),"Missing next action",IF(M469&lt;S_Today,"Overdue",IF(AND(C469="Contacted",_xlfn.MAXIFS(Interactions!$A$3:$A$502,Interactions!$B$3:$B$502,A469,Interactions!$F$3:$F$502,"Sent by us")&gt;0,_xlfn.MAXIFS(Interactions!$A$3:$A$502,Interactions!$B$3:$B$502,A469,Interactions!$F$3:$F$502,"Sent by us")&lt;=S_Today-S_NoReplyDays,MAX(_xlfn.MAXIFS(Interactions!$A$3:$A$502,Interactions!$B$3:$B$502,A469,Interactions!$F$3:$F$502,"Received from them"),_xlfn.MAXIFS(Interactions!$A$3:$A$502,Interactions!$B$3:$B$502,A469,Interactions!$F$3:$F$502,"Two-way"))&lt;_xlfn.MAXIFS(Interactions!$A$3:$A$502,Interactions!$B$3:$B$502,A469,Interactions!$F$3:$F$502,"Sent by us")),"No reply",IF(M469&lt;=S_Today+7,"Due this week","")))))))</f>
        <v/>
      </c>
      <c r="Z469" s="34" t="str">
        <f aca="false">IF(OR(A469="",Y469=""),"",IF(Y469="Renewal due",100000,IF(Y469="Overdue",200000,IF(Y469="No reply",300000,IF(Y469="Due this week",400000,500000))))+IF(Y469="Renewal due",P469-40000,IF(Y469="Missing next action",0,M469-40000))+ROW()/100000)</f>
        <v/>
      </c>
      <c r="AA469" s="32" t="str">
        <f aca="false">IF(A469="","",_xlfn.TEXTJOIN(", ",TRUE(),IF(AND(X469="Yes",D469=""),"No owner",IF(AND(D469&lt;&gt;"",COUNTIFS(R_TeamName,D469,R_TeamActive,"No")&gt;0),"Needs new owner","")),IF(AND(OR(C469="Proposal sent",C469="Negotiation"),H469="",I469="",K469=""),"Add package or proposed value",""),IF(AND(C469="Won",OR(P469="",V469="")),"Won needs renewal date and closed on",""),IF(AND(C469="Won",G469="Cash",J469=""),"Add agreed value",""),IF(AND(C469="Lost",OR(S469="",V469="")),"Lost needs reason and closed on",""),IF(AND(C469="Nurture",OR(T469="",U469="")),"Nurture needs reason and date","")))</f>
        <v/>
      </c>
      <c r="AB469" s="34" t="str">
        <f aca="false">IF(AND(C469="Won",V469&lt;&gt;"",V469&gt;=S_SemStart,V469&lt;=S_SemEnd),V469+ROW()/100000,"")</f>
        <v/>
      </c>
      <c r="AC469" s="34" t="str">
        <f aca="false">IF(AND(C469="Lost",V469&lt;&gt;"",V469&gt;=S_SemStart,V469&lt;=S_SemEnd),V469+ROW()/100000,"")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9"/>
      <c r="J470" s="29"/>
      <c r="K470" s="27"/>
      <c r="L470" s="27"/>
      <c r="M470" s="28"/>
      <c r="N470" s="28"/>
      <c r="O470" s="28"/>
      <c r="P470" s="28"/>
      <c r="Q470" s="27"/>
      <c r="R470" s="27"/>
      <c r="S470" s="27"/>
      <c r="T470" s="27"/>
      <c r="U470" s="28"/>
      <c r="V470" s="28"/>
      <c r="W470" s="27"/>
      <c r="X470" s="32" t="str">
        <f aca="false">IF(A470="","",IF(OR(C470="Planned",C470="Contacted",C470="Meeting",C470="Proposal sent",C470="Negotiation"),"Yes","No"))</f>
        <v/>
      </c>
      <c r="Y470" s="32" t="str">
        <f aca="false">IF(A470="","",IF(AND(C470="Won",P470&lt;&gt;"",P470&lt;=S_Today+S_RenewalDays,COUNTIFS($A$3:$A$502,A470,$F$3:$F$502,"Yes",$X$3:$X$502,"Yes")=0),"Renewal due",IF(X470&lt;&gt;"Yes","",IF(OR(L470="",M470=""),"Missing next action",IF(M470&lt;S_Today,"Overdue",IF(AND(C470="Contacted",_xlfn.MAXIFS(Interactions!$A$3:$A$502,Interactions!$B$3:$B$502,A470,Interactions!$F$3:$F$502,"Sent by us")&gt;0,_xlfn.MAXIFS(Interactions!$A$3:$A$502,Interactions!$B$3:$B$502,A470,Interactions!$F$3:$F$502,"Sent by us")&lt;=S_Today-S_NoReplyDays,MAX(_xlfn.MAXIFS(Interactions!$A$3:$A$502,Interactions!$B$3:$B$502,A470,Interactions!$F$3:$F$502,"Received from them"),_xlfn.MAXIFS(Interactions!$A$3:$A$502,Interactions!$B$3:$B$502,A470,Interactions!$F$3:$F$502,"Two-way"))&lt;_xlfn.MAXIFS(Interactions!$A$3:$A$502,Interactions!$B$3:$B$502,A470,Interactions!$F$3:$F$502,"Sent by us")),"No reply",IF(M470&lt;=S_Today+7,"Due this week","")))))))</f>
        <v/>
      </c>
      <c r="Z470" s="34" t="str">
        <f aca="false">IF(OR(A470="",Y470=""),"",IF(Y470="Renewal due",100000,IF(Y470="Overdue",200000,IF(Y470="No reply",300000,IF(Y470="Due this week",400000,500000))))+IF(Y470="Renewal due",P470-40000,IF(Y470="Missing next action",0,M470-40000))+ROW()/100000)</f>
        <v/>
      </c>
      <c r="AA470" s="32" t="str">
        <f aca="false">IF(A470="","",_xlfn.TEXTJOIN(", ",TRUE(),IF(AND(X470="Yes",D470=""),"No owner",IF(AND(D470&lt;&gt;"",COUNTIFS(R_TeamName,D470,R_TeamActive,"No")&gt;0),"Needs new owner","")),IF(AND(OR(C470="Proposal sent",C470="Negotiation"),H470="",I470="",K470=""),"Add package or proposed value",""),IF(AND(C470="Won",OR(P470="",V470="")),"Won needs renewal date and closed on",""),IF(AND(C470="Won",G470="Cash",J470=""),"Add agreed value",""),IF(AND(C470="Lost",OR(S470="",V470="")),"Lost needs reason and closed on",""),IF(AND(C470="Nurture",OR(T470="",U470="")),"Nurture needs reason and date","")))</f>
        <v/>
      </c>
      <c r="AB470" s="34" t="str">
        <f aca="false">IF(AND(C470="Won",V470&lt;&gt;"",V470&gt;=S_SemStart,V470&lt;=S_SemEnd),V470+ROW()/100000,"")</f>
        <v/>
      </c>
      <c r="AC470" s="34" t="str">
        <f aca="false">IF(AND(C470="Lost",V470&lt;&gt;"",V470&gt;=S_SemStart,V470&lt;=S_SemEnd),V470+ROW()/100000,"")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9"/>
      <c r="J471" s="29"/>
      <c r="K471" s="27"/>
      <c r="L471" s="27"/>
      <c r="M471" s="28"/>
      <c r="N471" s="28"/>
      <c r="O471" s="28"/>
      <c r="P471" s="28"/>
      <c r="Q471" s="27"/>
      <c r="R471" s="27"/>
      <c r="S471" s="27"/>
      <c r="T471" s="27"/>
      <c r="U471" s="28"/>
      <c r="V471" s="28"/>
      <c r="W471" s="27"/>
      <c r="X471" s="32" t="str">
        <f aca="false">IF(A471="","",IF(OR(C471="Planned",C471="Contacted",C471="Meeting",C471="Proposal sent",C471="Negotiation"),"Yes","No"))</f>
        <v/>
      </c>
      <c r="Y471" s="32" t="str">
        <f aca="false">IF(A471="","",IF(AND(C471="Won",P471&lt;&gt;"",P471&lt;=S_Today+S_RenewalDays,COUNTIFS($A$3:$A$502,A471,$F$3:$F$502,"Yes",$X$3:$X$502,"Yes")=0),"Renewal due",IF(X471&lt;&gt;"Yes","",IF(OR(L471="",M471=""),"Missing next action",IF(M471&lt;S_Today,"Overdue",IF(AND(C471="Contacted",_xlfn.MAXIFS(Interactions!$A$3:$A$502,Interactions!$B$3:$B$502,A471,Interactions!$F$3:$F$502,"Sent by us")&gt;0,_xlfn.MAXIFS(Interactions!$A$3:$A$502,Interactions!$B$3:$B$502,A471,Interactions!$F$3:$F$502,"Sent by us")&lt;=S_Today-S_NoReplyDays,MAX(_xlfn.MAXIFS(Interactions!$A$3:$A$502,Interactions!$B$3:$B$502,A471,Interactions!$F$3:$F$502,"Received from them"),_xlfn.MAXIFS(Interactions!$A$3:$A$502,Interactions!$B$3:$B$502,A471,Interactions!$F$3:$F$502,"Two-way"))&lt;_xlfn.MAXIFS(Interactions!$A$3:$A$502,Interactions!$B$3:$B$502,A471,Interactions!$F$3:$F$502,"Sent by us")),"No reply",IF(M471&lt;=S_Today+7,"Due this week","")))))))</f>
        <v/>
      </c>
      <c r="Z471" s="34" t="str">
        <f aca="false">IF(OR(A471="",Y471=""),"",IF(Y471="Renewal due",100000,IF(Y471="Overdue",200000,IF(Y471="No reply",300000,IF(Y471="Due this week",400000,500000))))+IF(Y471="Renewal due",P471-40000,IF(Y471="Missing next action",0,M471-40000))+ROW()/100000)</f>
        <v/>
      </c>
      <c r="AA471" s="32" t="str">
        <f aca="false">IF(A471="","",_xlfn.TEXTJOIN(", ",TRUE(),IF(AND(X471="Yes",D471=""),"No owner",IF(AND(D471&lt;&gt;"",COUNTIFS(R_TeamName,D471,R_TeamActive,"No")&gt;0),"Needs new owner","")),IF(AND(OR(C471="Proposal sent",C471="Negotiation"),H471="",I471="",K471=""),"Add package or proposed value",""),IF(AND(C471="Won",OR(P471="",V471="")),"Won needs renewal date and closed on",""),IF(AND(C471="Won",G471="Cash",J471=""),"Add agreed value",""),IF(AND(C471="Lost",OR(S471="",V471="")),"Lost needs reason and closed on",""),IF(AND(C471="Nurture",OR(T471="",U471="")),"Nurture needs reason and date","")))</f>
        <v/>
      </c>
      <c r="AB471" s="34" t="str">
        <f aca="false">IF(AND(C471="Won",V471&lt;&gt;"",V471&gt;=S_SemStart,V471&lt;=S_SemEnd),V471+ROW()/100000,"")</f>
        <v/>
      </c>
      <c r="AC471" s="34" t="str">
        <f aca="false">IF(AND(C471="Lost",V471&lt;&gt;"",V471&gt;=S_SemStart,V471&lt;=S_SemEnd),V471+ROW()/100000,"")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9"/>
      <c r="J472" s="29"/>
      <c r="K472" s="27"/>
      <c r="L472" s="27"/>
      <c r="M472" s="28"/>
      <c r="N472" s="28"/>
      <c r="O472" s="28"/>
      <c r="P472" s="28"/>
      <c r="Q472" s="27"/>
      <c r="R472" s="27"/>
      <c r="S472" s="27"/>
      <c r="T472" s="27"/>
      <c r="U472" s="28"/>
      <c r="V472" s="28"/>
      <c r="W472" s="27"/>
      <c r="X472" s="32" t="str">
        <f aca="false">IF(A472="","",IF(OR(C472="Planned",C472="Contacted",C472="Meeting",C472="Proposal sent",C472="Negotiation"),"Yes","No"))</f>
        <v/>
      </c>
      <c r="Y472" s="32" t="str">
        <f aca="false">IF(A472="","",IF(AND(C472="Won",P472&lt;&gt;"",P472&lt;=S_Today+S_RenewalDays,COUNTIFS($A$3:$A$502,A472,$F$3:$F$502,"Yes",$X$3:$X$502,"Yes")=0),"Renewal due",IF(X472&lt;&gt;"Yes","",IF(OR(L472="",M472=""),"Missing next action",IF(M472&lt;S_Today,"Overdue",IF(AND(C472="Contacted",_xlfn.MAXIFS(Interactions!$A$3:$A$502,Interactions!$B$3:$B$502,A472,Interactions!$F$3:$F$502,"Sent by us")&gt;0,_xlfn.MAXIFS(Interactions!$A$3:$A$502,Interactions!$B$3:$B$502,A472,Interactions!$F$3:$F$502,"Sent by us")&lt;=S_Today-S_NoReplyDays,MAX(_xlfn.MAXIFS(Interactions!$A$3:$A$502,Interactions!$B$3:$B$502,A472,Interactions!$F$3:$F$502,"Received from them"),_xlfn.MAXIFS(Interactions!$A$3:$A$502,Interactions!$B$3:$B$502,A472,Interactions!$F$3:$F$502,"Two-way"))&lt;_xlfn.MAXIFS(Interactions!$A$3:$A$502,Interactions!$B$3:$B$502,A472,Interactions!$F$3:$F$502,"Sent by us")),"No reply",IF(M472&lt;=S_Today+7,"Due this week","")))))))</f>
        <v/>
      </c>
      <c r="Z472" s="34" t="str">
        <f aca="false">IF(OR(A472="",Y472=""),"",IF(Y472="Renewal due",100000,IF(Y472="Overdue",200000,IF(Y472="No reply",300000,IF(Y472="Due this week",400000,500000))))+IF(Y472="Renewal due",P472-40000,IF(Y472="Missing next action",0,M472-40000))+ROW()/100000)</f>
        <v/>
      </c>
      <c r="AA472" s="32" t="str">
        <f aca="false">IF(A472="","",_xlfn.TEXTJOIN(", ",TRUE(),IF(AND(X472="Yes",D472=""),"No owner",IF(AND(D472&lt;&gt;"",COUNTIFS(R_TeamName,D472,R_TeamActive,"No")&gt;0),"Needs new owner","")),IF(AND(OR(C472="Proposal sent",C472="Negotiation"),H472="",I472="",K472=""),"Add package or proposed value",""),IF(AND(C472="Won",OR(P472="",V472="")),"Won needs renewal date and closed on",""),IF(AND(C472="Won",G472="Cash",J472=""),"Add agreed value",""),IF(AND(C472="Lost",OR(S472="",V472="")),"Lost needs reason and closed on",""),IF(AND(C472="Nurture",OR(T472="",U472="")),"Nurture needs reason and date","")))</f>
        <v/>
      </c>
      <c r="AB472" s="34" t="str">
        <f aca="false">IF(AND(C472="Won",V472&lt;&gt;"",V472&gt;=S_SemStart,V472&lt;=S_SemEnd),V472+ROW()/100000,"")</f>
        <v/>
      </c>
      <c r="AC472" s="34" t="str">
        <f aca="false">IF(AND(C472="Lost",V472&lt;&gt;"",V472&gt;=S_SemStart,V472&lt;=S_SemEnd),V472+ROW()/100000,"")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9"/>
      <c r="J473" s="29"/>
      <c r="K473" s="27"/>
      <c r="L473" s="27"/>
      <c r="M473" s="28"/>
      <c r="N473" s="28"/>
      <c r="O473" s="28"/>
      <c r="P473" s="28"/>
      <c r="Q473" s="27"/>
      <c r="R473" s="27"/>
      <c r="S473" s="27"/>
      <c r="T473" s="27"/>
      <c r="U473" s="28"/>
      <c r="V473" s="28"/>
      <c r="W473" s="27"/>
      <c r="X473" s="32" t="str">
        <f aca="false">IF(A473="","",IF(OR(C473="Planned",C473="Contacted",C473="Meeting",C473="Proposal sent",C473="Negotiation"),"Yes","No"))</f>
        <v/>
      </c>
      <c r="Y473" s="32" t="str">
        <f aca="false">IF(A473="","",IF(AND(C473="Won",P473&lt;&gt;"",P473&lt;=S_Today+S_RenewalDays,COUNTIFS($A$3:$A$502,A473,$F$3:$F$502,"Yes",$X$3:$X$502,"Yes")=0),"Renewal due",IF(X473&lt;&gt;"Yes","",IF(OR(L473="",M473=""),"Missing next action",IF(M473&lt;S_Today,"Overdue",IF(AND(C473="Contacted",_xlfn.MAXIFS(Interactions!$A$3:$A$502,Interactions!$B$3:$B$502,A473,Interactions!$F$3:$F$502,"Sent by us")&gt;0,_xlfn.MAXIFS(Interactions!$A$3:$A$502,Interactions!$B$3:$B$502,A473,Interactions!$F$3:$F$502,"Sent by us")&lt;=S_Today-S_NoReplyDays,MAX(_xlfn.MAXIFS(Interactions!$A$3:$A$502,Interactions!$B$3:$B$502,A473,Interactions!$F$3:$F$502,"Received from them"),_xlfn.MAXIFS(Interactions!$A$3:$A$502,Interactions!$B$3:$B$502,A473,Interactions!$F$3:$F$502,"Two-way"))&lt;_xlfn.MAXIFS(Interactions!$A$3:$A$502,Interactions!$B$3:$B$502,A473,Interactions!$F$3:$F$502,"Sent by us")),"No reply",IF(M473&lt;=S_Today+7,"Due this week","")))))))</f>
        <v/>
      </c>
      <c r="Z473" s="34" t="str">
        <f aca="false">IF(OR(A473="",Y473=""),"",IF(Y473="Renewal due",100000,IF(Y473="Overdue",200000,IF(Y473="No reply",300000,IF(Y473="Due this week",400000,500000))))+IF(Y473="Renewal due",P473-40000,IF(Y473="Missing next action",0,M473-40000))+ROW()/100000)</f>
        <v/>
      </c>
      <c r="AA473" s="32" t="str">
        <f aca="false">IF(A473="","",_xlfn.TEXTJOIN(", ",TRUE(),IF(AND(X473="Yes",D473=""),"No owner",IF(AND(D473&lt;&gt;"",COUNTIFS(R_TeamName,D473,R_TeamActive,"No")&gt;0),"Needs new owner","")),IF(AND(OR(C473="Proposal sent",C473="Negotiation"),H473="",I473="",K473=""),"Add package or proposed value",""),IF(AND(C473="Won",OR(P473="",V473="")),"Won needs renewal date and closed on",""),IF(AND(C473="Won",G473="Cash",J473=""),"Add agreed value",""),IF(AND(C473="Lost",OR(S473="",V473="")),"Lost needs reason and closed on",""),IF(AND(C473="Nurture",OR(T473="",U473="")),"Nurture needs reason and date","")))</f>
        <v/>
      </c>
      <c r="AB473" s="34" t="str">
        <f aca="false">IF(AND(C473="Won",V473&lt;&gt;"",V473&gt;=S_SemStart,V473&lt;=S_SemEnd),V473+ROW()/100000,"")</f>
        <v/>
      </c>
      <c r="AC473" s="34" t="str">
        <f aca="false">IF(AND(C473="Lost",V473&lt;&gt;"",V473&gt;=S_SemStart,V473&lt;=S_SemEnd),V473+ROW()/100000,"")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9"/>
      <c r="J474" s="29"/>
      <c r="K474" s="27"/>
      <c r="L474" s="27"/>
      <c r="M474" s="28"/>
      <c r="N474" s="28"/>
      <c r="O474" s="28"/>
      <c r="P474" s="28"/>
      <c r="Q474" s="27"/>
      <c r="R474" s="27"/>
      <c r="S474" s="27"/>
      <c r="T474" s="27"/>
      <c r="U474" s="28"/>
      <c r="V474" s="28"/>
      <c r="W474" s="27"/>
      <c r="X474" s="32" t="str">
        <f aca="false">IF(A474="","",IF(OR(C474="Planned",C474="Contacted",C474="Meeting",C474="Proposal sent",C474="Negotiation"),"Yes","No"))</f>
        <v/>
      </c>
      <c r="Y474" s="32" t="str">
        <f aca="false">IF(A474="","",IF(AND(C474="Won",P474&lt;&gt;"",P474&lt;=S_Today+S_RenewalDays,COUNTIFS($A$3:$A$502,A474,$F$3:$F$502,"Yes",$X$3:$X$502,"Yes")=0),"Renewal due",IF(X474&lt;&gt;"Yes","",IF(OR(L474="",M474=""),"Missing next action",IF(M474&lt;S_Today,"Overdue",IF(AND(C474="Contacted",_xlfn.MAXIFS(Interactions!$A$3:$A$502,Interactions!$B$3:$B$502,A474,Interactions!$F$3:$F$502,"Sent by us")&gt;0,_xlfn.MAXIFS(Interactions!$A$3:$A$502,Interactions!$B$3:$B$502,A474,Interactions!$F$3:$F$502,"Sent by us")&lt;=S_Today-S_NoReplyDays,MAX(_xlfn.MAXIFS(Interactions!$A$3:$A$502,Interactions!$B$3:$B$502,A474,Interactions!$F$3:$F$502,"Received from them"),_xlfn.MAXIFS(Interactions!$A$3:$A$502,Interactions!$B$3:$B$502,A474,Interactions!$F$3:$F$502,"Two-way"))&lt;_xlfn.MAXIFS(Interactions!$A$3:$A$502,Interactions!$B$3:$B$502,A474,Interactions!$F$3:$F$502,"Sent by us")),"No reply",IF(M474&lt;=S_Today+7,"Due this week","")))))))</f>
        <v/>
      </c>
      <c r="Z474" s="34" t="str">
        <f aca="false">IF(OR(A474="",Y474=""),"",IF(Y474="Renewal due",100000,IF(Y474="Overdue",200000,IF(Y474="No reply",300000,IF(Y474="Due this week",400000,500000))))+IF(Y474="Renewal due",P474-40000,IF(Y474="Missing next action",0,M474-40000))+ROW()/100000)</f>
        <v/>
      </c>
      <c r="AA474" s="32" t="str">
        <f aca="false">IF(A474="","",_xlfn.TEXTJOIN(", ",TRUE(),IF(AND(X474="Yes",D474=""),"No owner",IF(AND(D474&lt;&gt;"",COUNTIFS(R_TeamName,D474,R_TeamActive,"No")&gt;0),"Needs new owner","")),IF(AND(OR(C474="Proposal sent",C474="Negotiation"),H474="",I474="",K474=""),"Add package or proposed value",""),IF(AND(C474="Won",OR(P474="",V474="")),"Won needs renewal date and closed on",""),IF(AND(C474="Won",G474="Cash",J474=""),"Add agreed value",""),IF(AND(C474="Lost",OR(S474="",V474="")),"Lost needs reason and closed on",""),IF(AND(C474="Nurture",OR(T474="",U474="")),"Nurture needs reason and date","")))</f>
        <v/>
      </c>
      <c r="AB474" s="34" t="str">
        <f aca="false">IF(AND(C474="Won",V474&lt;&gt;"",V474&gt;=S_SemStart,V474&lt;=S_SemEnd),V474+ROW()/100000,"")</f>
        <v/>
      </c>
      <c r="AC474" s="34" t="str">
        <f aca="false">IF(AND(C474="Lost",V474&lt;&gt;"",V474&gt;=S_SemStart,V474&lt;=S_SemEnd),V474+ROW()/100000,"")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9"/>
      <c r="J475" s="29"/>
      <c r="K475" s="27"/>
      <c r="L475" s="27"/>
      <c r="M475" s="28"/>
      <c r="N475" s="28"/>
      <c r="O475" s="28"/>
      <c r="P475" s="28"/>
      <c r="Q475" s="27"/>
      <c r="R475" s="27"/>
      <c r="S475" s="27"/>
      <c r="T475" s="27"/>
      <c r="U475" s="28"/>
      <c r="V475" s="28"/>
      <c r="W475" s="27"/>
      <c r="X475" s="32" t="str">
        <f aca="false">IF(A475="","",IF(OR(C475="Planned",C475="Contacted",C475="Meeting",C475="Proposal sent",C475="Negotiation"),"Yes","No"))</f>
        <v/>
      </c>
      <c r="Y475" s="32" t="str">
        <f aca="false">IF(A475="","",IF(AND(C475="Won",P475&lt;&gt;"",P475&lt;=S_Today+S_RenewalDays,COUNTIFS($A$3:$A$502,A475,$F$3:$F$502,"Yes",$X$3:$X$502,"Yes")=0),"Renewal due",IF(X475&lt;&gt;"Yes","",IF(OR(L475="",M475=""),"Missing next action",IF(M475&lt;S_Today,"Overdue",IF(AND(C475="Contacted",_xlfn.MAXIFS(Interactions!$A$3:$A$502,Interactions!$B$3:$B$502,A475,Interactions!$F$3:$F$502,"Sent by us")&gt;0,_xlfn.MAXIFS(Interactions!$A$3:$A$502,Interactions!$B$3:$B$502,A475,Interactions!$F$3:$F$502,"Sent by us")&lt;=S_Today-S_NoReplyDays,MAX(_xlfn.MAXIFS(Interactions!$A$3:$A$502,Interactions!$B$3:$B$502,A475,Interactions!$F$3:$F$502,"Received from them"),_xlfn.MAXIFS(Interactions!$A$3:$A$502,Interactions!$B$3:$B$502,A475,Interactions!$F$3:$F$502,"Two-way"))&lt;_xlfn.MAXIFS(Interactions!$A$3:$A$502,Interactions!$B$3:$B$502,A475,Interactions!$F$3:$F$502,"Sent by us")),"No reply",IF(M475&lt;=S_Today+7,"Due this week","")))))))</f>
        <v/>
      </c>
      <c r="Z475" s="34" t="str">
        <f aca="false">IF(OR(A475="",Y475=""),"",IF(Y475="Renewal due",100000,IF(Y475="Overdue",200000,IF(Y475="No reply",300000,IF(Y475="Due this week",400000,500000))))+IF(Y475="Renewal due",P475-40000,IF(Y475="Missing next action",0,M475-40000))+ROW()/100000)</f>
        <v/>
      </c>
      <c r="AA475" s="32" t="str">
        <f aca="false">IF(A475="","",_xlfn.TEXTJOIN(", ",TRUE(),IF(AND(X475="Yes",D475=""),"No owner",IF(AND(D475&lt;&gt;"",COUNTIFS(R_TeamName,D475,R_TeamActive,"No")&gt;0),"Needs new owner","")),IF(AND(OR(C475="Proposal sent",C475="Negotiation"),H475="",I475="",K475=""),"Add package or proposed value",""),IF(AND(C475="Won",OR(P475="",V475="")),"Won needs renewal date and closed on",""),IF(AND(C475="Won",G475="Cash",J475=""),"Add agreed value",""),IF(AND(C475="Lost",OR(S475="",V475="")),"Lost needs reason and closed on",""),IF(AND(C475="Nurture",OR(T475="",U475="")),"Nurture needs reason and date","")))</f>
        <v/>
      </c>
      <c r="AB475" s="34" t="str">
        <f aca="false">IF(AND(C475="Won",V475&lt;&gt;"",V475&gt;=S_SemStart,V475&lt;=S_SemEnd),V475+ROW()/100000,"")</f>
        <v/>
      </c>
      <c r="AC475" s="34" t="str">
        <f aca="false">IF(AND(C475="Lost",V475&lt;&gt;"",V475&gt;=S_SemStart,V475&lt;=S_SemEnd),V475+ROW()/100000,"")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9"/>
      <c r="J476" s="29"/>
      <c r="K476" s="27"/>
      <c r="L476" s="27"/>
      <c r="M476" s="28"/>
      <c r="N476" s="28"/>
      <c r="O476" s="28"/>
      <c r="P476" s="28"/>
      <c r="Q476" s="27"/>
      <c r="R476" s="27"/>
      <c r="S476" s="27"/>
      <c r="T476" s="27"/>
      <c r="U476" s="28"/>
      <c r="V476" s="28"/>
      <c r="W476" s="27"/>
      <c r="X476" s="32" t="str">
        <f aca="false">IF(A476="","",IF(OR(C476="Planned",C476="Contacted",C476="Meeting",C476="Proposal sent",C476="Negotiation"),"Yes","No"))</f>
        <v/>
      </c>
      <c r="Y476" s="32" t="str">
        <f aca="false">IF(A476="","",IF(AND(C476="Won",P476&lt;&gt;"",P476&lt;=S_Today+S_RenewalDays,COUNTIFS($A$3:$A$502,A476,$F$3:$F$502,"Yes",$X$3:$X$502,"Yes")=0),"Renewal due",IF(X476&lt;&gt;"Yes","",IF(OR(L476="",M476=""),"Missing next action",IF(M476&lt;S_Today,"Overdue",IF(AND(C476="Contacted",_xlfn.MAXIFS(Interactions!$A$3:$A$502,Interactions!$B$3:$B$502,A476,Interactions!$F$3:$F$502,"Sent by us")&gt;0,_xlfn.MAXIFS(Interactions!$A$3:$A$502,Interactions!$B$3:$B$502,A476,Interactions!$F$3:$F$502,"Sent by us")&lt;=S_Today-S_NoReplyDays,MAX(_xlfn.MAXIFS(Interactions!$A$3:$A$502,Interactions!$B$3:$B$502,A476,Interactions!$F$3:$F$502,"Received from them"),_xlfn.MAXIFS(Interactions!$A$3:$A$502,Interactions!$B$3:$B$502,A476,Interactions!$F$3:$F$502,"Two-way"))&lt;_xlfn.MAXIFS(Interactions!$A$3:$A$502,Interactions!$B$3:$B$502,A476,Interactions!$F$3:$F$502,"Sent by us")),"No reply",IF(M476&lt;=S_Today+7,"Due this week","")))))))</f>
        <v/>
      </c>
      <c r="Z476" s="34" t="str">
        <f aca="false">IF(OR(A476="",Y476=""),"",IF(Y476="Renewal due",100000,IF(Y476="Overdue",200000,IF(Y476="No reply",300000,IF(Y476="Due this week",400000,500000))))+IF(Y476="Renewal due",P476-40000,IF(Y476="Missing next action",0,M476-40000))+ROW()/100000)</f>
        <v/>
      </c>
      <c r="AA476" s="32" t="str">
        <f aca="false">IF(A476="","",_xlfn.TEXTJOIN(", ",TRUE(),IF(AND(X476="Yes",D476=""),"No owner",IF(AND(D476&lt;&gt;"",COUNTIFS(R_TeamName,D476,R_TeamActive,"No")&gt;0),"Needs new owner","")),IF(AND(OR(C476="Proposal sent",C476="Negotiation"),H476="",I476="",K476=""),"Add package or proposed value",""),IF(AND(C476="Won",OR(P476="",V476="")),"Won needs renewal date and closed on",""),IF(AND(C476="Won",G476="Cash",J476=""),"Add agreed value",""),IF(AND(C476="Lost",OR(S476="",V476="")),"Lost needs reason and closed on",""),IF(AND(C476="Nurture",OR(T476="",U476="")),"Nurture needs reason and date","")))</f>
        <v/>
      </c>
      <c r="AB476" s="34" t="str">
        <f aca="false">IF(AND(C476="Won",V476&lt;&gt;"",V476&gt;=S_SemStart,V476&lt;=S_SemEnd),V476+ROW()/100000,"")</f>
        <v/>
      </c>
      <c r="AC476" s="34" t="str">
        <f aca="false">IF(AND(C476="Lost",V476&lt;&gt;"",V476&gt;=S_SemStart,V476&lt;=S_SemEnd),V476+ROW()/100000,"")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9"/>
      <c r="J477" s="29"/>
      <c r="K477" s="27"/>
      <c r="L477" s="27"/>
      <c r="M477" s="28"/>
      <c r="N477" s="28"/>
      <c r="O477" s="28"/>
      <c r="P477" s="28"/>
      <c r="Q477" s="27"/>
      <c r="R477" s="27"/>
      <c r="S477" s="27"/>
      <c r="T477" s="27"/>
      <c r="U477" s="28"/>
      <c r="V477" s="28"/>
      <c r="W477" s="27"/>
      <c r="X477" s="32" t="str">
        <f aca="false">IF(A477="","",IF(OR(C477="Planned",C477="Contacted",C477="Meeting",C477="Proposal sent",C477="Negotiation"),"Yes","No"))</f>
        <v/>
      </c>
      <c r="Y477" s="32" t="str">
        <f aca="false">IF(A477="","",IF(AND(C477="Won",P477&lt;&gt;"",P477&lt;=S_Today+S_RenewalDays,COUNTIFS($A$3:$A$502,A477,$F$3:$F$502,"Yes",$X$3:$X$502,"Yes")=0),"Renewal due",IF(X477&lt;&gt;"Yes","",IF(OR(L477="",M477=""),"Missing next action",IF(M477&lt;S_Today,"Overdue",IF(AND(C477="Contacted",_xlfn.MAXIFS(Interactions!$A$3:$A$502,Interactions!$B$3:$B$502,A477,Interactions!$F$3:$F$502,"Sent by us")&gt;0,_xlfn.MAXIFS(Interactions!$A$3:$A$502,Interactions!$B$3:$B$502,A477,Interactions!$F$3:$F$502,"Sent by us")&lt;=S_Today-S_NoReplyDays,MAX(_xlfn.MAXIFS(Interactions!$A$3:$A$502,Interactions!$B$3:$B$502,A477,Interactions!$F$3:$F$502,"Received from them"),_xlfn.MAXIFS(Interactions!$A$3:$A$502,Interactions!$B$3:$B$502,A477,Interactions!$F$3:$F$502,"Two-way"))&lt;_xlfn.MAXIFS(Interactions!$A$3:$A$502,Interactions!$B$3:$B$502,A477,Interactions!$F$3:$F$502,"Sent by us")),"No reply",IF(M477&lt;=S_Today+7,"Due this week","")))))))</f>
        <v/>
      </c>
      <c r="Z477" s="34" t="str">
        <f aca="false">IF(OR(A477="",Y477=""),"",IF(Y477="Renewal due",100000,IF(Y477="Overdue",200000,IF(Y477="No reply",300000,IF(Y477="Due this week",400000,500000))))+IF(Y477="Renewal due",P477-40000,IF(Y477="Missing next action",0,M477-40000))+ROW()/100000)</f>
        <v/>
      </c>
      <c r="AA477" s="32" t="str">
        <f aca="false">IF(A477="","",_xlfn.TEXTJOIN(", ",TRUE(),IF(AND(X477="Yes",D477=""),"No owner",IF(AND(D477&lt;&gt;"",COUNTIFS(R_TeamName,D477,R_TeamActive,"No")&gt;0),"Needs new owner","")),IF(AND(OR(C477="Proposal sent",C477="Negotiation"),H477="",I477="",K477=""),"Add package or proposed value",""),IF(AND(C477="Won",OR(P477="",V477="")),"Won needs renewal date and closed on",""),IF(AND(C477="Won",G477="Cash",J477=""),"Add agreed value",""),IF(AND(C477="Lost",OR(S477="",V477="")),"Lost needs reason and closed on",""),IF(AND(C477="Nurture",OR(T477="",U477="")),"Nurture needs reason and date","")))</f>
        <v/>
      </c>
      <c r="AB477" s="34" t="str">
        <f aca="false">IF(AND(C477="Won",V477&lt;&gt;"",V477&gt;=S_SemStart,V477&lt;=S_SemEnd),V477+ROW()/100000,"")</f>
        <v/>
      </c>
      <c r="AC477" s="34" t="str">
        <f aca="false">IF(AND(C477="Lost",V477&lt;&gt;"",V477&gt;=S_SemStart,V477&lt;=S_SemEnd),V477+ROW()/100000,"")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9"/>
      <c r="J478" s="29"/>
      <c r="K478" s="27"/>
      <c r="L478" s="27"/>
      <c r="M478" s="28"/>
      <c r="N478" s="28"/>
      <c r="O478" s="28"/>
      <c r="P478" s="28"/>
      <c r="Q478" s="27"/>
      <c r="R478" s="27"/>
      <c r="S478" s="27"/>
      <c r="T478" s="27"/>
      <c r="U478" s="28"/>
      <c r="V478" s="28"/>
      <c r="W478" s="27"/>
      <c r="X478" s="32" t="str">
        <f aca="false">IF(A478="","",IF(OR(C478="Planned",C478="Contacted",C478="Meeting",C478="Proposal sent",C478="Negotiation"),"Yes","No"))</f>
        <v/>
      </c>
      <c r="Y478" s="32" t="str">
        <f aca="false">IF(A478="","",IF(AND(C478="Won",P478&lt;&gt;"",P478&lt;=S_Today+S_RenewalDays,COUNTIFS($A$3:$A$502,A478,$F$3:$F$502,"Yes",$X$3:$X$502,"Yes")=0),"Renewal due",IF(X478&lt;&gt;"Yes","",IF(OR(L478="",M478=""),"Missing next action",IF(M478&lt;S_Today,"Overdue",IF(AND(C478="Contacted",_xlfn.MAXIFS(Interactions!$A$3:$A$502,Interactions!$B$3:$B$502,A478,Interactions!$F$3:$F$502,"Sent by us")&gt;0,_xlfn.MAXIFS(Interactions!$A$3:$A$502,Interactions!$B$3:$B$502,A478,Interactions!$F$3:$F$502,"Sent by us")&lt;=S_Today-S_NoReplyDays,MAX(_xlfn.MAXIFS(Interactions!$A$3:$A$502,Interactions!$B$3:$B$502,A478,Interactions!$F$3:$F$502,"Received from them"),_xlfn.MAXIFS(Interactions!$A$3:$A$502,Interactions!$B$3:$B$502,A478,Interactions!$F$3:$F$502,"Two-way"))&lt;_xlfn.MAXIFS(Interactions!$A$3:$A$502,Interactions!$B$3:$B$502,A478,Interactions!$F$3:$F$502,"Sent by us")),"No reply",IF(M478&lt;=S_Today+7,"Due this week","")))))))</f>
        <v/>
      </c>
      <c r="Z478" s="34" t="str">
        <f aca="false">IF(OR(A478="",Y478=""),"",IF(Y478="Renewal due",100000,IF(Y478="Overdue",200000,IF(Y478="No reply",300000,IF(Y478="Due this week",400000,500000))))+IF(Y478="Renewal due",P478-40000,IF(Y478="Missing next action",0,M478-40000))+ROW()/100000)</f>
        <v/>
      </c>
      <c r="AA478" s="32" t="str">
        <f aca="false">IF(A478="","",_xlfn.TEXTJOIN(", ",TRUE(),IF(AND(X478="Yes",D478=""),"No owner",IF(AND(D478&lt;&gt;"",COUNTIFS(R_TeamName,D478,R_TeamActive,"No")&gt;0),"Needs new owner","")),IF(AND(OR(C478="Proposal sent",C478="Negotiation"),H478="",I478="",K478=""),"Add package or proposed value",""),IF(AND(C478="Won",OR(P478="",V478="")),"Won needs renewal date and closed on",""),IF(AND(C478="Won",G478="Cash",J478=""),"Add agreed value",""),IF(AND(C478="Lost",OR(S478="",V478="")),"Lost needs reason and closed on",""),IF(AND(C478="Nurture",OR(T478="",U478="")),"Nurture needs reason and date","")))</f>
        <v/>
      </c>
      <c r="AB478" s="34" t="str">
        <f aca="false">IF(AND(C478="Won",V478&lt;&gt;"",V478&gt;=S_SemStart,V478&lt;=S_SemEnd),V478+ROW()/100000,"")</f>
        <v/>
      </c>
      <c r="AC478" s="34" t="str">
        <f aca="false">IF(AND(C478="Lost",V478&lt;&gt;"",V478&gt;=S_SemStart,V478&lt;=S_SemEnd),V478+ROW()/100000,"")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9"/>
      <c r="J479" s="29"/>
      <c r="K479" s="27"/>
      <c r="L479" s="27"/>
      <c r="M479" s="28"/>
      <c r="N479" s="28"/>
      <c r="O479" s="28"/>
      <c r="P479" s="28"/>
      <c r="Q479" s="27"/>
      <c r="R479" s="27"/>
      <c r="S479" s="27"/>
      <c r="T479" s="27"/>
      <c r="U479" s="28"/>
      <c r="V479" s="28"/>
      <c r="W479" s="27"/>
      <c r="X479" s="32" t="str">
        <f aca="false">IF(A479="","",IF(OR(C479="Planned",C479="Contacted",C479="Meeting",C479="Proposal sent",C479="Negotiation"),"Yes","No"))</f>
        <v/>
      </c>
      <c r="Y479" s="32" t="str">
        <f aca="false">IF(A479="","",IF(AND(C479="Won",P479&lt;&gt;"",P479&lt;=S_Today+S_RenewalDays,COUNTIFS($A$3:$A$502,A479,$F$3:$F$502,"Yes",$X$3:$X$502,"Yes")=0),"Renewal due",IF(X479&lt;&gt;"Yes","",IF(OR(L479="",M479=""),"Missing next action",IF(M479&lt;S_Today,"Overdue",IF(AND(C479="Contacted",_xlfn.MAXIFS(Interactions!$A$3:$A$502,Interactions!$B$3:$B$502,A479,Interactions!$F$3:$F$502,"Sent by us")&gt;0,_xlfn.MAXIFS(Interactions!$A$3:$A$502,Interactions!$B$3:$B$502,A479,Interactions!$F$3:$F$502,"Sent by us")&lt;=S_Today-S_NoReplyDays,MAX(_xlfn.MAXIFS(Interactions!$A$3:$A$502,Interactions!$B$3:$B$502,A479,Interactions!$F$3:$F$502,"Received from them"),_xlfn.MAXIFS(Interactions!$A$3:$A$502,Interactions!$B$3:$B$502,A479,Interactions!$F$3:$F$502,"Two-way"))&lt;_xlfn.MAXIFS(Interactions!$A$3:$A$502,Interactions!$B$3:$B$502,A479,Interactions!$F$3:$F$502,"Sent by us")),"No reply",IF(M479&lt;=S_Today+7,"Due this week","")))))))</f>
        <v/>
      </c>
      <c r="Z479" s="34" t="str">
        <f aca="false">IF(OR(A479="",Y479=""),"",IF(Y479="Renewal due",100000,IF(Y479="Overdue",200000,IF(Y479="No reply",300000,IF(Y479="Due this week",400000,500000))))+IF(Y479="Renewal due",P479-40000,IF(Y479="Missing next action",0,M479-40000))+ROW()/100000)</f>
        <v/>
      </c>
      <c r="AA479" s="32" t="str">
        <f aca="false">IF(A479="","",_xlfn.TEXTJOIN(", ",TRUE(),IF(AND(X479="Yes",D479=""),"No owner",IF(AND(D479&lt;&gt;"",COUNTIFS(R_TeamName,D479,R_TeamActive,"No")&gt;0),"Needs new owner","")),IF(AND(OR(C479="Proposal sent",C479="Negotiation"),H479="",I479="",K479=""),"Add package or proposed value",""),IF(AND(C479="Won",OR(P479="",V479="")),"Won needs renewal date and closed on",""),IF(AND(C479="Won",G479="Cash",J479=""),"Add agreed value",""),IF(AND(C479="Lost",OR(S479="",V479="")),"Lost needs reason and closed on",""),IF(AND(C479="Nurture",OR(T479="",U479="")),"Nurture needs reason and date","")))</f>
        <v/>
      </c>
      <c r="AB479" s="34" t="str">
        <f aca="false">IF(AND(C479="Won",V479&lt;&gt;"",V479&gt;=S_SemStart,V479&lt;=S_SemEnd),V479+ROW()/100000,"")</f>
        <v/>
      </c>
      <c r="AC479" s="34" t="str">
        <f aca="false">IF(AND(C479="Lost",V479&lt;&gt;"",V479&gt;=S_SemStart,V479&lt;=S_SemEnd),V479+ROW()/100000,"")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9"/>
      <c r="J480" s="29"/>
      <c r="K480" s="27"/>
      <c r="L480" s="27"/>
      <c r="M480" s="28"/>
      <c r="N480" s="28"/>
      <c r="O480" s="28"/>
      <c r="P480" s="28"/>
      <c r="Q480" s="27"/>
      <c r="R480" s="27"/>
      <c r="S480" s="27"/>
      <c r="T480" s="27"/>
      <c r="U480" s="28"/>
      <c r="V480" s="28"/>
      <c r="W480" s="27"/>
      <c r="X480" s="32" t="str">
        <f aca="false">IF(A480="","",IF(OR(C480="Planned",C480="Contacted",C480="Meeting",C480="Proposal sent",C480="Negotiation"),"Yes","No"))</f>
        <v/>
      </c>
      <c r="Y480" s="32" t="str">
        <f aca="false">IF(A480="","",IF(AND(C480="Won",P480&lt;&gt;"",P480&lt;=S_Today+S_RenewalDays,COUNTIFS($A$3:$A$502,A480,$F$3:$F$502,"Yes",$X$3:$X$502,"Yes")=0),"Renewal due",IF(X480&lt;&gt;"Yes","",IF(OR(L480="",M480=""),"Missing next action",IF(M480&lt;S_Today,"Overdue",IF(AND(C480="Contacted",_xlfn.MAXIFS(Interactions!$A$3:$A$502,Interactions!$B$3:$B$502,A480,Interactions!$F$3:$F$502,"Sent by us")&gt;0,_xlfn.MAXIFS(Interactions!$A$3:$A$502,Interactions!$B$3:$B$502,A480,Interactions!$F$3:$F$502,"Sent by us")&lt;=S_Today-S_NoReplyDays,MAX(_xlfn.MAXIFS(Interactions!$A$3:$A$502,Interactions!$B$3:$B$502,A480,Interactions!$F$3:$F$502,"Received from them"),_xlfn.MAXIFS(Interactions!$A$3:$A$502,Interactions!$B$3:$B$502,A480,Interactions!$F$3:$F$502,"Two-way"))&lt;_xlfn.MAXIFS(Interactions!$A$3:$A$502,Interactions!$B$3:$B$502,A480,Interactions!$F$3:$F$502,"Sent by us")),"No reply",IF(M480&lt;=S_Today+7,"Due this week","")))))))</f>
        <v/>
      </c>
      <c r="Z480" s="34" t="str">
        <f aca="false">IF(OR(A480="",Y480=""),"",IF(Y480="Renewal due",100000,IF(Y480="Overdue",200000,IF(Y480="No reply",300000,IF(Y480="Due this week",400000,500000))))+IF(Y480="Renewal due",P480-40000,IF(Y480="Missing next action",0,M480-40000))+ROW()/100000)</f>
        <v/>
      </c>
      <c r="AA480" s="32" t="str">
        <f aca="false">IF(A480="","",_xlfn.TEXTJOIN(", ",TRUE(),IF(AND(X480="Yes",D480=""),"No owner",IF(AND(D480&lt;&gt;"",COUNTIFS(R_TeamName,D480,R_TeamActive,"No")&gt;0),"Needs new owner","")),IF(AND(OR(C480="Proposal sent",C480="Negotiation"),H480="",I480="",K480=""),"Add package or proposed value",""),IF(AND(C480="Won",OR(P480="",V480="")),"Won needs renewal date and closed on",""),IF(AND(C480="Won",G480="Cash",J480=""),"Add agreed value",""),IF(AND(C480="Lost",OR(S480="",V480="")),"Lost needs reason and closed on",""),IF(AND(C480="Nurture",OR(T480="",U480="")),"Nurture needs reason and date","")))</f>
        <v/>
      </c>
      <c r="AB480" s="34" t="str">
        <f aca="false">IF(AND(C480="Won",V480&lt;&gt;"",V480&gt;=S_SemStart,V480&lt;=S_SemEnd),V480+ROW()/100000,"")</f>
        <v/>
      </c>
      <c r="AC480" s="34" t="str">
        <f aca="false">IF(AND(C480="Lost",V480&lt;&gt;"",V480&gt;=S_SemStart,V480&lt;=S_SemEnd),V480+ROW()/100000,"")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9"/>
      <c r="J481" s="29"/>
      <c r="K481" s="27"/>
      <c r="L481" s="27"/>
      <c r="M481" s="28"/>
      <c r="N481" s="28"/>
      <c r="O481" s="28"/>
      <c r="P481" s="28"/>
      <c r="Q481" s="27"/>
      <c r="R481" s="27"/>
      <c r="S481" s="27"/>
      <c r="T481" s="27"/>
      <c r="U481" s="28"/>
      <c r="V481" s="28"/>
      <c r="W481" s="27"/>
      <c r="X481" s="32" t="str">
        <f aca="false">IF(A481="","",IF(OR(C481="Planned",C481="Contacted",C481="Meeting",C481="Proposal sent",C481="Negotiation"),"Yes","No"))</f>
        <v/>
      </c>
      <c r="Y481" s="32" t="str">
        <f aca="false">IF(A481="","",IF(AND(C481="Won",P481&lt;&gt;"",P481&lt;=S_Today+S_RenewalDays,COUNTIFS($A$3:$A$502,A481,$F$3:$F$502,"Yes",$X$3:$X$502,"Yes")=0),"Renewal due",IF(X481&lt;&gt;"Yes","",IF(OR(L481="",M481=""),"Missing next action",IF(M481&lt;S_Today,"Overdue",IF(AND(C481="Contacted",_xlfn.MAXIFS(Interactions!$A$3:$A$502,Interactions!$B$3:$B$502,A481,Interactions!$F$3:$F$502,"Sent by us")&gt;0,_xlfn.MAXIFS(Interactions!$A$3:$A$502,Interactions!$B$3:$B$502,A481,Interactions!$F$3:$F$502,"Sent by us")&lt;=S_Today-S_NoReplyDays,MAX(_xlfn.MAXIFS(Interactions!$A$3:$A$502,Interactions!$B$3:$B$502,A481,Interactions!$F$3:$F$502,"Received from them"),_xlfn.MAXIFS(Interactions!$A$3:$A$502,Interactions!$B$3:$B$502,A481,Interactions!$F$3:$F$502,"Two-way"))&lt;_xlfn.MAXIFS(Interactions!$A$3:$A$502,Interactions!$B$3:$B$502,A481,Interactions!$F$3:$F$502,"Sent by us")),"No reply",IF(M481&lt;=S_Today+7,"Due this week","")))))))</f>
        <v/>
      </c>
      <c r="Z481" s="34" t="str">
        <f aca="false">IF(OR(A481="",Y481=""),"",IF(Y481="Renewal due",100000,IF(Y481="Overdue",200000,IF(Y481="No reply",300000,IF(Y481="Due this week",400000,500000))))+IF(Y481="Renewal due",P481-40000,IF(Y481="Missing next action",0,M481-40000))+ROW()/100000)</f>
        <v/>
      </c>
      <c r="AA481" s="32" t="str">
        <f aca="false">IF(A481="","",_xlfn.TEXTJOIN(", ",TRUE(),IF(AND(X481="Yes",D481=""),"No owner",IF(AND(D481&lt;&gt;"",COUNTIFS(R_TeamName,D481,R_TeamActive,"No")&gt;0),"Needs new owner","")),IF(AND(OR(C481="Proposal sent",C481="Negotiation"),H481="",I481="",K481=""),"Add package or proposed value",""),IF(AND(C481="Won",OR(P481="",V481="")),"Won needs renewal date and closed on",""),IF(AND(C481="Won",G481="Cash",J481=""),"Add agreed value",""),IF(AND(C481="Lost",OR(S481="",V481="")),"Lost needs reason and closed on",""),IF(AND(C481="Nurture",OR(T481="",U481="")),"Nurture needs reason and date","")))</f>
        <v/>
      </c>
      <c r="AB481" s="34" t="str">
        <f aca="false">IF(AND(C481="Won",V481&lt;&gt;"",V481&gt;=S_SemStart,V481&lt;=S_SemEnd),V481+ROW()/100000,"")</f>
        <v/>
      </c>
      <c r="AC481" s="34" t="str">
        <f aca="false">IF(AND(C481="Lost",V481&lt;&gt;"",V481&gt;=S_SemStart,V481&lt;=S_SemEnd),V481+ROW()/100000,"")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9"/>
      <c r="J482" s="29"/>
      <c r="K482" s="27"/>
      <c r="L482" s="27"/>
      <c r="M482" s="28"/>
      <c r="N482" s="28"/>
      <c r="O482" s="28"/>
      <c r="P482" s="28"/>
      <c r="Q482" s="27"/>
      <c r="R482" s="27"/>
      <c r="S482" s="27"/>
      <c r="T482" s="27"/>
      <c r="U482" s="28"/>
      <c r="V482" s="28"/>
      <c r="W482" s="27"/>
      <c r="X482" s="32" t="str">
        <f aca="false">IF(A482="","",IF(OR(C482="Planned",C482="Contacted",C482="Meeting",C482="Proposal sent",C482="Negotiation"),"Yes","No"))</f>
        <v/>
      </c>
      <c r="Y482" s="32" t="str">
        <f aca="false">IF(A482="","",IF(AND(C482="Won",P482&lt;&gt;"",P482&lt;=S_Today+S_RenewalDays,COUNTIFS($A$3:$A$502,A482,$F$3:$F$502,"Yes",$X$3:$X$502,"Yes")=0),"Renewal due",IF(X482&lt;&gt;"Yes","",IF(OR(L482="",M482=""),"Missing next action",IF(M482&lt;S_Today,"Overdue",IF(AND(C482="Contacted",_xlfn.MAXIFS(Interactions!$A$3:$A$502,Interactions!$B$3:$B$502,A482,Interactions!$F$3:$F$502,"Sent by us")&gt;0,_xlfn.MAXIFS(Interactions!$A$3:$A$502,Interactions!$B$3:$B$502,A482,Interactions!$F$3:$F$502,"Sent by us")&lt;=S_Today-S_NoReplyDays,MAX(_xlfn.MAXIFS(Interactions!$A$3:$A$502,Interactions!$B$3:$B$502,A482,Interactions!$F$3:$F$502,"Received from them"),_xlfn.MAXIFS(Interactions!$A$3:$A$502,Interactions!$B$3:$B$502,A482,Interactions!$F$3:$F$502,"Two-way"))&lt;_xlfn.MAXIFS(Interactions!$A$3:$A$502,Interactions!$B$3:$B$502,A482,Interactions!$F$3:$F$502,"Sent by us")),"No reply",IF(M482&lt;=S_Today+7,"Due this week","")))))))</f>
        <v/>
      </c>
      <c r="Z482" s="34" t="str">
        <f aca="false">IF(OR(A482="",Y482=""),"",IF(Y482="Renewal due",100000,IF(Y482="Overdue",200000,IF(Y482="No reply",300000,IF(Y482="Due this week",400000,500000))))+IF(Y482="Renewal due",P482-40000,IF(Y482="Missing next action",0,M482-40000))+ROW()/100000)</f>
        <v/>
      </c>
      <c r="AA482" s="32" t="str">
        <f aca="false">IF(A482="","",_xlfn.TEXTJOIN(", ",TRUE(),IF(AND(X482="Yes",D482=""),"No owner",IF(AND(D482&lt;&gt;"",COUNTIFS(R_TeamName,D482,R_TeamActive,"No")&gt;0),"Needs new owner","")),IF(AND(OR(C482="Proposal sent",C482="Negotiation"),H482="",I482="",K482=""),"Add package or proposed value",""),IF(AND(C482="Won",OR(P482="",V482="")),"Won needs renewal date and closed on",""),IF(AND(C482="Won",G482="Cash",J482=""),"Add agreed value",""),IF(AND(C482="Lost",OR(S482="",V482="")),"Lost needs reason and closed on",""),IF(AND(C482="Nurture",OR(T482="",U482="")),"Nurture needs reason and date","")))</f>
        <v/>
      </c>
      <c r="AB482" s="34" t="str">
        <f aca="false">IF(AND(C482="Won",V482&lt;&gt;"",V482&gt;=S_SemStart,V482&lt;=S_SemEnd),V482+ROW()/100000,"")</f>
        <v/>
      </c>
      <c r="AC482" s="34" t="str">
        <f aca="false">IF(AND(C482="Lost",V482&lt;&gt;"",V482&gt;=S_SemStart,V482&lt;=S_SemEnd),V482+ROW()/100000,"")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9"/>
      <c r="J483" s="29"/>
      <c r="K483" s="27"/>
      <c r="L483" s="27"/>
      <c r="M483" s="28"/>
      <c r="N483" s="28"/>
      <c r="O483" s="28"/>
      <c r="P483" s="28"/>
      <c r="Q483" s="27"/>
      <c r="R483" s="27"/>
      <c r="S483" s="27"/>
      <c r="T483" s="27"/>
      <c r="U483" s="28"/>
      <c r="V483" s="28"/>
      <c r="W483" s="27"/>
      <c r="X483" s="32" t="str">
        <f aca="false">IF(A483="","",IF(OR(C483="Planned",C483="Contacted",C483="Meeting",C483="Proposal sent",C483="Negotiation"),"Yes","No"))</f>
        <v/>
      </c>
      <c r="Y483" s="32" t="str">
        <f aca="false">IF(A483="","",IF(AND(C483="Won",P483&lt;&gt;"",P483&lt;=S_Today+S_RenewalDays,COUNTIFS($A$3:$A$502,A483,$F$3:$F$502,"Yes",$X$3:$X$502,"Yes")=0),"Renewal due",IF(X483&lt;&gt;"Yes","",IF(OR(L483="",M483=""),"Missing next action",IF(M483&lt;S_Today,"Overdue",IF(AND(C483="Contacted",_xlfn.MAXIFS(Interactions!$A$3:$A$502,Interactions!$B$3:$B$502,A483,Interactions!$F$3:$F$502,"Sent by us")&gt;0,_xlfn.MAXIFS(Interactions!$A$3:$A$502,Interactions!$B$3:$B$502,A483,Interactions!$F$3:$F$502,"Sent by us")&lt;=S_Today-S_NoReplyDays,MAX(_xlfn.MAXIFS(Interactions!$A$3:$A$502,Interactions!$B$3:$B$502,A483,Interactions!$F$3:$F$502,"Received from them"),_xlfn.MAXIFS(Interactions!$A$3:$A$502,Interactions!$B$3:$B$502,A483,Interactions!$F$3:$F$502,"Two-way"))&lt;_xlfn.MAXIFS(Interactions!$A$3:$A$502,Interactions!$B$3:$B$502,A483,Interactions!$F$3:$F$502,"Sent by us")),"No reply",IF(M483&lt;=S_Today+7,"Due this week","")))))))</f>
        <v/>
      </c>
      <c r="Z483" s="34" t="str">
        <f aca="false">IF(OR(A483="",Y483=""),"",IF(Y483="Renewal due",100000,IF(Y483="Overdue",200000,IF(Y483="No reply",300000,IF(Y483="Due this week",400000,500000))))+IF(Y483="Renewal due",P483-40000,IF(Y483="Missing next action",0,M483-40000))+ROW()/100000)</f>
        <v/>
      </c>
      <c r="AA483" s="32" t="str">
        <f aca="false">IF(A483="","",_xlfn.TEXTJOIN(", ",TRUE(),IF(AND(X483="Yes",D483=""),"No owner",IF(AND(D483&lt;&gt;"",COUNTIFS(R_TeamName,D483,R_TeamActive,"No")&gt;0),"Needs new owner","")),IF(AND(OR(C483="Proposal sent",C483="Negotiation"),H483="",I483="",K483=""),"Add package or proposed value",""),IF(AND(C483="Won",OR(P483="",V483="")),"Won needs renewal date and closed on",""),IF(AND(C483="Won",G483="Cash",J483=""),"Add agreed value",""),IF(AND(C483="Lost",OR(S483="",V483="")),"Lost needs reason and closed on",""),IF(AND(C483="Nurture",OR(T483="",U483="")),"Nurture needs reason and date","")))</f>
        <v/>
      </c>
      <c r="AB483" s="34" t="str">
        <f aca="false">IF(AND(C483="Won",V483&lt;&gt;"",V483&gt;=S_SemStart,V483&lt;=S_SemEnd),V483+ROW()/100000,"")</f>
        <v/>
      </c>
      <c r="AC483" s="34" t="str">
        <f aca="false">IF(AND(C483="Lost",V483&lt;&gt;"",V483&gt;=S_SemStart,V483&lt;=S_SemEnd),V483+ROW()/100000,"")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9"/>
      <c r="J484" s="29"/>
      <c r="K484" s="27"/>
      <c r="L484" s="27"/>
      <c r="M484" s="28"/>
      <c r="N484" s="28"/>
      <c r="O484" s="28"/>
      <c r="P484" s="28"/>
      <c r="Q484" s="27"/>
      <c r="R484" s="27"/>
      <c r="S484" s="27"/>
      <c r="T484" s="27"/>
      <c r="U484" s="28"/>
      <c r="V484" s="28"/>
      <c r="W484" s="27"/>
      <c r="X484" s="32" t="str">
        <f aca="false">IF(A484="","",IF(OR(C484="Planned",C484="Contacted",C484="Meeting",C484="Proposal sent",C484="Negotiation"),"Yes","No"))</f>
        <v/>
      </c>
      <c r="Y484" s="32" t="str">
        <f aca="false">IF(A484="","",IF(AND(C484="Won",P484&lt;&gt;"",P484&lt;=S_Today+S_RenewalDays,COUNTIFS($A$3:$A$502,A484,$F$3:$F$502,"Yes",$X$3:$X$502,"Yes")=0),"Renewal due",IF(X484&lt;&gt;"Yes","",IF(OR(L484="",M484=""),"Missing next action",IF(M484&lt;S_Today,"Overdue",IF(AND(C484="Contacted",_xlfn.MAXIFS(Interactions!$A$3:$A$502,Interactions!$B$3:$B$502,A484,Interactions!$F$3:$F$502,"Sent by us")&gt;0,_xlfn.MAXIFS(Interactions!$A$3:$A$502,Interactions!$B$3:$B$502,A484,Interactions!$F$3:$F$502,"Sent by us")&lt;=S_Today-S_NoReplyDays,MAX(_xlfn.MAXIFS(Interactions!$A$3:$A$502,Interactions!$B$3:$B$502,A484,Interactions!$F$3:$F$502,"Received from them"),_xlfn.MAXIFS(Interactions!$A$3:$A$502,Interactions!$B$3:$B$502,A484,Interactions!$F$3:$F$502,"Two-way"))&lt;_xlfn.MAXIFS(Interactions!$A$3:$A$502,Interactions!$B$3:$B$502,A484,Interactions!$F$3:$F$502,"Sent by us")),"No reply",IF(M484&lt;=S_Today+7,"Due this week","")))))))</f>
        <v/>
      </c>
      <c r="Z484" s="34" t="str">
        <f aca="false">IF(OR(A484="",Y484=""),"",IF(Y484="Renewal due",100000,IF(Y484="Overdue",200000,IF(Y484="No reply",300000,IF(Y484="Due this week",400000,500000))))+IF(Y484="Renewal due",P484-40000,IF(Y484="Missing next action",0,M484-40000))+ROW()/100000)</f>
        <v/>
      </c>
      <c r="AA484" s="32" t="str">
        <f aca="false">IF(A484="","",_xlfn.TEXTJOIN(", ",TRUE(),IF(AND(X484="Yes",D484=""),"No owner",IF(AND(D484&lt;&gt;"",COUNTIFS(R_TeamName,D484,R_TeamActive,"No")&gt;0),"Needs new owner","")),IF(AND(OR(C484="Proposal sent",C484="Negotiation"),H484="",I484="",K484=""),"Add package or proposed value",""),IF(AND(C484="Won",OR(P484="",V484="")),"Won needs renewal date and closed on",""),IF(AND(C484="Won",G484="Cash",J484=""),"Add agreed value",""),IF(AND(C484="Lost",OR(S484="",V484="")),"Lost needs reason and closed on",""),IF(AND(C484="Nurture",OR(T484="",U484="")),"Nurture needs reason and date","")))</f>
        <v/>
      </c>
      <c r="AB484" s="34" t="str">
        <f aca="false">IF(AND(C484="Won",V484&lt;&gt;"",V484&gt;=S_SemStart,V484&lt;=S_SemEnd),V484+ROW()/100000,"")</f>
        <v/>
      </c>
      <c r="AC484" s="34" t="str">
        <f aca="false">IF(AND(C484="Lost",V484&lt;&gt;"",V484&gt;=S_SemStart,V484&lt;=S_SemEnd),V484+ROW()/100000,"")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9"/>
      <c r="J485" s="29"/>
      <c r="K485" s="27"/>
      <c r="L485" s="27"/>
      <c r="M485" s="28"/>
      <c r="N485" s="28"/>
      <c r="O485" s="28"/>
      <c r="P485" s="28"/>
      <c r="Q485" s="27"/>
      <c r="R485" s="27"/>
      <c r="S485" s="27"/>
      <c r="T485" s="27"/>
      <c r="U485" s="28"/>
      <c r="V485" s="28"/>
      <c r="W485" s="27"/>
      <c r="X485" s="32" t="str">
        <f aca="false">IF(A485="","",IF(OR(C485="Planned",C485="Contacted",C485="Meeting",C485="Proposal sent",C485="Negotiation"),"Yes","No"))</f>
        <v/>
      </c>
      <c r="Y485" s="32" t="str">
        <f aca="false">IF(A485="","",IF(AND(C485="Won",P485&lt;&gt;"",P485&lt;=S_Today+S_RenewalDays,COUNTIFS($A$3:$A$502,A485,$F$3:$F$502,"Yes",$X$3:$X$502,"Yes")=0),"Renewal due",IF(X485&lt;&gt;"Yes","",IF(OR(L485="",M485=""),"Missing next action",IF(M485&lt;S_Today,"Overdue",IF(AND(C485="Contacted",_xlfn.MAXIFS(Interactions!$A$3:$A$502,Interactions!$B$3:$B$502,A485,Interactions!$F$3:$F$502,"Sent by us")&gt;0,_xlfn.MAXIFS(Interactions!$A$3:$A$502,Interactions!$B$3:$B$502,A485,Interactions!$F$3:$F$502,"Sent by us")&lt;=S_Today-S_NoReplyDays,MAX(_xlfn.MAXIFS(Interactions!$A$3:$A$502,Interactions!$B$3:$B$502,A485,Interactions!$F$3:$F$502,"Received from them"),_xlfn.MAXIFS(Interactions!$A$3:$A$502,Interactions!$B$3:$B$502,A485,Interactions!$F$3:$F$502,"Two-way"))&lt;_xlfn.MAXIFS(Interactions!$A$3:$A$502,Interactions!$B$3:$B$502,A485,Interactions!$F$3:$F$502,"Sent by us")),"No reply",IF(M485&lt;=S_Today+7,"Due this week","")))))))</f>
        <v/>
      </c>
      <c r="Z485" s="34" t="str">
        <f aca="false">IF(OR(A485="",Y485=""),"",IF(Y485="Renewal due",100000,IF(Y485="Overdue",200000,IF(Y485="No reply",300000,IF(Y485="Due this week",400000,500000))))+IF(Y485="Renewal due",P485-40000,IF(Y485="Missing next action",0,M485-40000))+ROW()/100000)</f>
        <v/>
      </c>
      <c r="AA485" s="32" t="str">
        <f aca="false">IF(A485="","",_xlfn.TEXTJOIN(", ",TRUE(),IF(AND(X485="Yes",D485=""),"No owner",IF(AND(D485&lt;&gt;"",COUNTIFS(R_TeamName,D485,R_TeamActive,"No")&gt;0),"Needs new owner","")),IF(AND(OR(C485="Proposal sent",C485="Negotiation"),H485="",I485="",K485=""),"Add package or proposed value",""),IF(AND(C485="Won",OR(P485="",V485="")),"Won needs renewal date and closed on",""),IF(AND(C485="Won",G485="Cash",J485=""),"Add agreed value",""),IF(AND(C485="Lost",OR(S485="",V485="")),"Lost needs reason and closed on",""),IF(AND(C485="Nurture",OR(T485="",U485="")),"Nurture needs reason and date","")))</f>
        <v/>
      </c>
      <c r="AB485" s="34" t="str">
        <f aca="false">IF(AND(C485="Won",V485&lt;&gt;"",V485&gt;=S_SemStart,V485&lt;=S_SemEnd),V485+ROW()/100000,"")</f>
        <v/>
      </c>
      <c r="AC485" s="34" t="str">
        <f aca="false">IF(AND(C485="Lost",V485&lt;&gt;"",V485&gt;=S_SemStart,V485&lt;=S_SemEnd),V485+ROW()/100000,"")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9"/>
      <c r="J486" s="29"/>
      <c r="K486" s="27"/>
      <c r="L486" s="27"/>
      <c r="M486" s="28"/>
      <c r="N486" s="28"/>
      <c r="O486" s="28"/>
      <c r="P486" s="28"/>
      <c r="Q486" s="27"/>
      <c r="R486" s="27"/>
      <c r="S486" s="27"/>
      <c r="T486" s="27"/>
      <c r="U486" s="28"/>
      <c r="V486" s="28"/>
      <c r="W486" s="27"/>
      <c r="X486" s="32" t="str">
        <f aca="false">IF(A486="","",IF(OR(C486="Planned",C486="Contacted",C486="Meeting",C486="Proposal sent",C486="Negotiation"),"Yes","No"))</f>
        <v/>
      </c>
      <c r="Y486" s="32" t="str">
        <f aca="false">IF(A486="","",IF(AND(C486="Won",P486&lt;&gt;"",P486&lt;=S_Today+S_RenewalDays,COUNTIFS($A$3:$A$502,A486,$F$3:$F$502,"Yes",$X$3:$X$502,"Yes")=0),"Renewal due",IF(X486&lt;&gt;"Yes","",IF(OR(L486="",M486=""),"Missing next action",IF(M486&lt;S_Today,"Overdue",IF(AND(C486="Contacted",_xlfn.MAXIFS(Interactions!$A$3:$A$502,Interactions!$B$3:$B$502,A486,Interactions!$F$3:$F$502,"Sent by us")&gt;0,_xlfn.MAXIFS(Interactions!$A$3:$A$502,Interactions!$B$3:$B$502,A486,Interactions!$F$3:$F$502,"Sent by us")&lt;=S_Today-S_NoReplyDays,MAX(_xlfn.MAXIFS(Interactions!$A$3:$A$502,Interactions!$B$3:$B$502,A486,Interactions!$F$3:$F$502,"Received from them"),_xlfn.MAXIFS(Interactions!$A$3:$A$502,Interactions!$B$3:$B$502,A486,Interactions!$F$3:$F$502,"Two-way"))&lt;_xlfn.MAXIFS(Interactions!$A$3:$A$502,Interactions!$B$3:$B$502,A486,Interactions!$F$3:$F$502,"Sent by us")),"No reply",IF(M486&lt;=S_Today+7,"Due this week","")))))))</f>
        <v/>
      </c>
      <c r="Z486" s="34" t="str">
        <f aca="false">IF(OR(A486="",Y486=""),"",IF(Y486="Renewal due",100000,IF(Y486="Overdue",200000,IF(Y486="No reply",300000,IF(Y486="Due this week",400000,500000))))+IF(Y486="Renewal due",P486-40000,IF(Y486="Missing next action",0,M486-40000))+ROW()/100000)</f>
        <v/>
      </c>
      <c r="AA486" s="32" t="str">
        <f aca="false">IF(A486="","",_xlfn.TEXTJOIN(", ",TRUE(),IF(AND(X486="Yes",D486=""),"No owner",IF(AND(D486&lt;&gt;"",COUNTIFS(R_TeamName,D486,R_TeamActive,"No")&gt;0),"Needs new owner","")),IF(AND(OR(C486="Proposal sent",C486="Negotiation"),H486="",I486="",K486=""),"Add package or proposed value",""),IF(AND(C486="Won",OR(P486="",V486="")),"Won needs renewal date and closed on",""),IF(AND(C486="Won",G486="Cash",J486=""),"Add agreed value",""),IF(AND(C486="Lost",OR(S486="",V486="")),"Lost needs reason and closed on",""),IF(AND(C486="Nurture",OR(T486="",U486="")),"Nurture needs reason and date","")))</f>
        <v/>
      </c>
      <c r="AB486" s="34" t="str">
        <f aca="false">IF(AND(C486="Won",V486&lt;&gt;"",V486&gt;=S_SemStart,V486&lt;=S_SemEnd),V486+ROW()/100000,"")</f>
        <v/>
      </c>
      <c r="AC486" s="34" t="str">
        <f aca="false">IF(AND(C486="Lost",V486&lt;&gt;"",V486&gt;=S_SemStart,V486&lt;=S_SemEnd),V486+ROW()/100000,"")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9"/>
      <c r="J487" s="29"/>
      <c r="K487" s="27"/>
      <c r="L487" s="27"/>
      <c r="M487" s="28"/>
      <c r="N487" s="28"/>
      <c r="O487" s="28"/>
      <c r="P487" s="28"/>
      <c r="Q487" s="27"/>
      <c r="R487" s="27"/>
      <c r="S487" s="27"/>
      <c r="T487" s="27"/>
      <c r="U487" s="28"/>
      <c r="V487" s="28"/>
      <c r="W487" s="27"/>
      <c r="X487" s="32" t="str">
        <f aca="false">IF(A487="","",IF(OR(C487="Planned",C487="Contacted",C487="Meeting",C487="Proposal sent",C487="Negotiation"),"Yes","No"))</f>
        <v/>
      </c>
      <c r="Y487" s="32" t="str">
        <f aca="false">IF(A487="","",IF(AND(C487="Won",P487&lt;&gt;"",P487&lt;=S_Today+S_RenewalDays,COUNTIFS($A$3:$A$502,A487,$F$3:$F$502,"Yes",$X$3:$X$502,"Yes")=0),"Renewal due",IF(X487&lt;&gt;"Yes","",IF(OR(L487="",M487=""),"Missing next action",IF(M487&lt;S_Today,"Overdue",IF(AND(C487="Contacted",_xlfn.MAXIFS(Interactions!$A$3:$A$502,Interactions!$B$3:$B$502,A487,Interactions!$F$3:$F$502,"Sent by us")&gt;0,_xlfn.MAXIFS(Interactions!$A$3:$A$502,Interactions!$B$3:$B$502,A487,Interactions!$F$3:$F$502,"Sent by us")&lt;=S_Today-S_NoReplyDays,MAX(_xlfn.MAXIFS(Interactions!$A$3:$A$502,Interactions!$B$3:$B$502,A487,Interactions!$F$3:$F$502,"Received from them"),_xlfn.MAXIFS(Interactions!$A$3:$A$502,Interactions!$B$3:$B$502,A487,Interactions!$F$3:$F$502,"Two-way"))&lt;_xlfn.MAXIFS(Interactions!$A$3:$A$502,Interactions!$B$3:$B$502,A487,Interactions!$F$3:$F$502,"Sent by us")),"No reply",IF(M487&lt;=S_Today+7,"Due this week","")))))))</f>
        <v/>
      </c>
      <c r="Z487" s="34" t="str">
        <f aca="false">IF(OR(A487="",Y487=""),"",IF(Y487="Renewal due",100000,IF(Y487="Overdue",200000,IF(Y487="No reply",300000,IF(Y487="Due this week",400000,500000))))+IF(Y487="Renewal due",P487-40000,IF(Y487="Missing next action",0,M487-40000))+ROW()/100000)</f>
        <v/>
      </c>
      <c r="AA487" s="32" t="str">
        <f aca="false">IF(A487="","",_xlfn.TEXTJOIN(", ",TRUE(),IF(AND(X487="Yes",D487=""),"No owner",IF(AND(D487&lt;&gt;"",COUNTIFS(R_TeamName,D487,R_TeamActive,"No")&gt;0),"Needs new owner","")),IF(AND(OR(C487="Proposal sent",C487="Negotiation"),H487="",I487="",K487=""),"Add package or proposed value",""),IF(AND(C487="Won",OR(P487="",V487="")),"Won needs renewal date and closed on",""),IF(AND(C487="Won",G487="Cash",J487=""),"Add agreed value",""),IF(AND(C487="Lost",OR(S487="",V487="")),"Lost needs reason and closed on",""),IF(AND(C487="Nurture",OR(T487="",U487="")),"Nurture needs reason and date","")))</f>
        <v/>
      </c>
      <c r="AB487" s="34" t="str">
        <f aca="false">IF(AND(C487="Won",V487&lt;&gt;"",V487&gt;=S_SemStart,V487&lt;=S_SemEnd),V487+ROW()/100000,"")</f>
        <v/>
      </c>
      <c r="AC487" s="34" t="str">
        <f aca="false">IF(AND(C487="Lost",V487&lt;&gt;"",V487&gt;=S_SemStart,V487&lt;=S_SemEnd),V487+ROW()/100000,"")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9"/>
      <c r="J488" s="29"/>
      <c r="K488" s="27"/>
      <c r="L488" s="27"/>
      <c r="M488" s="28"/>
      <c r="N488" s="28"/>
      <c r="O488" s="28"/>
      <c r="P488" s="28"/>
      <c r="Q488" s="27"/>
      <c r="R488" s="27"/>
      <c r="S488" s="27"/>
      <c r="T488" s="27"/>
      <c r="U488" s="28"/>
      <c r="V488" s="28"/>
      <c r="W488" s="27"/>
      <c r="X488" s="32" t="str">
        <f aca="false">IF(A488="","",IF(OR(C488="Planned",C488="Contacted",C488="Meeting",C488="Proposal sent",C488="Negotiation"),"Yes","No"))</f>
        <v/>
      </c>
      <c r="Y488" s="32" t="str">
        <f aca="false">IF(A488="","",IF(AND(C488="Won",P488&lt;&gt;"",P488&lt;=S_Today+S_RenewalDays,COUNTIFS($A$3:$A$502,A488,$F$3:$F$502,"Yes",$X$3:$X$502,"Yes")=0),"Renewal due",IF(X488&lt;&gt;"Yes","",IF(OR(L488="",M488=""),"Missing next action",IF(M488&lt;S_Today,"Overdue",IF(AND(C488="Contacted",_xlfn.MAXIFS(Interactions!$A$3:$A$502,Interactions!$B$3:$B$502,A488,Interactions!$F$3:$F$502,"Sent by us")&gt;0,_xlfn.MAXIFS(Interactions!$A$3:$A$502,Interactions!$B$3:$B$502,A488,Interactions!$F$3:$F$502,"Sent by us")&lt;=S_Today-S_NoReplyDays,MAX(_xlfn.MAXIFS(Interactions!$A$3:$A$502,Interactions!$B$3:$B$502,A488,Interactions!$F$3:$F$502,"Received from them"),_xlfn.MAXIFS(Interactions!$A$3:$A$502,Interactions!$B$3:$B$502,A488,Interactions!$F$3:$F$502,"Two-way"))&lt;_xlfn.MAXIFS(Interactions!$A$3:$A$502,Interactions!$B$3:$B$502,A488,Interactions!$F$3:$F$502,"Sent by us")),"No reply",IF(M488&lt;=S_Today+7,"Due this week","")))))))</f>
        <v/>
      </c>
      <c r="Z488" s="34" t="str">
        <f aca="false">IF(OR(A488="",Y488=""),"",IF(Y488="Renewal due",100000,IF(Y488="Overdue",200000,IF(Y488="No reply",300000,IF(Y488="Due this week",400000,500000))))+IF(Y488="Renewal due",P488-40000,IF(Y488="Missing next action",0,M488-40000))+ROW()/100000)</f>
        <v/>
      </c>
      <c r="AA488" s="32" t="str">
        <f aca="false">IF(A488="","",_xlfn.TEXTJOIN(", ",TRUE(),IF(AND(X488="Yes",D488=""),"No owner",IF(AND(D488&lt;&gt;"",COUNTIFS(R_TeamName,D488,R_TeamActive,"No")&gt;0),"Needs new owner","")),IF(AND(OR(C488="Proposal sent",C488="Negotiation"),H488="",I488="",K488=""),"Add package or proposed value",""),IF(AND(C488="Won",OR(P488="",V488="")),"Won needs renewal date and closed on",""),IF(AND(C488="Won",G488="Cash",J488=""),"Add agreed value",""),IF(AND(C488="Lost",OR(S488="",V488="")),"Lost needs reason and closed on",""),IF(AND(C488="Nurture",OR(T488="",U488="")),"Nurture needs reason and date","")))</f>
        <v/>
      </c>
      <c r="AB488" s="34" t="str">
        <f aca="false">IF(AND(C488="Won",V488&lt;&gt;"",V488&gt;=S_SemStart,V488&lt;=S_SemEnd),V488+ROW()/100000,"")</f>
        <v/>
      </c>
      <c r="AC488" s="34" t="str">
        <f aca="false">IF(AND(C488="Lost",V488&lt;&gt;"",V488&gt;=S_SemStart,V488&lt;=S_SemEnd),V488+ROW()/100000,"")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9"/>
      <c r="J489" s="29"/>
      <c r="K489" s="27"/>
      <c r="L489" s="27"/>
      <c r="M489" s="28"/>
      <c r="N489" s="28"/>
      <c r="O489" s="28"/>
      <c r="P489" s="28"/>
      <c r="Q489" s="27"/>
      <c r="R489" s="27"/>
      <c r="S489" s="27"/>
      <c r="T489" s="27"/>
      <c r="U489" s="28"/>
      <c r="V489" s="28"/>
      <c r="W489" s="27"/>
      <c r="X489" s="32" t="str">
        <f aca="false">IF(A489="","",IF(OR(C489="Planned",C489="Contacted",C489="Meeting",C489="Proposal sent",C489="Negotiation"),"Yes","No"))</f>
        <v/>
      </c>
      <c r="Y489" s="32" t="str">
        <f aca="false">IF(A489="","",IF(AND(C489="Won",P489&lt;&gt;"",P489&lt;=S_Today+S_RenewalDays,COUNTIFS($A$3:$A$502,A489,$F$3:$F$502,"Yes",$X$3:$X$502,"Yes")=0),"Renewal due",IF(X489&lt;&gt;"Yes","",IF(OR(L489="",M489=""),"Missing next action",IF(M489&lt;S_Today,"Overdue",IF(AND(C489="Contacted",_xlfn.MAXIFS(Interactions!$A$3:$A$502,Interactions!$B$3:$B$502,A489,Interactions!$F$3:$F$502,"Sent by us")&gt;0,_xlfn.MAXIFS(Interactions!$A$3:$A$502,Interactions!$B$3:$B$502,A489,Interactions!$F$3:$F$502,"Sent by us")&lt;=S_Today-S_NoReplyDays,MAX(_xlfn.MAXIFS(Interactions!$A$3:$A$502,Interactions!$B$3:$B$502,A489,Interactions!$F$3:$F$502,"Received from them"),_xlfn.MAXIFS(Interactions!$A$3:$A$502,Interactions!$B$3:$B$502,A489,Interactions!$F$3:$F$502,"Two-way"))&lt;_xlfn.MAXIFS(Interactions!$A$3:$A$502,Interactions!$B$3:$B$502,A489,Interactions!$F$3:$F$502,"Sent by us")),"No reply",IF(M489&lt;=S_Today+7,"Due this week","")))))))</f>
        <v/>
      </c>
      <c r="Z489" s="34" t="str">
        <f aca="false">IF(OR(A489="",Y489=""),"",IF(Y489="Renewal due",100000,IF(Y489="Overdue",200000,IF(Y489="No reply",300000,IF(Y489="Due this week",400000,500000))))+IF(Y489="Renewal due",P489-40000,IF(Y489="Missing next action",0,M489-40000))+ROW()/100000)</f>
        <v/>
      </c>
      <c r="AA489" s="32" t="str">
        <f aca="false">IF(A489="","",_xlfn.TEXTJOIN(", ",TRUE(),IF(AND(X489="Yes",D489=""),"No owner",IF(AND(D489&lt;&gt;"",COUNTIFS(R_TeamName,D489,R_TeamActive,"No")&gt;0),"Needs new owner","")),IF(AND(OR(C489="Proposal sent",C489="Negotiation"),H489="",I489="",K489=""),"Add package or proposed value",""),IF(AND(C489="Won",OR(P489="",V489="")),"Won needs renewal date and closed on",""),IF(AND(C489="Won",G489="Cash",J489=""),"Add agreed value",""),IF(AND(C489="Lost",OR(S489="",V489="")),"Lost needs reason and closed on",""),IF(AND(C489="Nurture",OR(T489="",U489="")),"Nurture needs reason and date","")))</f>
        <v/>
      </c>
      <c r="AB489" s="34" t="str">
        <f aca="false">IF(AND(C489="Won",V489&lt;&gt;"",V489&gt;=S_SemStart,V489&lt;=S_SemEnd),V489+ROW()/100000,"")</f>
        <v/>
      </c>
      <c r="AC489" s="34" t="str">
        <f aca="false">IF(AND(C489="Lost",V489&lt;&gt;"",V489&gt;=S_SemStart,V489&lt;=S_SemEnd),V489+ROW()/100000,"")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9"/>
      <c r="J490" s="29"/>
      <c r="K490" s="27"/>
      <c r="L490" s="27"/>
      <c r="M490" s="28"/>
      <c r="N490" s="28"/>
      <c r="O490" s="28"/>
      <c r="P490" s="28"/>
      <c r="Q490" s="27"/>
      <c r="R490" s="27"/>
      <c r="S490" s="27"/>
      <c r="T490" s="27"/>
      <c r="U490" s="28"/>
      <c r="V490" s="28"/>
      <c r="W490" s="27"/>
      <c r="X490" s="32" t="str">
        <f aca="false">IF(A490="","",IF(OR(C490="Planned",C490="Contacted",C490="Meeting",C490="Proposal sent",C490="Negotiation"),"Yes","No"))</f>
        <v/>
      </c>
      <c r="Y490" s="32" t="str">
        <f aca="false">IF(A490="","",IF(AND(C490="Won",P490&lt;&gt;"",P490&lt;=S_Today+S_RenewalDays,COUNTIFS($A$3:$A$502,A490,$F$3:$F$502,"Yes",$X$3:$X$502,"Yes")=0),"Renewal due",IF(X490&lt;&gt;"Yes","",IF(OR(L490="",M490=""),"Missing next action",IF(M490&lt;S_Today,"Overdue",IF(AND(C490="Contacted",_xlfn.MAXIFS(Interactions!$A$3:$A$502,Interactions!$B$3:$B$502,A490,Interactions!$F$3:$F$502,"Sent by us")&gt;0,_xlfn.MAXIFS(Interactions!$A$3:$A$502,Interactions!$B$3:$B$502,A490,Interactions!$F$3:$F$502,"Sent by us")&lt;=S_Today-S_NoReplyDays,MAX(_xlfn.MAXIFS(Interactions!$A$3:$A$502,Interactions!$B$3:$B$502,A490,Interactions!$F$3:$F$502,"Received from them"),_xlfn.MAXIFS(Interactions!$A$3:$A$502,Interactions!$B$3:$B$502,A490,Interactions!$F$3:$F$502,"Two-way"))&lt;_xlfn.MAXIFS(Interactions!$A$3:$A$502,Interactions!$B$3:$B$502,A490,Interactions!$F$3:$F$502,"Sent by us")),"No reply",IF(M490&lt;=S_Today+7,"Due this week","")))))))</f>
        <v/>
      </c>
      <c r="Z490" s="34" t="str">
        <f aca="false">IF(OR(A490="",Y490=""),"",IF(Y490="Renewal due",100000,IF(Y490="Overdue",200000,IF(Y490="No reply",300000,IF(Y490="Due this week",400000,500000))))+IF(Y490="Renewal due",P490-40000,IF(Y490="Missing next action",0,M490-40000))+ROW()/100000)</f>
        <v/>
      </c>
      <c r="AA490" s="32" t="str">
        <f aca="false">IF(A490="","",_xlfn.TEXTJOIN(", ",TRUE(),IF(AND(X490="Yes",D490=""),"No owner",IF(AND(D490&lt;&gt;"",COUNTIFS(R_TeamName,D490,R_TeamActive,"No")&gt;0),"Needs new owner","")),IF(AND(OR(C490="Proposal sent",C490="Negotiation"),H490="",I490="",K490=""),"Add package or proposed value",""),IF(AND(C490="Won",OR(P490="",V490="")),"Won needs renewal date and closed on",""),IF(AND(C490="Won",G490="Cash",J490=""),"Add agreed value",""),IF(AND(C490="Lost",OR(S490="",V490="")),"Lost needs reason and closed on",""),IF(AND(C490="Nurture",OR(T490="",U490="")),"Nurture needs reason and date","")))</f>
        <v/>
      </c>
      <c r="AB490" s="34" t="str">
        <f aca="false">IF(AND(C490="Won",V490&lt;&gt;"",V490&gt;=S_SemStart,V490&lt;=S_SemEnd),V490+ROW()/100000,"")</f>
        <v/>
      </c>
      <c r="AC490" s="34" t="str">
        <f aca="false">IF(AND(C490="Lost",V490&lt;&gt;"",V490&gt;=S_SemStart,V490&lt;=S_SemEnd),V490+ROW()/100000,"")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9"/>
      <c r="J491" s="29"/>
      <c r="K491" s="27"/>
      <c r="L491" s="27"/>
      <c r="M491" s="28"/>
      <c r="N491" s="28"/>
      <c r="O491" s="28"/>
      <c r="P491" s="28"/>
      <c r="Q491" s="27"/>
      <c r="R491" s="27"/>
      <c r="S491" s="27"/>
      <c r="T491" s="27"/>
      <c r="U491" s="28"/>
      <c r="V491" s="28"/>
      <c r="W491" s="27"/>
      <c r="X491" s="32" t="str">
        <f aca="false">IF(A491="","",IF(OR(C491="Planned",C491="Contacted",C491="Meeting",C491="Proposal sent",C491="Negotiation"),"Yes","No"))</f>
        <v/>
      </c>
      <c r="Y491" s="32" t="str">
        <f aca="false">IF(A491="","",IF(AND(C491="Won",P491&lt;&gt;"",P491&lt;=S_Today+S_RenewalDays,COUNTIFS($A$3:$A$502,A491,$F$3:$F$502,"Yes",$X$3:$X$502,"Yes")=0),"Renewal due",IF(X491&lt;&gt;"Yes","",IF(OR(L491="",M491=""),"Missing next action",IF(M491&lt;S_Today,"Overdue",IF(AND(C491="Contacted",_xlfn.MAXIFS(Interactions!$A$3:$A$502,Interactions!$B$3:$B$502,A491,Interactions!$F$3:$F$502,"Sent by us")&gt;0,_xlfn.MAXIFS(Interactions!$A$3:$A$502,Interactions!$B$3:$B$502,A491,Interactions!$F$3:$F$502,"Sent by us")&lt;=S_Today-S_NoReplyDays,MAX(_xlfn.MAXIFS(Interactions!$A$3:$A$502,Interactions!$B$3:$B$502,A491,Interactions!$F$3:$F$502,"Received from them"),_xlfn.MAXIFS(Interactions!$A$3:$A$502,Interactions!$B$3:$B$502,A491,Interactions!$F$3:$F$502,"Two-way"))&lt;_xlfn.MAXIFS(Interactions!$A$3:$A$502,Interactions!$B$3:$B$502,A491,Interactions!$F$3:$F$502,"Sent by us")),"No reply",IF(M491&lt;=S_Today+7,"Due this week","")))))))</f>
        <v/>
      </c>
      <c r="Z491" s="34" t="str">
        <f aca="false">IF(OR(A491="",Y491=""),"",IF(Y491="Renewal due",100000,IF(Y491="Overdue",200000,IF(Y491="No reply",300000,IF(Y491="Due this week",400000,500000))))+IF(Y491="Renewal due",P491-40000,IF(Y491="Missing next action",0,M491-40000))+ROW()/100000)</f>
        <v/>
      </c>
      <c r="AA491" s="32" t="str">
        <f aca="false">IF(A491="","",_xlfn.TEXTJOIN(", ",TRUE(),IF(AND(X491="Yes",D491=""),"No owner",IF(AND(D491&lt;&gt;"",COUNTIFS(R_TeamName,D491,R_TeamActive,"No")&gt;0),"Needs new owner","")),IF(AND(OR(C491="Proposal sent",C491="Negotiation"),H491="",I491="",K491=""),"Add package or proposed value",""),IF(AND(C491="Won",OR(P491="",V491="")),"Won needs renewal date and closed on",""),IF(AND(C491="Won",G491="Cash",J491=""),"Add agreed value",""),IF(AND(C491="Lost",OR(S491="",V491="")),"Lost needs reason and closed on",""),IF(AND(C491="Nurture",OR(T491="",U491="")),"Nurture needs reason and date","")))</f>
        <v/>
      </c>
      <c r="AB491" s="34" t="str">
        <f aca="false">IF(AND(C491="Won",V491&lt;&gt;"",V491&gt;=S_SemStart,V491&lt;=S_SemEnd),V491+ROW()/100000,"")</f>
        <v/>
      </c>
      <c r="AC491" s="34" t="str">
        <f aca="false">IF(AND(C491="Lost",V491&lt;&gt;"",V491&gt;=S_SemStart,V491&lt;=S_SemEnd),V491+ROW()/100000,"")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9"/>
      <c r="J492" s="29"/>
      <c r="K492" s="27"/>
      <c r="L492" s="27"/>
      <c r="M492" s="28"/>
      <c r="N492" s="28"/>
      <c r="O492" s="28"/>
      <c r="P492" s="28"/>
      <c r="Q492" s="27"/>
      <c r="R492" s="27"/>
      <c r="S492" s="27"/>
      <c r="T492" s="27"/>
      <c r="U492" s="28"/>
      <c r="V492" s="28"/>
      <c r="W492" s="27"/>
      <c r="X492" s="32" t="str">
        <f aca="false">IF(A492="","",IF(OR(C492="Planned",C492="Contacted",C492="Meeting",C492="Proposal sent",C492="Negotiation"),"Yes","No"))</f>
        <v/>
      </c>
      <c r="Y492" s="32" t="str">
        <f aca="false">IF(A492="","",IF(AND(C492="Won",P492&lt;&gt;"",P492&lt;=S_Today+S_RenewalDays,COUNTIFS($A$3:$A$502,A492,$F$3:$F$502,"Yes",$X$3:$X$502,"Yes")=0),"Renewal due",IF(X492&lt;&gt;"Yes","",IF(OR(L492="",M492=""),"Missing next action",IF(M492&lt;S_Today,"Overdue",IF(AND(C492="Contacted",_xlfn.MAXIFS(Interactions!$A$3:$A$502,Interactions!$B$3:$B$502,A492,Interactions!$F$3:$F$502,"Sent by us")&gt;0,_xlfn.MAXIFS(Interactions!$A$3:$A$502,Interactions!$B$3:$B$502,A492,Interactions!$F$3:$F$502,"Sent by us")&lt;=S_Today-S_NoReplyDays,MAX(_xlfn.MAXIFS(Interactions!$A$3:$A$502,Interactions!$B$3:$B$502,A492,Interactions!$F$3:$F$502,"Received from them"),_xlfn.MAXIFS(Interactions!$A$3:$A$502,Interactions!$B$3:$B$502,A492,Interactions!$F$3:$F$502,"Two-way"))&lt;_xlfn.MAXIFS(Interactions!$A$3:$A$502,Interactions!$B$3:$B$502,A492,Interactions!$F$3:$F$502,"Sent by us")),"No reply",IF(M492&lt;=S_Today+7,"Due this week","")))))))</f>
        <v/>
      </c>
      <c r="Z492" s="34" t="str">
        <f aca="false">IF(OR(A492="",Y492=""),"",IF(Y492="Renewal due",100000,IF(Y492="Overdue",200000,IF(Y492="No reply",300000,IF(Y492="Due this week",400000,500000))))+IF(Y492="Renewal due",P492-40000,IF(Y492="Missing next action",0,M492-40000))+ROW()/100000)</f>
        <v/>
      </c>
      <c r="AA492" s="32" t="str">
        <f aca="false">IF(A492="","",_xlfn.TEXTJOIN(", ",TRUE(),IF(AND(X492="Yes",D492=""),"No owner",IF(AND(D492&lt;&gt;"",COUNTIFS(R_TeamName,D492,R_TeamActive,"No")&gt;0),"Needs new owner","")),IF(AND(OR(C492="Proposal sent",C492="Negotiation"),H492="",I492="",K492=""),"Add package or proposed value",""),IF(AND(C492="Won",OR(P492="",V492="")),"Won needs renewal date and closed on",""),IF(AND(C492="Won",G492="Cash",J492=""),"Add agreed value",""),IF(AND(C492="Lost",OR(S492="",V492="")),"Lost needs reason and closed on",""),IF(AND(C492="Nurture",OR(T492="",U492="")),"Nurture needs reason and date","")))</f>
        <v/>
      </c>
      <c r="AB492" s="34" t="str">
        <f aca="false">IF(AND(C492="Won",V492&lt;&gt;"",V492&gt;=S_SemStart,V492&lt;=S_SemEnd),V492+ROW()/100000,"")</f>
        <v/>
      </c>
      <c r="AC492" s="34" t="str">
        <f aca="false">IF(AND(C492="Lost",V492&lt;&gt;"",V492&gt;=S_SemStart,V492&lt;=S_SemEnd),V492+ROW()/100000,"")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9"/>
      <c r="J493" s="29"/>
      <c r="K493" s="27"/>
      <c r="L493" s="27"/>
      <c r="M493" s="28"/>
      <c r="N493" s="28"/>
      <c r="O493" s="28"/>
      <c r="P493" s="28"/>
      <c r="Q493" s="27"/>
      <c r="R493" s="27"/>
      <c r="S493" s="27"/>
      <c r="T493" s="27"/>
      <c r="U493" s="28"/>
      <c r="V493" s="28"/>
      <c r="W493" s="27"/>
      <c r="X493" s="32" t="str">
        <f aca="false">IF(A493="","",IF(OR(C493="Planned",C493="Contacted",C493="Meeting",C493="Proposal sent",C493="Negotiation"),"Yes","No"))</f>
        <v/>
      </c>
      <c r="Y493" s="32" t="str">
        <f aca="false">IF(A493="","",IF(AND(C493="Won",P493&lt;&gt;"",P493&lt;=S_Today+S_RenewalDays,COUNTIFS($A$3:$A$502,A493,$F$3:$F$502,"Yes",$X$3:$X$502,"Yes")=0),"Renewal due",IF(X493&lt;&gt;"Yes","",IF(OR(L493="",M493=""),"Missing next action",IF(M493&lt;S_Today,"Overdue",IF(AND(C493="Contacted",_xlfn.MAXIFS(Interactions!$A$3:$A$502,Interactions!$B$3:$B$502,A493,Interactions!$F$3:$F$502,"Sent by us")&gt;0,_xlfn.MAXIFS(Interactions!$A$3:$A$502,Interactions!$B$3:$B$502,A493,Interactions!$F$3:$F$502,"Sent by us")&lt;=S_Today-S_NoReplyDays,MAX(_xlfn.MAXIFS(Interactions!$A$3:$A$502,Interactions!$B$3:$B$502,A493,Interactions!$F$3:$F$502,"Received from them"),_xlfn.MAXIFS(Interactions!$A$3:$A$502,Interactions!$B$3:$B$502,A493,Interactions!$F$3:$F$502,"Two-way"))&lt;_xlfn.MAXIFS(Interactions!$A$3:$A$502,Interactions!$B$3:$B$502,A493,Interactions!$F$3:$F$502,"Sent by us")),"No reply",IF(M493&lt;=S_Today+7,"Due this week","")))))))</f>
        <v/>
      </c>
      <c r="Z493" s="34" t="str">
        <f aca="false">IF(OR(A493="",Y493=""),"",IF(Y493="Renewal due",100000,IF(Y493="Overdue",200000,IF(Y493="No reply",300000,IF(Y493="Due this week",400000,500000))))+IF(Y493="Renewal due",P493-40000,IF(Y493="Missing next action",0,M493-40000))+ROW()/100000)</f>
        <v/>
      </c>
      <c r="AA493" s="32" t="str">
        <f aca="false">IF(A493="","",_xlfn.TEXTJOIN(", ",TRUE(),IF(AND(X493="Yes",D493=""),"No owner",IF(AND(D493&lt;&gt;"",COUNTIFS(R_TeamName,D493,R_TeamActive,"No")&gt;0),"Needs new owner","")),IF(AND(OR(C493="Proposal sent",C493="Negotiation"),H493="",I493="",K493=""),"Add package or proposed value",""),IF(AND(C493="Won",OR(P493="",V493="")),"Won needs renewal date and closed on",""),IF(AND(C493="Won",G493="Cash",J493=""),"Add agreed value",""),IF(AND(C493="Lost",OR(S493="",V493="")),"Lost needs reason and closed on",""),IF(AND(C493="Nurture",OR(T493="",U493="")),"Nurture needs reason and date","")))</f>
        <v/>
      </c>
      <c r="AB493" s="34" t="str">
        <f aca="false">IF(AND(C493="Won",V493&lt;&gt;"",V493&gt;=S_SemStart,V493&lt;=S_SemEnd),V493+ROW()/100000,"")</f>
        <v/>
      </c>
      <c r="AC493" s="34" t="str">
        <f aca="false">IF(AND(C493="Lost",V493&lt;&gt;"",V493&gt;=S_SemStart,V493&lt;=S_SemEnd),V493+ROW()/100000,"")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9"/>
      <c r="J494" s="29"/>
      <c r="K494" s="27"/>
      <c r="L494" s="27"/>
      <c r="M494" s="28"/>
      <c r="N494" s="28"/>
      <c r="O494" s="28"/>
      <c r="P494" s="28"/>
      <c r="Q494" s="27"/>
      <c r="R494" s="27"/>
      <c r="S494" s="27"/>
      <c r="T494" s="27"/>
      <c r="U494" s="28"/>
      <c r="V494" s="28"/>
      <c r="W494" s="27"/>
      <c r="X494" s="32" t="str">
        <f aca="false">IF(A494="","",IF(OR(C494="Planned",C494="Contacted",C494="Meeting",C494="Proposal sent",C494="Negotiation"),"Yes","No"))</f>
        <v/>
      </c>
      <c r="Y494" s="32" t="str">
        <f aca="false">IF(A494="","",IF(AND(C494="Won",P494&lt;&gt;"",P494&lt;=S_Today+S_RenewalDays,COUNTIFS($A$3:$A$502,A494,$F$3:$F$502,"Yes",$X$3:$X$502,"Yes")=0),"Renewal due",IF(X494&lt;&gt;"Yes","",IF(OR(L494="",M494=""),"Missing next action",IF(M494&lt;S_Today,"Overdue",IF(AND(C494="Contacted",_xlfn.MAXIFS(Interactions!$A$3:$A$502,Interactions!$B$3:$B$502,A494,Interactions!$F$3:$F$502,"Sent by us")&gt;0,_xlfn.MAXIFS(Interactions!$A$3:$A$502,Interactions!$B$3:$B$502,A494,Interactions!$F$3:$F$502,"Sent by us")&lt;=S_Today-S_NoReplyDays,MAX(_xlfn.MAXIFS(Interactions!$A$3:$A$502,Interactions!$B$3:$B$502,A494,Interactions!$F$3:$F$502,"Received from them"),_xlfn.MAXIFS(Interactions!$A$3:$A$502,Interactions!$B$3:$B$502,A494,Interactions!$F$3:$F$502,"Two-way"))&lt;_xlfn.MAXIFS(Interactions!$A$3:$A$502,Interactions!$B$3:$B$502,A494,Interactions!$F$3:$F$502,"Sent by us")),"No reply",IF(M494&lt;=S_Today+7,"Due this week","")))))))</f>
        <v/>
      </c>
      <c r="Z494" s="34" t="str">
        <f aca="false">IF(OR(A494="",Y494=""),"",IF(Y494="Renewal due",100000,IF(Y494="Overdue",200000,IF(Y494="No reply",300000,IF(Y494="Due this week",400000,500000))))+IF(Y494="Renewal due",P494-40000,IF(Y494="Missing next action",0,M494-40000))+ROW()/100000)</f>
        <v/>
      </c>
      <c r="AA494" s="32" t="str">
        <f aca="false">IF(A494="","",_xlfn.TEXTJOIN(", ",TRUE(),IF(AND(X494="Yes",D494=""),"No owner",IF(AND(D494&lt;&gt;"",COUNTIFS(R_TeamName,D494,R_TeamActive,"No")&gt;0),"Needs new owner","")),IF(AND(OR(C494="Proposal sent",C494="Negotiation"),H494="",I494="",K494=""),"Add package or proposed value",""),IF(AND(C494="Won",OR(P494="",V494="")),"Won needs renewal date and closed on",""),IF(AND(C494="Won",G494="Cash",J494=""),"Add agreed value",""),IF(AND(C494="Lost",OR(S494="",V494="")),"Lost needs reason and closed on",""),IF(AND(C494="Nurture",OR(T494="",U494="")),"Nurture needs reason and date","")))</f>
        <v/>
      </c>
      <c r="AB494" s="34" t="str">
        <f aca="false">IF(AND(C494="Won",V494&lt;&gt;"",V494&gt;=S_SemStart,V494&lt;=S_SemEnd),V494+ROW()/100000,"")</f>
        <v/>
      </c>
      <c r="AC494" s="34" t="str">
        <f aca="false">IF(AND(C494="Lost",V494&lt;&gt;"",V494&gt;=S_SemStart,V494&lt;=S_SemEnd),V494+ROW()/100000,"")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9"/>
      <c r="J495" s="29"/>
      <c r="K495" s="27"/>
      <c r="L495" s="27"/>
      <c r="M495" s="28"/>
      <c r="N495" s="28"/>
      <c r="O495" s="28"/>
      <c r="P495" s="28"/>
      <c r="Q495" s="27"/>
      <c r="R495" s="27"/>
      <c r="S495" s="27"/>
      <c r="T495" s="27"/>
      <c r="U495" s="28"/>
      <c r="V495" s="28"/>
      <c r="W495" s="27"/>
      <c r="X495" s="32" t="str">
        <f aca="false">IF(A495="","",IF(OR(C495="Planned",C495="Contacted",C495="Meeting",C495="Proposal sent",C495="Negotiation"),"Yes","No"))</f>
        <v/>
      </c>
      <c r="Y495" s="32" t="str">
        <f aca="false">IF(A495="","",IF(AND(C495="Won",P495&lt;&gt;"",P495&lt;=S_Today+S_RenewalDays,COUNTIFS($A$3:$A$502,A495,$F$3:$F$502,"Yes",$X$3:$X$502,"Yes")=0),"Renewal due",IF(X495&lt;&gt;"Yes","",IF(OR(L495="",M495=""),"Missing next action",IF(M495&lt;S_Today,"Overdue",IF(AND(C495="Contacted",_xlfn.MAXIFS(Interactions!$A$3:$A$502,Interactions!$B$3:$B$502,A495,Interactions!$F$3:$F$502,"Sent by us")&gt;0,_xlfn.MAXIFS(Interactions!$A$3:$A$502,Interactions!$B$3:$B$502,A495,Interactions!$F$3:$F$502,"Sent by us")&lt;=S_Today-S_NoReplyDays,MAX(_xlfn.MAXIFS(Interactions!$A$3:$A$502,Interactions!$B$3:$B$502,A495,Interactions!$F$3:$F$502,"Received from them"),_xlfn.MAXIFS(Interactions!$A$3:$A$502,Interactions!$B$3:$B$502,A495,Interactions!$F$3:$F$502,"Two-way"))&lt;_xlfn.MAXIFS(Interactions!$A$3:$A$502,Interactions!$B$3:$B$502,A495,Interactions!$F$3:$F$502,"Sent by us")),"No reply",IF(M495&lt;=S_Today+7,"Due this week","")))))))</f>
        <v/>
      </c>
      <c r="Z495" s="34" t="str">
        <f aca="false">IF(OR(A495="",Y495=""),"",IF(Y495="Renewal due",100000,IF(Y495="Overdue",200000,IF(Y495="No reply",300000,IF(Y495="Due this week",400000,500000))))+IF(Y495="Renewal due",P495-40000,IF(Y495="Missing next action",0,M495-40000))+ROW()/100000)</f>
        <v/>
      </c>
      <c r="AA495" s="32" t="str">
        <f aca="false">IF(A495="","",_xlfn.TEXTJOIN(", ",TRUE(),IF(AND(X495="Yes",D495=""),"No owner",IF(AND(D495&lt;&gt;"",COUNTIFS(R_TeamName,D495,R_TeamActive,"No")&gt;0),"Needs new owner","")),IF(AND(OR(C495="Proposal sent",C495="Negotiation"),H495="",I495="",K495=""),"Add package or proposed value",""),IF(AND(C495="Won",OR(P495="",V495="")),"Won needs renewal date and closed on",""),IF(AND(C495="Won",G495="Cash",J495=""),"Add agreed value",""),IF(AND(C495="Lost",OR(S495="",V495="")),"Lost needs reason and closed on",""),IF(AND(C495="Nurture",OR(T495="",U495="")),"Nurture needs reason and date","")))</f>
        <v/>
      </c>
      <c r="AB495" s="34" t="str">
        <f aca="false">IF(AND(C495="Won",V495&lt;&gt;"",V495&gt;=S_SemStart,V495&lt;=S_SemEnd),V495+ROW()/100000,"")</f>
        <v/>
      </c>
      <c r="AC495" s="34" t="str">
        <f aca="false">IF(AND(C495="Lost",V495&lt;&gt;"",V495&gt;=S_SemStart,V495&lt;=S_SemEnd),V495+ROW()/100000,"")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9"/>
      <c r="J496" s="29"/>
      <c r="K496" s="27"/>
      <c r="L496" s="27"/>
      <c r="M496" s="28"/>
      <c r="N496" s="28"/>
      <c r="O496" s="28"/>
      <c r="P496" s="28"/>
      <c r="Q496" s="27"/>
      <c r="R496" s="27"/>
      <c r="S496" s="27"/>
      <c r="T496" s="27"/>
      <c r="U496" s="28"/>
      <c r="V496" s="28"/>
      <c r="W496" s="27"/>
      <c r="X496" s="32" t="str">
        <f aca="false">IF(A496="","",IF(OR(C496="Planned",C496="Contacted",C496="Meeting",C496="Proposal sent",C496="Negotiation"),"Yes","No"))</f>
        <v/>
      </c>
      <c r="Y496" s="32" t="str">
        <f aca="false">IF(A496="","",IF(AND(C496="Won",P496&lt;&gt;"",P496&lt;=S_Today+S_RenewalDays,COUNTIFS($A$3:$A$502,A496,$F$3:$F$502,"Yes",$X$3:$X$502,"Yes")=0),"Renewal due",IF(X496&lt;&gt;"Yes","",IF(OR(L496="",M496=""),"Missing next action",IF(M496&lt;S_Today,"Overdue",IF(AND(C496="Contacted",_xlfn.MAXIFS(Interactions!$A$3:$A$502,Interactions!$B$3:$B$502,A496,Interactions!$F$3:$F$502,"Sent by us")&gt;0,_xlfn.MAXIFS(Interactions!$A$3:$A$502,Interactions!$B$3:$B$502,A496,Interactions!$F$3:$F$502,"Sent by us")&lt;=S_Today-S_NoReplyDays,MAX(_xlfn.MAXIFS(Interactions!$A$3:$A$502,Interactions!$B$3:$B$502,A496,Interactions!$F$3:$F$502,"Received from them"),_xlfn.MAXIFS(Interactions!$A$3:$A$502,Interactions!$B$3:$B$502,A496,Interactions!$F$3:$F$502,"Two-way"))&lt;_xlfn.MAXIFS(Interactions!$A$3:$A$502,Interactions!$B$3:$B$502,A496,Interactions!$F$3:$F$502,"Sent by us")),"No reply",IF(M496&lt;=S_Today+7,"Due this week","")))))))</f>
        <v/>
      </c>
      <c r="Z496" s="34" t="str">
        <f aca="false">IF(OR(A496="",Y496=""),"",IF(Y496="Renewal due",100000,IF(Y496="Overdue",200000,IF(Y496="No reply",300000,IF(Y496="Due this week",400000,500000))))+IF(Y496="Renewal due",P496-40000,IF(Y496="Missing next action",0,M496-40000))+ROW()/100000)</f>
        <v/>
      </c>
      <c r="AA496" s="32" t="str">
        <f aca="false">IF(A496="","",_xlfn.TEXTJOIN(", ",TRUE(),IF(AND(X496="Yes",D496=""),"No owner",IF(AND(D496&lt;&gt;"",COUNTIFS(R_TeamName,D496,R_TeamActive,"No")&gt;0),"Needs new owner","")),IF(AND(OR(C496="Proposal sent",C496="Negotiation"),H496="",I496="",K496=""),"Add package or proposed value",""),IF(AND(C496="Won",OR(P496="",V496="")),"Won needs renewal date and closed on",""),IF(AND(C496="Won",G496="Cash",J496=""),"Add agreed value",""),IF(AND(C496="Lost",OR(S496="",V496="")),"Lost needs reason and closed on",""),IF(AND(C496="Nurture",OR(T496="",U496="")),"Nurture needs reason and date","")))</f>
        <v/>
      </c>
      <c r="AB496" s="34" t="str">
        <f aca="false">IF(AND(C496="Won",V496&lt;&gt;"",V496&gt;=S_SemStart,V496&lt;=S_SemEnd),V496+ROW()/100000,"")</f>
        <v/>
      </c>
      <c r="AC496" s="34" t="str">
        <f aca="false">IF(AND(C496="Lost",V496&lt;&gt;"",V496&gt;=S_SemStart,V496&lt;=S_SemEnd),V496+ROW()/100000,"")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9"/>
      <c r="J497" s="29"/>
      <c r="K497" s="27"/>
      <c r="L497" s="27"/>
      <c r="M497" s="28"/>
      <c r="N497" s="28"/>
      <c r="O497" s="28"/>
      <c r="P497" s="28"/>
      <c r="Q497" s="27"/>
      <c r="R497" s="27"/>
      <c r="S497" s="27"/>
      <c r="T497" s="27"/>
      <c r="U497" s="28"/>
      <c r="V497" s="28"/>
      <c r="W497" s="27"/>
      <c r="X497" s="32" t="str">
        <f aca="false">IF(A497="","",IF(OR(C497="Planned",C497="Contacted",C497="Meeting",C497="Proposal sent",C497="Negotiation"),"Yes","No"))</f>
        <v/>
      </c>
      <c r="Y497" s="32" t="str">
        <f aca="false">IF(A497="","",IF(AND(C497="Won",P497&lt;&gt;"",P497&lt;=S_Today+S_RenewalDays,COUNTIFS($A$3:$A$502,A497,$F$3:$F$502,"Yes",$X$3:$X$502,"Yes")=0),"Renewal due",IF(X497&lt;&gt;"Yes","",IF(OR(L497="",M497=""),"Missing next action",IF(M497&lt;S_Today,"Overdue",IF(AND(C497="Contacted",_xlfn.MAXIFS(Interactions!$A$3:$A$502,Interactions!$B$3:$B$502,A497,Interactions!$F$3:$F$502,"Sent by us")&gt;0,_xlfn.MAXIFS(Interactions!$A$3:$A$502,Interactions!$B$3:$B$502,A497,Interactions!$F$3:$F$502,"Sent by us")&lt;=S_Today-S_NoReplyDays,MAX(_xlfn.MAXIFS(Interactions!$A$3:$A$502,Interactions!$B$3:$B$502,A497,Interactions!$F$3:$F$502,"Received from them"),_xlfn.MAXIFS(Interactions!$A$3:$A$502,Interactions!$B$3:$B$502,A497,Interactions!$F$3:$F$502,"Two-way"))&lt;_xlfn.MAXIFS(Interactions!$A$3:$A$502,Interactions!$B$3:$B$502,A497,Interactions!$F$3:$F$502,"Sent by us")),"No reply",IF(M497&lt;=S_Today+7,"Due this week","")))))))</f>
        <v/>
      </c>
      <c r="Z497" s="34" t="str">
        <f aca="false">IF(OR(A497="",Y497=""),"",IF(Y497="Renewal due",100000,IF(Y497="Overdue",200000,IF(Y497="No reply",300000,IF(Y497="Due this week",400000,500000))))+IF(Y497="Renewal due",P497-40000,IF(Y497="Missing next action",0,M497-40000))+ROW()/100000)</f>
        <v/>
      </c>
      <c r="AA497" s="32" t="str">
        <f aca="false">IF(A497="","",_xlfn.TEXTJOIN(", ",TRUE(),IF(AND(X497="Yes",D497=""),"No owner",IF(AND(D497&lt;&gt;"",COUNTIFS(R_TeamName,D497,R_TeamActive,"No")&gt;0),"Needs new owner","")),IF(AND(OR(C497="Proposal sent",C497="Negotiation"),H497="",I497="",K497=""),"Add package or proposed value",""),IF(AND(C497="Won",OR(P497="",V497="")),"Won needs renewal date and closed on",""),IF(AND(C497="Won",G497="Cash",J497=""),"Add agreed value",""),IF(AND(C497="Lost",OR(S497="",V497="")),"Lost needs reason and closed on",""),IF(AND(C497="Nurture",OR(T497="",U497="")),"Nurture needs reason and date","")))</f>
        <v/>
      </c>
      <c r="AB497" s="34" t="str">
        <f aca="false">IF(AND(C497="Won",V497&lt;&gt;"",V497&gt;=S_SemStart,V497&lt;=S_SemEnd),V497+ROW()/100000,"")</f>
        <v/>
      </c>
      <c r="AC497" s="34" t="str">
        <f aca="false">IF(AND(C497="Lost",V497&lt;&gt;"",V497&gt;=S_SemStart,V497&lt;=S_SemEnd),V497+ROW()/100000,"")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9"/>
      <c r="J498" s="29"/>
      <c r="K498" s="27"/>
      <c r="L498" s="27"/>
      <c r="M498" s="28"/>
      <c r="N498" s="28"/>
      <c r="O498" s="28"/>
      <c r="P498" s="28"/>
      <c r="Q498" s="27"/>
      <c r="R498" s="27"/>
      <c r="S498" s="27"/>
      <c r="T498" s="27"/>
      <c r="U498" s="28"/>
      <c r="V498" s="28"/>
      <c r="W498" s="27"/>
      <c r="X498" s="32" t="str">
        <f aca="false">IF(A498="","",IF(OR(C498="Planned",C498="Contacted",C498="Meeting",C498="Proposal sent",C498="Negotiation"),"Yes","No"))</f>
        <v/>
      </c>
      <c r="Y498" s="32" t="str">
        <f aca="false">IF(A498="","",IF(AND(C498="Won",P498&lt;&gt;"",P498&lt;=S_Today+S_RenewalDays,COUNTIFS($A$3:$A$502,A498,$F$3:$F$502,"Yes",$X$3:$X$502,"Yes")=0),"Renewal due",IF(X498&lt;&gt;"Yes","",IF(OR(L498="",M498=""),"Missing next action",IF(M498&lt;S_Today,"Overdue",IF(AND(C498="Contacted",_xlfn.MAXIFS(Interactions!$A$3:$A$502,Interactions!$B$3:$B$502,A498,Interactions!$F$3:$F$502,"Sent by us")&gt;0,_xlfn.MAXIFS(Interactions!$A$3:$A$502,Interactions!$B$3:$B$502,A498,Interactions!$F$3:$F$502,"Sent by us")&lt;=S_Today-S_NoReplyDays,MAX(_xlfn.MAXIFS(Interactions!$A$3:$A$502,Interactions!$B$3:$B$502,A498,Interactions!$F$3:$F$502,"Received from them"),_xlfn.MAXIFS(Interactions!$A$3:$A$502,Interactions!$B$3:$B$502,A498,Interactions!$F$3:$F$502,"Two-way"))&lt;_xlfn.MAXIFS(Interactions!$A$3:$A$502,Interactions!$B$3:$B$502,A498,Interactions!$F$3:$F$502,"Sent by us")),"No reply",IF(M498&lt;=S_Today+7,"Due this week","")))))))</f>
        <v/>
      </c>
      <c r="Z498" s="34" t="str">
        <f aca="false">IF(OR(A498="",Y498=""),"",IF(Y498="Renewal due",100000,IF(Y498="Overdue",200000,IF(Y498="No reply",300000,IF(Y498="Due this week",400000,500000))))+IF(Y498="Renewal due",P498-40000,IF(Y498="Missing next action",0,M498-40000))+ROW()/100000)</f>
        <v/>
      </c>
      <c r="AA498" s="32" t="str">
        <f aca="false">IF(A498="","",_xlfn.TEXTJOIN(", ",TRUE(),IF(AND(X498="Yes",D498=""),"No owner",IF(AND(D498&lt;&gt;"",COUNTIFS(R_TeamName,D498,R_TeamActive,"No")&gt;0),"Needs new owner","")),IF(AND(OR(C498="Proposal sent",C498="Negotiation"),H498="",I498="",K498=""),"Add package or proposed value",""),IF(AND(C498="Won",OR(P498="",V498="")),"Won needs renewal date and closed on",""),IF(AND(C498="Won",G498="Cash",J498=""),"Add agreed value",""),IF(AND(C498="Lost",OR(S498="",V498="")),"Lost needs reason and closed on",""),IF(AND(C498="Nurture",OR(T498="",U498="")),"Nurture needs reason and date","")))</f>
        <v/>
      </c>
      <c r="AB498" s="34" t="str">
        <f aca="false">IF(AND(C498="Won",V498&lt;&gt;"",V498&gt;=S_SemStart,V498&lt;=S_SemEnd),V498+ROW()/100000,"")</f>
        <v/>
      </c>
      <c r="AC498" s="34" t="str">
        <f aca="false">IF(AND(C498="Lost",V498&lt;&gt;"",V498&gt;=S_SemStart,V498&lt;=S_SemEnd),V498+ROW()/100000,"")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9"/>
      <c r="J499" s="29"/>
      <c r="K499" s="27"/>
      <c r="L499" s="27"/>
      <c r="M499" s="28"/>
      <c r="N499" s="28"/>
      <c r="O499" s="28"/>
      <c r="P499" s="28"/>
      <c r="Q499" s="27"/>
      <c r="R499" s="27"/>
      <c r="S499" s="27"/>
      <c r="T499" s="27"/>
      <c r="U499" s="28"/>
      <c r="V499" s="28"/>
      <c r="W499" s="27"/>
      <c r="X499" s="32" t="str">
        <f aca="false">IF(A499="","",IF(OR(C499="Planned",C499="Contacted",C499="Meeting",C499="Proposal sent",C499="Negotiation"),"Yes","No"))</f>
        <v/>
      </c>
      <c r="Y499" s="32" t="str">
        <f aca="false">IF(A499="","",IF(AND(C499="Won",P499&lt;&gt;"",P499&lt;=S_Today+S_RenewalDays,COUNTIFS($A$3:$A$502,A499,$F$3:$F$502,"Yes",$X$3:$X$502,"Yes")=0),"Renewal due",IF(X499&lt;&gt;"Yes","",IF(OR(L499="",M499=""),"Missing next action",IF(M499&lt;S_Today,"Overdue",IF(AND(C499="Contacted",_xlfn.MAXIFS(Interactions!$A$3:$A$502,Interactions!$B$3:$B$502,A499,Interactions!$F$3:$F$502,"Sent by us")&gt;0,_xlfn.MAXIFS(Interactions!$A$3:$A$502,Interactions!$B$3:$B$502,A499,Interactions!$F$3:$F$502,"Sent by us")&lt;=S_Today-S_NoReplyDays,MAX(_xlfn.MAXIFS(Interactions!$A$3:$A$502,Interactions!$B$3:$B$502,A499,Interactions!$F$3:$F$502,"Received from them"),_xlfn.MAXIFS(Interactions!$A$3:$A$502,Interactions!$B$3:$B$502,A499,Interactions!$F$3:$F$502,"Two-way"))&lt;_xlfn.MAXIFS(Interactions!$A$3:$A$502,Interactions!$B$3:$B$502,A499,Interactions!$F$3:$F$502,"Sent by us")),"No reply",IF(M499&lt;=S_Today+7,"Due this week","")))))))</f>
        <v/>
      </c>
      <c r="Z499" s="34" t="str">
        <f aca="false">IF(OR(A499="",Y499=""),"",IF(Y499="Renewal due",100000,IF(Y499="Overdue",200000,IF(Y499="No reply",300000,IF(Y499="Due this week",400000,500000))))+IF(Y499="Renewal due",P499-40000,IF(Y499="Missing next action",0,M499-40000))+ROW()/100000)</f>
        <v/>
      </c>
      <c r="AA499" s="32" t="str">
        <f aca="false">IF(A499="","",_xlfn.TEXTJOIN(", ",TRUE(),IF(AND(X499="Yes",D499=""),"No owner",IF(AND(D499&lt;&gt;"",COUNTIFS(R_TeamName,D499,R_TeamActive,"No")&gt;0),"Needs new owner","")),IF(AND(OR(C499="Proposal sent",C499="Negotiation"),H499="",I499="",K499=""),"Add package or proposed value",""),IF(AND(C499="Won",OR(P499="",V499="")),"Won needs renewal date and closed on",""),IF(AND(C499="Won",G499="Cash",J499=""),"Add agreed value",""),IF(AND(C499="Lost",OR(S499="",V499="")),"Lost needs reason and closed on",""),IF(AND(C499="Nurture",OR(T499="",U499="")),"Nurture needs reason and date","")))</f>
        <v/>
      </c>
      <c r="AB499" s="34" t="str">
        <f aca="false">IF(AND(C499="Won",V499&lt;&gt;"",V499&gt;=S_SemStart,V499&lt;=S_SemEnd),V499+ROW()/100000,"")</f>
        <v/>
      </c>
      <c r="AC499" s="34" t="str">
        <f aca="false">IF(AND(C499="Lost",V499&lt;&gt;"",V499&gt;=S_SemStart,V499&lt;=S_SemEnd),V499+ROW()/100000,"")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9"/>
      <c r="J500" s="29"/>
      <c r="K500" s="27"/>
      <c r="L500" s="27"/>
      <c r="M500" s="28"/>
      <c r="N500" s="28"/>
      <c r="O500" s="28"/>
      <c r="P500" s="28"/>
      <c r="Q500" s="27"/>
      <c r="R500" s="27"/>
      <c r="S500" s="27"/>
      <c r="T500" s="27"/>
      <c r="U500" s="28"/>
      <c r="V500" s="28"/>
      <c r="W500" s="27"/>
      <c r="X500" s="32" t="str">
        <f aca="false">IF(A500="","",IF(OR(C500="Planned",C500="Contacted",C500="Meeting",C500="Proposal sent",C500="Negotiation"),"Yes","No"))</f>
        <v/>
      </c>
      <c r="Y500" s="32" t="str">
        <f aca="false">IF(A500="","",IF(AND(C500="Won",P500&lt;&gt;"",P500&lt;=S_Today+S_RenewalDays,COUNTIFS($A$3:$A$502,A500,$F$3:$F$502,"Yes",$X$3:$X$502,"Yes")=0),"Renewal due",IF(X500&lt;&gt;"Yes","",IF(OR(L500="",M500=""),"Missing next action",IF(M500&lt;S_Today,"Overdue",IF(AND(C500="Contacted",_xlfn.MAXIFS(Interactions!$A$3:$A$502,Interactions!$B$3:$B$502,A500,Interactions!$F$3:$F$502,"Sent by us")&gt;0,_xlfn.MAXIFS(Interactions!$A$3:$A$502,Interactions!$B$3:$B$502,A500,Interactions!$F$3:$F$502,"Sent by us")&lt;=S_Today-S_NoReplyDays,MAX(_xlfn.MAXIFS(Interactions!$A$3:$A$502,Interactions!$B$3:$B$502,A500,Interactions!$F$3:$F$502,"Received from them"),_xlfn.MAXIFS(Interactions!$A$3:$A$502,Interactions!$B$3:$B$502,A500,Interactions!$F$3:$F$502,"Two-way"))&lt;_xlfn.MAXIFS(Interactions!$A$3:$A$502,Interactions!$B$3:$B$502,A500,Interactions!$F$3:$F$502,"Sent by us")),"No reply",IF(M500&lt;=S_Today+7,"Due this week","")))))))</f>
        <v/>
      </c>
      <c r="Z500" s="34" t="str">
        <f aca="false">IF(OR(A500="",Y500=""),"",IF(Y500="Renewal due",100000,IF(Y500="Overdue",200000,IF(Y500="No reply",300000,IF(Y500="Due this week",400000,500000))))+IF(Y500="Renewal due",P500-40000,IF(Y500="Missing next action",0,M500-40000))+ROW()/100000)</f>
        <v/>
      </c>
      <c r="AA500" s="32" t="str">
        <f aca="false">IF(A500="","",_xlfn.TEXTJOIN(", ",TRUE(),IF(AND(X500="Yes",D500=""),"No owner",IF(AND(D500&lt;&gt;"",COUNTIFS(R_TeamName,D500,R_TeamActive,"No")&gt;0),"Needs new owner","")),IF(AND(OR(C500="Proposal sent",C500="Negotiation"),H500="",I500="",K500=""),"Add package or proposed value",""),IF(AND(C500="Won",OR(P500="",V500="")),"Won needs renewal date and closed on",""),IF(AND(C500="Won",G500="Cash",J500=""),"Add agreed value",""),IF(AND(C500="Lost",OR(S500="",V500="")),"Lost needs reason and closed on",""),IF(AND(C500="Nurture",OR(T500="",U500="")),"Nurture needs reason and date","")))</f>
        <v/>
      </c>
      <c r="AB500" s="34" t="str">
        <f aca="false">IF(AND(C500="Won",V500&lt;&gt;"",V500&gt;=S_SemStart,V500&lt;=S_SemEnd),V500+ROW()/100000,"")</f>
        <v/>
      </c>
      <c r="AC500" s="34" t="str">
        <f aca="false">IF(AND(C500="Lost",V500&lt;&gt;"",V500&gt;=S_SemStart,V500&lt;=S_SemEnd),V500+ROW()/100000,"")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9"/>
      <c r="J501" s="29"/>
      <c r="K501" s="27"/>
      <c r="L501" s="27"/>
      <c r="M501" s="28"/>
      <c r="N501" s="28"/>
      <c r="O501" s="28"/>
      <c r="P501" s="28"/>
      <c r="Q501" s="27"/>
      <c r="R501" s="27"/>
      <c r="S501" s="27"/>
      <c r="T501" s="27"/>
      <c r="U501" s="28"/>
      <c r="V501" s="28"/>
      <c r="W501" s="27"/>
      <c r="X501" s="32" t="str">
        <f aca="false">IF(A501="","",IF(OR(C501="Planned",C501="Contacted",C501="Meeting",C501="Proposal sent",C501="Negotiation"),"Yes","No"))</f>
        <v/>
      </c>
      <c r="Y501" s="32" t="str">
        <f aca="false">IF(A501="","",IF(AND(C501="Won",P501&lt;&gt;"",P501&lt;=S_Today+S_RenewalDays,COUNTIFS($A$3:$A$502,A501,$F$3:$F$502,"Yes",$X$3:$X$502,"Yes")=0),"Renewal due",IF(X501&lt;&gt;"Yes","",IF(OR(L501="",M501=""),"Missing next action",IF(M501&lt;S_Today,"Overdue",IF(AND(C501="Contacted",_xlfn.MAXIFS(Interactions!$A$3:$A$502,Interactions!$B$3:$B$502,A501,Interactions!$F$3:$F$502,"Sent by us")&gt;0,_xlfn.MAXIFS(Interactions!$A$3:$A$502,Interactions!$B$3:$B$502,A501,Interactions!$F$3:$F$502,"Sent by us")&lt;=S_Today-S_NoReplyDays,MAX(_xlfn.MAXIFS(Interactions!$A$3:$A$502,Interactions!$B$3:$B$502,A501,Interactions!$F$3:$F$502,"Received from them"),_xlfn.MAXIFS(Interactions!$A$3:$A$502,Interactions!$B$3:$B$502,A501,Interactions!$F$3:$F$502,"Two-way"))&lt;_xlfn.MAXIFS(Interactions!$A$3:$A$502,Interactions!$B$3:$B$502,A501,Interactions!$F$3:$F$502,"Sent by us")),"No reply",IF(M501&lt;=S_Today+7,"Due this week","")))))))</f>
        <v/>
      </c>
      <c r="Z501" s="34" t="str">
        <f aca="false">IF(OR(A501="",Y501=""),"",IF(Y501="Renewal due",100000,IF(Y501="Overdue",200000,IF(Y501="No reply",300000,IF(Y501="Due this week",400000,500000))))+IF(Y501="Renewal due",P501-40000,IF(Y501="Missing next action",0,M501-40000))+ROW()/100000)</f>
        <v/>
      </c>
      <c r="AA501" s="32" t="str">
        <f aca="false">IF(A501="","",_xlfn.TEXTJOIN(", ",TRUE(),IF(AND(X501="Yes",D501=""),"No owner",IF(AND(D501&lt;&gt;"",COUNTIFS(R_TeamName,D501,R_TeamActive,"No")&gt;0),"Needs new owner","")),IF(AND(OR(C501="Proposal sent",C501="Negotiation"),H501="",I501="",K501=""),"Add package or proposed value",""),IF(AND(C501="Won",OR(P501="",V501="")),"Won needs renewal date and closed on",""),IF(AND(C501="Won",G501="Cash",J501=""),"Add agreed value",""),IF(AND(C501="Lost",OR(S501="",V501="")),"Lost needs reason and closed on",""),IF(AND(C501="Nurture",OR(T501="",U501="")),"Nurture needs reason and date","")))</f>
        <v/>
      </c>
      <c r="AB501" s="34" t="str">
        <f aca="false">IF(AND(C501="Won",V501&lt;&gt;"",V501&gt;=S_SemStart,V501&lt;=S_SemEnd),V501+ROW()/100000,"")</f>
        <v/>
      </c>
      <c r="AC501" s="34" t="str">
        <f aca="false">IF(AND(C501="Lost",V501&lt;&gt;"",V501&gt;=S_SemStart,V501&lt;=S_SemEnd),V501+ROW()/100000,"")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9"/>
      <c r="J502" s="29"/>
      <c r="K502" s="27"/>
      <c r="L502" s="27"/>
      <c r="M502" s="28"/>
      <c r="N502" s="28"/>
      <c r="O502" s="28"/>
      <c r="P502" s="28"/>
      <c r="Q502" s="27"/>
      <c r="R502" s="27"/>
      <c r="S502" s="27"/>
      <c r="T502" s="27"/>
      <c r="U502" s="28"/>
      <c r="V502" s="28"/>
      <c r="W502" s="27"/>
      <c r="X502" s="32" t="str">
        <f aca="false">IF(A502="","",IF(OR(C502="Planned",C502="Contacted",C502="Meeting",C502="Proposal sent",C502="Negotiation"),"Yes","No"))</f>
        <v/>
      </c>
      <c r="Y502" s="32" t="str">
        <f aca="false">IF(A502="","",IF(AND(C502="Won",P502&lt;&gt;"",P502&lt;=S_Today+S_RenewalDays,COUNTIFS($A$3:$A$502,A502,$F$3:$F$502,"Yes",$X$3:$X$502,"Yes")=0),"Renewal due",IF(X502&lt;&gt;"Yes","",IF(OR(L502="",M502=""),"Missing next action",IF(M502&lt;S_Today,"Overdue",IF(AND(C502="Contacted",_xlfn.MAXIFS(Interactions!$A$3:$A$502,Interactions!$B$3:$B$502,A502,Interactions!$F$3:$F$502,"Sent by us")&gt;0,_xlfn.MAXIFS(Interactions!$A$3:$A$502,Interactions!$B$3:$B$502,A502,Interactions!$F$3:$F$502,"Sent by us")&lt;=S_Today-S_NoReplyDays,MAX(_xlfn.MAXIFS(Interactions!$A$3:$A$502,Interactions!$B$3:$B$502,A502,Interactions!$F$3:$F$502,"Received from them"),_xlfn.MAXIFS(Interactions!$A$3:$A$502,Interactions!$B$3:$B$502,A502,Interactions!$F$3:$F$502,"Two-way"))&lt;_xlfn.MAXIFS(Interactions!$A$3:$A$502,Interactions!$B$3:$B$502,A502,Interactions!$F$3:$F$502,"Sent by us")),"No reply",IF(M502&lt;=S_Today+7,"Due this week","")))))))</f>
        <v/>
      </c>
      <c r="Z502" s="34" t="str">
        <f aca="false">IF(OR(A502="",Y502=""),"",IF(Y502="Renewal due",100000,IF(Y502="Overdue",200000,IF(Y502="No reply",300000,IF(Y502="Due this week",400000,500000))))+IF(Y502="Renewal due",P502-40000,IF(Y502="Missing next action",0,M502-40000))+ROW()/100000)</f>
        <v/>
      </c>
      <c r="AA502" s="32" t="str">
        <f aca="false">IF(A502="","",_xlfn.TEXTJOIN(", ",TRUE(),IF(AND(X502="Yes",D502=""),"No owner",IF(AND(D502&lt;&gt;"",COUNTIFS(R_TeamName,D502,R_TeamActive,"No")&gt;0),"Needs new owner","")),IF(AND(OR(C502="Proposal sent",C502="Negotiation"),H502="",I502="",K502=""),"Add package or proposed value",""),IF(AND(C502="Won",OR(P502="",V502="")),"Won needs renewal date and closed on",""),IF(AND(C502="Won",G502="Cash",J502=""),"Add agreed value",""),IF(AND(C502="Lost",OR(S502="",V502="")),"Lost needs reason and closed on",""),IF(AND(C502="Nurture",OR(T502="",U502="")),"Nurture needs reason and date","")))</f>
        <v/>
      </c>
      <c r="AB502" s="34" t="str">
        <f aca="false">IF(AND(C502="Won",V502&lt;&gt;"",V502&gt;=S_SemStart,V502&lt;=S_SemEnd),V502+ROW()/100000,"")</f>
        <v/>
      </c>
      <c r="AC502" s="34" t="str">
        <f aca="false">IF(AND(C502="Lost",V502&lt;&gt;"",V502&gt;=S_SemStart,V502&lt;=S_SemEnd),V502+ROW()/100000,"")</f>
        <v/>
      </c>
    </row>
  </sheetData>
  <mergeCells count="1">
    <mergeCell ref="A1:L1"/>
  </mergeCells>
  <dataValidations count="10">
    <dataValidation allowBlank="true" error="Choose a value from the list." errorStyle="stop" errorTitle="Not in the list" operator="between" showDropDown="false" showErrorMessage="false" showInputMessage="false" sqref="A3:A502" type="list">
      <formula1>R_Company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B3:B502" type="list">
      <formula1>L_Type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C3:C502" type="list">
      <formula1>L_Stage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D3:D502" type="list">
      <formula1>R_TeamName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E3:E502" type="list">
      <formula1>R_ContactName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F3:F502" type="list">
      <formula1>L_YesNo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G3:G502" type="list">
      <formula1>L_Kind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H3:H502" type="list">
      <formula1>R_Package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Q3:Q502" type="list">
      <formula1>L_Satisfaction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S3:S502" type="list">
      <formula1>L_Lost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30" hidden="false" customHeight="true" outlineLevel="0" collapsed="false">
      <c r="A1" s="25" t="s">
        <v>340</v>
      </c>
      <c r="B1" s="25"/>
      <c r="C1" s="25"/>
      <c r="D1" s="25"/>
      <c r="E1" s="25"/>
      <c r="F1" s="25"/>
      <c r="G1" s="25"/>
      <c r="H1" s="25"/>
      <c r="I1" s="25"/>
    </row>
    <row r="2" customFormat="false" ht="31.5" hidden="false" customHeight="true" outlineLevel="0" collapsed="false">
      <c r="A2" s="26" t="s">
        <v>152</v>
      </c>
      <c r="B2" s="26" t="s">
        <v>26</v>
      </c>
      <c r="C2" s="26" t="s">
        <v>303</v>
      </c>
      <c r="D2" s="26" t="s">
        <v>341</v>
      </c>
      <c r="E2" s="26" t="s">
        <v>342</v>
      </c>
      <c r="F2" s="26" t="s">
        <v>343</v>
      </c>
      <c r="G2" s="26" t="s">
        <v>344</v>
      </c>
      <c r="H2" s="26" t="s">
        <v>345</v>
      </c>
      <c r="I2" s="31" t="s">
        <v>346</v>
      </c>
    </row>
    <row r="3" customFormat="false" ht="15" hidden="false" customHeight="false" outlineLevel="0" collapsed="false">
      <c r="A3" s="28" t="n">
        <f aca="true">TODAY()-20</f>
        <v>46287</v>
      </c>
      <c r="B3" s="27" t="s">
        <v>159</v>
      </c>
      <c r="C3" s="27" t="s">
        <v>283</v>
      </c>
      <c r="D3" s="27" t="s">
        <v>127</v>
      </c>
      <c r="E3" s="27" t="s">
        <v>63</v>
      </c>
      <c r="F3" s="27" t="s">
        <v>347</v>
      </c>
      <c r="G3" s="27" t="s">
        <v>348</v>
      </c>
      <c r="H3" s="27" t="s">
        <v>349</v>
      </c>
      <c r="I3" s="32" t="str">
        <f aca="false">IF(A3="","",IF(AND(H3="Positive",IFERROR(INDEX(Contacts!$K$3:$K$502,MATCH(C3,Contacts!$B$3:$B$502,0)),"No")&lt;&gt;"Yes"),"Yes","No"))</f>
        <v>Yes</v>
      </c>
    </row>
    <row r="4" customFormat="false" ht="15" hidden="false" customHeight="false" outlineLevel="0" collapsed="false">
      <c r="A4" s="28" t="n">
        <f aca="true">TODAY()-17</f>
        <v>46290</v>
      </c>
      <c r="B4" s="27" t="s">
        <v>203</v>
      </c>
      <c r="C4" s="27" t="s">
        <v>288</v>
      </c>
      <c r="D4" s="27" t="s">
        <v>129</v>
      </c>
      <c r="E4" s="27" t="s">
        <v>120</v>
      </c>
      <c r="F4" s="27" t="s">
        <v>350</v>
      </c>
      <c r="G4" s="27" t="s">
        <v>351</v>
      </c>
      <c r="H4" s="27" t="s">
        <v>352</v>
      </c>
      <c r="I4" s="32" t="str">
        <f aca="false">IF(A4="","",IF(AND(H4="Positive",IFERROR(INDEX(Contacts!$K$3:$K$502,MATCH(C4,Contacts!$B$3:$B$502,0)),"No")&lt;&gt;"Yes"),"Yes","No"))</f>
        <v>No</v>
      </c>
    </row>
    <row r="5" customFormat="false" ht="15" hidden="false" customHeight="false" outlineLevel="0" collapsed="false">
      <c r="A5" s="28" t="n">
        <f aca="true">TODAY()-12</f>
        <v>46295</v>
      </c>
      <c r="B5" s="27" t="s">
        <v>203</v>
      </c>
      <c r="C5" s="27" t="s">
        <v>288</v>
      </c>
      <c r="D5" s="27" t="s">
        <v>129</v>
      </c>
      <c r="E5" s="27" t="s">
        <v>120</v>
      </c>
      <c r="F5" s="27" t="s">
        <v>350</v>
      </c>
      <c r="G5" s="27" t="s">
        <v>353</v>
      </c>
      <c r="H5" s="27" t="s">
        <v>352</v>
      </c>
      <c r="I5" s="32" t="str">
        <f aca="false">IF(A5="","",IF(AND(H5="Positive",IFERROR(INDEX(Contacts!$K$3:$K$502,MATCH(C5,Contacts!$B$3:$B$502,0)),"No")&lt;&gt;"Yes"),"Yes","No"))</f>
        <v>No</v>
      </c>
    </row>
    <row r="6" customFormat="false" ht="15" hidden="false" customHeight="false" outlineLevel="0" collapsed="false">
      <c r="A6" s="28" t="n">
        <f aca="true">TODAY()-6</f>
        <v>46301</v>
      </c>
      <c r="B6" s="27" t="s">
        <v>222</v>
      </c>
      <c r="C6" s="27" t="s">
        <v>294</v>
      </c>
      <c r="D6" s="27" t="s">
        <v>124</v>
      </c>
      <c r="E6" s="27" t="s">
        <v>354</v>
      </c>
      <c r="F6" s="27" t="s">
        <v>347</v>
      </c>
      <c r="G6" s="27" t="s">
        <v>355</v>
      </c>
      <c r="H6" s="27" t="s">
        <v>349</v>
      </c>
      <c r="I6" s="32" t="str">
        <f aca="false">IF(A6="","",IF(AND(H6="Positive",IFERROR(INDEX(Contacts!$K$3:$K$502,MATCH(C6,Contacts!$B$3:$B$502,0)),"No")&lt;&gt;"Yes"),"Yes","No"))</f>
        <v>Yes</v>
      </c>
    </row>
    <row r="7" customFormat="false" ht="15" hidden="false" customHeight="false" outlineLevel="0" collapsed="false">
      <c r="A7" s="28" t="n">
        <f aca="true">TODAY()-9</f>
        <v>46298</v>
      </c>
      <c r="B7" s="27" t="s">
        <v>231</v>
      </c>
      <c r="C7" s="27" t="s">
        <v>298</v>
      </c>
      <c r="D7" s="27" t="s">
        <v>130</v>
      </c>
      <c r="E7" s="27" t="s">
        <v>120</v>
      </c>
      <c r="F7" s="27" t="s">
        <v>356</v>
      </c>
      <c r="G7" s="27" t="s">
        <v>357</v>
      </c>
      <c r="H7" s="27" t="s">
        <v>349</v>
      </c>
      <c r="I7" s="32" t="str">
        <f aca="false">IF(A7="","",IF(AND(H7="Positive",IFERROR(INDEX(Contacts!$K$3:$K$502,MATCH(C7,Contacts!$B$3:$B$502,0)),"No")&lt;&gt;"Yes"),"Yes","No"))</f>
        <v>Yes</v>
      </c>
    </row>
    <row r="8" customFormat="false" ht="15" hidden="false" customHeight="false" outlineLevel="0" collapsed="false">
      <c r="A8" s="28"/>
      <c r="B8" s="27"/>
      <c r="C8" s="27"/>
      <c r="D8" s="27"/>
      <c r="E8" s="27"/>
      <c r="F8" s="27"/>
      <c r="G8" s="27"/>
      <c r="H8" s="27"/>
      <c r="I8" s="32" t="str">
        <f aca="false">IF(A8="","",IF(AND(H8="Positive",IFERROR(INDEX(Contacts!$K$3:$K$502,MATCH(C8,Contacts!$B$3:$B$502,0)),"No")&lt;&gt;"Yes"),"Yes","No"))</f>
        <v/>
      </c>
    </row>
    <row r="9" customFormat="false" ht="15" hidden="false" customHeight="false" outlineLevel="0" collapsed="false">
      <c r="A9" s="28"/>
      <c r="B9" s="27"/>
      <c r="C9" s="27"/>
      <c r="D9" s="27"/>
      <c r="E9" s="27"/>
      <c r="F9" s="27"/>
      <c r="G9" s="27"/>
      <c r="H9" s="27"/>
      <c r="I9" s="32" t="str">
        <f aca="false">IF(A9="","",IF(AND(H9="Positive",IFERROR(INDEX(Contacts!$K$3:$K$502,MATCH(C9,Contacts!$B$3:$B$502,0)),"No")&lt;&gt;"Yes"),"Yes","No"))</f>
        <v/>
      </c>
    </row>
    <row r="10" customFormat="false" ht="15" hidden="false" customHeight="false" outlineLevel="0" collapsed="false">
      <c r="A10" s="28"/>
      <c r="B10" s="27"/>
      <c r="C10" s="27"/>
      <c r="D10" s="27"/>
      <c r="E10" s="27"/>
      <c r="F10" s="27"/>
      <c r="G10" s="27"/>
      <c r="H10" s="27"/>
      <c r="I10" s="32" t="str">
        <f aca="false">IF(A10="","",IF(AND(H10="Positive",IFERROR(INDEX(Contacts!$K$3:$K$502,MATCH(C10,Contacts!$B$3:$B$502,0)),"No")&lt;&gt;"Yes"),"Yes","No"))</f>
        <v/>
      </c>
    </row>
    <row r="11" customFormat="false" ht="15" hidden="false" customHeight="false" outlineLevel="0" collapsed="false">
      <c r="A11" s="28"/>
      <c r="B11" s="27"/>
      <c r="C11" s="27"/>
      <c r="D11" s="27"/>
      <c r="E11" s="27"/>
      <c r="F11" s="27"/>
      <c r="G11" s="27"/>
      <c r="H11" s="27"/>
      <c r="I11" s="32" t="str">
        <f aca="false">IF(A11="","",IF(AND(H11="Positive",IFERROR(INDEX(Contacts!$K$3:$K$502,MATCH(C11,Contacts!$B$3:$B$502,0)),"No")&lt;&gt;"Yes"),"Yes","No"))</f>
        <v/>
      </c>
    </row>
    <row r="12" customFormat="false" ht="15" hidden="false" customHeight="false" outlineLevel="0" collapsed="false">
      <c r="A12" s="28"/>
      <c r="B12" s="27"/>
      <c r="C12" s="27"/>
      <c r="D12" s="27"/>
      <c r="E12" s="27"/>
      <c r="F12" s="27"/>
      <c r="G12" s="27"/>
      <c r="H12" s="27"/>
      <c r="I12" s="32" t="str">
        <f aca="false">IF(A12="","",IF(AND(H12="Positive",IFERROR(INDEX(Contacts!$K$3:$K$502,MATCH(C12,Contacts!$B$3:$B$502,0)),"No")&lt;&gt;"Yes"),"Yes","No"))</f>
        <v/>
      </c>
    </row>
    <row r="13" customFormat="false" ht="15" hidden="false" customHeight="false" outlineLevel="0" collapsed="false">
      <c r="A13" s="28"/>
      <c r="B13" s="27"/>
      <c r="C13" s="27"/>
      <c r="D13" s="27"/>
      <c r="E13" s="27"/>
      <c r="F13" s="27"/>
      <c r="G13" s="27"/>
      <c r="H13" s="27"/>
      <c r="I13" s="32" t="str">
        <f aca="false">IF(A13="","",IF(AND(H13="Positive",IFERROR(INDEX(Contacts!$K$3:$K$502,MATCH(C13,Contacts!$B$3:$B$502,0)),"No")&lt;&gt;"Yes"),"Yes","No"))</f>
        <v/>
      </c>
    </row>
    <row r="14" customFormat="false" ht="15" hidden="false" customHeight="false" outlineLevel="0" collapsed="false">
      <c r="A14" s="28"/>
      <c r="B14" s="27"/>
      <c r="C14" s="27"/>
      <c r="D14" s="27"/>
      <c r="E14" s="27"/>
      <c r="F14" s="27"/>
      <c r="G14" s="27"/>
      <c r="H14" s="27"/>
      <c r="I14" s="32" t="str">
        <f aca="false">IF(A14="","",IF(AND(H14="Positive",IFERROR(INDEX(Contacts!$K$3:$K$502,MATCH(C14,Contacts!$B$3:$B$502,0)),"No")&lt;&gt;"Yes"),"Yes","No"))</f>
        <v/>
      </c>
    </row>
    <row r="15" customFormat="false" ht="15" hidden="false" customHeight="false" outlineLevel="0" collapsed="false">
      <c r="A15" s="28"/>
      <c r="B15" s="27"/>
      <c r="C15" s="27"/>
      <c r="D15" s="27"/>
      <c r="E15" s="27"/>
      <c r="F15" s="27"/>
      <c r="G15" s="27"/>
      <c r="H15" s="27"/>
      <c r="I15" s="32" t="str">
        <f aca="false">IF(A15="","",IF(AND(H15="Positive",IFERROR(INDEX(Contacts!$K$3:$K$502,MATCH(C15,Contacts!$B$3:$B$502,0)),"No")&lt;&gt;"Yes"),"Yes","No"))</f>
        <v/>
      </c>
    </row>
    <row r="16" customFormat="false" ht="15" hidden="false" customHeight="false" outlineLevel="0" collapsed="false">
      <c r="A16" s="28"/>
      <c r="B16" s="27"/>
      <c r="C16" s="27"/>
      <c r="D16" s="27"/>
      <c r="E16" s="27"/>
      <c r="F16" s="27"/>
      <c r="G16" s="27"/>
      <c r="H16" s="27"/>
      <c r="I16" s="32" t="str">
        <f aca="false">IF(A16="","",IF(AND(H16="Positive",IFERROR(INDEX(Contacts!$K$3:$K$502,MATCH(C16,Contacts!$B$3:$B$502,0)),"No")&lt;&gt;"Yes"),"Yes","No"))</f>
        <v/>
      </c>
    </row>
    <row r="17" customFormat="false" ht="15" hidden="false" customHeight="false" outlineLevel="0" collapsed="false">
      <c r="A17" s="28"/>
      <c r="B17" s="27"/>
      <c r="C17" s="27"/>
      <c r="D17" s="27"/>
      <c r="E17" s="27"/>
      <c r="F17" s="27"/>
      <c r="G17" s="27"/>
      <c r="H17" s="27"/>
      <c r="I17" s="32" t="str">
        <f aca="false">IF(A17="","",IF(AND(H17="Positive",IFERROR(INDEX(Contacts!$K$3:$K$502,MATCH(C17,Contacts!$B$3:$B$502,0)),"No")&lt;&gt;"Yes"),"Yes","No"))</f>
        <v/>
      </c>
    </row>
    <row r="18" customFormat="false" ht="15" hidden="false" customHeight="false" outlineLevel="0" collapsed="false">
      <c r="A18" s="28"/>
      <c r="B18" s="27"/>
      <c r="C18" s="27"/>
      <c r="D18" s="27"/>
      <c r="E18" s="27"/>
      <c r="F18" s="27"/>
      <c r="G18" s="27"/>
      <c r="H18" s="27"/>
      <c r="I18" s="32" t="str">
        <f aca="false">IF(A18="","",IF(AND(H18="Positive",IFERROR(INDEX(Contacts!$K$3:$K$502,MATCH(C18,Contacts!$B$3:$B$502,0)),"No")&lt;&gt;"Yes"),"Yes","No"))</f>
        <v/>
      </c>
    </row>
    <row r="19" customFormat="false" ht="15" hidden="false" customHeight="false" outlineLevel="0" collapsed="false">
      <c r="A19" s="28"/>
      <c r="B19" s="27"/>
      <c r="C19" s="27"/>
      <c r="D19" s="27"/>
      <c r="E19" s="27"/>
      <c r="F19" s="27"/>
      <c r="G19" s="27"/>
      <c r="H19" s="27"/>
      <c r="I19" s="32" t="str">
        <f aca="false">IF(A19="","",IF(AND(H19="Positive",IFERROR(INDEX(Contacts!$K$3:$K$502,MATCH(C19,Contacts!$B$3:$B$502,0)),"No")&lt;&gt;"Yes"),"Yes","No"))</f>
        <v/>
      </c>
    </row>
    <row r="20" customFormat="false" ht="15" hidden="false" customHeight="false" outlineLevel="0" collapsed="false">
      <c r="A20" s="28"/>
      <c r="B20" s="27"/>
      <c r="C20" s="27"/>
      <c r="D20" s="27"/>
      <c r="E20" s="27"/>
      <c r="F20" s="27"/>
      <c r="G20" s="27"/>
      <c r="H20" s="27"/>
      <c r="I20" s="32" t="str">
        <f aca="false">IF(A20="","",IF(AND(H20="Positive",IFERROR(INDEX(Contacts!$K$3:$K$502,MATCH(C20,Contacts!$B$3:$B$502,0)),"No")&lt;&gt;"Yes"),"Yes","No"))</f>
        <v/>
      </c>
    </row>
    <row r="21" customFormat="false" ht="15" hidden="false" customHeight="false" outlineLevel="0" collapsed="false">
      <c r="A21" s="28"/>
      <c r="B21" s="27"/>
      <c r="C21" s="27"/>
      <c r="D21" s="27"/>
      <c r="E21" s="27"/>
      <c r="F21" s="27"/>
      <c r="G21" s="27"/>
      <c r="H21" s="27"/>
      <c r="I21" s="32" t="str">
        <f aca="false">IF(A21="","",IF(AND(H21="Positive",IFERROR(INDEX(Contacts!$K$3:$K$502,MATCH(C21,Contacts!$B$3:$B$502,0)),"No")&lt;&gt;"Yes"),"Yes","No"))</f>
        <v/>
      </c>
    </row>
    <row r="22" customFormat="false" ht="15" hidden="false" customHeight="false" outlineLevel="0" collapsed="false">
      <c r="A22" s="28"/>
      <c r="B22" s="27"/>
      <c r="C22" s="27"/>
      <c r="D22" s="27"/>
      <c r="E22" s="27"/>
      <c r="F22" s="27"/>
      <c r="G22" s="27"/>
      <c r="H22" s="27"/>
      <c r="I22" s="32" t="str">
        <f aca="false">IF(A22="","",IF(AND(H22="Positive",IFERROR(INDEX(Contacts!$K$3:$K$502,MATCH(C22,Contacts!$B$3:$B$502,0)),"No")&lt;&gt;"Yes"),"Yes","No"))</f>
        <v/>
      </c>
    </row>
    <row r="23" customFormat="false" ht="15" hidden="false" customHeight="false" outlineLevel="0" collapsed="false">
      <c r="A23" s="28"/>
      <c r="B23" s="27"/>
      <c r="C23" s="27"/>
      <c r="D23" s="27"/>
      <c r="E23" s="27"/>
      <c r="F23" s="27"/>
      <c r="G23" s="27"/>
      <c r="H23" s="27"/>
      <c r="I23" s="32" t="str">
        <f aca="false">IF(A23="","",IF(AND(H23="Positive",IFERROR(INDEX(Contacts!$K$3:$K$502,MATCH(C23,Contacts!$B$3:$B$502,0)),"No")&lt;&gt;"Yes"),"Yes","No"))</f>
        <v/>
      </c>
    </row>
    <row r="24" customFormat="false" ht="15" hidden="false" customHeight="false" outlineLevel="0" collapsed="false">
      <c r="A24" s="28"/>
      <c r="B24" s="27"/>
      <c r="C24" s="27"/>
      <c r="D24" s="27"/>
      <c r="E24" s="27"/>
      <c r="F24" s="27"/>
      <c r="G24" s="27"/>
      <c r="H24" s="27"/>
      <c r="I24" s="32" t="str">
        <f aca="false">IF(A24="","",IF(AND(H24="Positive",IFERROR(INDEX(Contacts!$K$3:$K$502,MATCH(C24,Contacts!$B$3:$B$502,0)),"No")&lt;&gt;"Yes"),"Yes","No"))</f>
        <v/>
      </c>
    </row>
    <row r="25" customFormat="false" ht="15" hidden="false" customHeight="false" outlineLevel="0" collapsed="false">
      <c r="A25" s="28"/>
      <c r="B25" s="27"/>
      <c r="C25" s="27"/>
      <c r="D25" s="27"/>
      <c r="E25" s="27"/>
      <c r="F25" s="27"/>
      <c r="G25" s="27"/>
      <c r="H25" s="27"/>
      <c r="I25" s="32" t="str">
        <f aca="false">IF(A25="","",IF(AND(H25="Positive",IFERROR(INDEX(Contacts!$K$3:$K$502,MATCH(C25,Contacts!$B$3:$B$502,0)),"No")&lt;&gt;"Yes"),"Yes","No"))</f>
        <v/>
      </c>
    </row>
    <row r="26" customFormat="false" ht="15" hidden="false" customHeight="false" outlineLevel="0" collapsed="false">
      <c r="A26" s="28"/>
      <c r="B26" s="27"/>
      <c r="C26" s="27"/>
      <c r="D26" s="27"/>
      <c r="E26" s="27"/>
      <c r="F26" s="27"/>
      <c r="G26" s="27"/>
      <c r="H26" s="27"/>
      <c r="I26" s="32" t="str">
        <f aca="false">IF(A26="","",IF(AND(H26="Positive",IFERROR(INDEX(Contacts!$K$3:$K$502,MATCH(C26,Contacts!$B$3:$B$502,0)),"No")&lt;&gt;"Yes"),"Yes","No"))</f>
        <v/>
      </c>
    </row>
    <row r="27" customFormat="false" ht="15" hidden="false" customHeight="false" outlineLevel="0" collapsed="false">
      <c r="A27" s="28"/>
      <c r="B27" s="27"/>
      <c r="C27" s="27"/>
      <c r="D27" s="27"/>
      <c r="E27" s="27"/>
      <c r="F27" s="27"/>
      <c r="G27" s="27"/>
      <c r="H27" s="27"/>
      <c r="I27" s="32" t="str">
        <f aca="false">IF(A27="","",IF(AND(H27="Positive",IFERROR(INDEX(Contacts!$K$3:$K$502,MATCH(C27,Contacts!$B$3:$B$502,0)),"No")&lt;&gt;"Yes"),"Yes","No"))</f>
        <v/>
      </c>
    </row>
    <row r="28" customFormat="false" ht="15" hidden="false" customHeight="false" outlineLevel="0" collapsed="false">
      <c r="A28" s="28"/>
      <c r="B28" s="27"/>
      <c r="C28" s="27"/>
      <c r="D28" s="27"/>
      <c r="E28" s="27"/>
      <c r="F28" s="27"/>
      <c r="G28" s="27"/>
      <c r="H28" s="27"/>
      <c r="I28" s="32" t="str">
        <f aca="false">IF(A28="","",IF(AND(H28="Positive",IFERROR(INDEX(Contacts!$K$3:$K$502,MATCH(C28,Contacts!$B$3:$B$502,0)),"No")&lt;&gt;"Yes"),"Yes","No"))</f>
        <v/>
      </c>
    </row>
    <row r="29" customFormat="false" ht="15" hidden="false" customHeight="false" outlineLevel="0" collapsed="false">
      <c r="A29" s="28"/>
      <c r="B29" s="27"/>
      <c r="C29" s="27"/>
      <c r="D29" s="27"/>
      <c r="E29" s="27"/>
      <c r="F29" s="27"/>
      <c r="G29" s="27"/>
      <c r="H29" s="27"/>
      <c r="I29" s="32" t="str">
        <f aca="false">IF(A29="","",IF(AND(H29="Positive",IFERROR(INDEX(Contacts!$K$3:$K$502,MATCH(C29,Contacts!$B$3:$B$502,0)),"No")&lt;&gt;"Yes"),"Yes","No"))</f>
        <v/>
      </c>
    </row>
    <row r="30" customFormat="false" ht="15" hidden="false" customHeight="false" outlineLevel="0" collapsed="false">
      <c r="A30" s="28"/>
      <c r="B30" s="27"/>
      <c r="C30" s="27"/>
      <c r="D30" s="27"/>
      <c r="E30" s="27"/>
      <c r="F30" s="27"/>
      <c r="G30" s="27"/>
      <c r="H30" s="27"/>
      <c r="I30" s="32" t="str">
        <f aca="false">IF(A30="","",IF(AND(H30="Positive",IFERROR(INDEX(Contacts!$K$3:$K$502,MATCH(C30,Contacts!$B$3:$B$502,0)),"No")&lt;&gt;"Yes"),"Yes","No"))</f>
        <v/>
      </c>
    </row>
    <row r="31" customFormat="false" ht="15" hidden="false" customHeight="false" outlineLevel="0" collapsed="false">
      <c r="A31" s="28"/>
      <c r="B31" s="27"/>
      <c r="C31" s="27"/>
      <c r="D31" s="27"/>
      <c r="E31" s="27"/>
      <c r="F31" s="27"/>
      <c r="G31" s="27"/>
      <c r="H31" s="27"/>
      <c r="I31" s="32" t="str">
        <f aca="false">IF(A31="","",IF(AND(H31="Positive",IFERROR(INDEX(Contacts!$K$3:$K$502,MATCH(C31,Contacts!$B$3:$B$502,0)),"No")&lt;&gt;"Yes"),"Yes","No"))</f>
        <v/>
      </c>
    </row>
    <row r="32" customFormat="false" ht="15" hidden="false" customHeight="false" outlineLevel="0" collapsed="false">
      <c r="A32" s="28"/>
      <c r="B32" s="27"/>
      <c r="C32" s="27"/>
      <c r="D32" s="27"/>
      <c r="E32" s="27"/>
      <c r="F32" s="27"/>
      <c r="G32" s="27"/>
      <c r="H32" s="27"/>
      <c r="I32" s="32" t="str">
        <f aca="false">IF(A32="","",IF(AND(H32="Positive",IFERROR(INDEX(Contacts!$K$3:$K$502,MATCH(C32,Contacts!$B$3:$B$502,0)),"No")&lt;&gt;"Yes"),"Yes","No"))</f>
        <v/>
      </c>
    </row>
    <row r="33" customFormat="false" ht="15" hidden="false" customHeight="false" outlineLevel="0" collapsed="false">
      <c r="A33" s="28"/>
      <c r="B33" s="27"/>
      <c r="C33" s="27"/>
      <c r="D33" s="27"/>
      <c r="E33" s="27"/>
      <c r="F33" s="27"/>
      <c r="G33" s="27"/>
      <c r="H33" s="27"/>
      <c r="I33" s="32" t="str">
        <f aca="false">IF(A33="","",IF(AND(H33="Positive",IFERROR(INDEX(Contacts!$K$3:$K$502,MATCH(C33,Contacts!$B$3:$B$502,0)),"No")&lt;&gt;"Yes"),"Yes","No"))</f>
        <v/>
      </c>
    </row>
    <row r="34" customFormat="false" ht="15" hidden="false" customHeight="false" outlineLevel="0" collapsed="false">
      <c r="A34" s="28"/>
      <c r="B34" s="27"/>
      <c r="C34" s="27"/>
      <c r="D34" s="27"/>
      <c r="E34" s="27"/>
      <c r="F34" s="27"/>
      <c r="G34" s="27"/>
      <c r="H34" s="27"/>
      <c r="I34" s="32" t="str">
        <f aca="false">IF(A34="","",IF(AND(H34="Positive",IFERROR(INDEX(Contacts!$K$3:$K$502,MATCH(C34,Contacts!$B$3:$B$502,0)),"No")&lt;&gt;"Yes"),"Yes","No"))</f>
        <v/>
      </c>
    </row>
    <row r="35" customFormat="false" ht="15" hidden="false" customHeight="false" outlineLevel="0" collapsed="false">
      <c r="A35" s="28"/>
      <c r="B35" s="27"/>
      <c r="C35" s="27"/>
      <c r="D35" s="27"/>
      <c r="E35" s="27"/>
      <c r="F35" s="27"/>
      <c r="G35" s="27"/>
      <c r="H35" s="27"/>
      <c r="I35" s="32" t="str">
        <f aca="false">IF(A35="","",IF(AND(H35="Positive",IFERROR(INDEX(Contacts!$K$3:$K$502,MATCH(C35,Contacts!$B$3:$B$502,0)),"No")&lt;&gt;"Yes"),"Yes","No"))</f>
        <v/>
      </c>
    </row>
    <row r="36" customFormat="false" ht="15" hidden="false" customHeight="false" outlineLevel="0" collapsed="false">
      <c r="A36" s="28"/>
      <c r="B36" s="27"/>
      <c r="C36" s="27"/>
      <c r="D36" s="27"/>
      <c r="E36" s="27"/>
      <c r="F36" s="27"/>
      <c r="G36" s="27"/>
      <c r="H36" s="27"/>
      <c r="I36" s="32" t="str">
        <f aca="false">IF(A36="","",IF(AND(H36="Positive",IFERROR(INDEX(Contacts!$K$3:$K$502,MATCH(C36,Contacts!$B$3:$B$502,0)),"No")&lt;&gt;"Yes"),"Yes","No"))</f>
        <v/>
      </c>
    </row>
    <row r="37" customFormat="false" ht="15" hidden="false" customHeight="false" outlineLevel="0" collapsed="false">
      <c r="A37" s="28"/>
      <c r="B37" s="27"/>
      <c r="C37" s="27"/>
      <c r="D37" s="27"/>
      <c r="E37" s="27"/>
      <c r="F37" s="27"/>
      <c r="G37" s="27"/>
      <c r="H37" s="27"/>
      <c r="I37" s="32" t="str">
        <f aca="false">IF(A37="","",IF(AND(H37="Positive",IFERROR(INDEX(Contacts!$K$3:$K$502,MATCH(C37,Contacts!$B$3:$B$502,0)),"No")&lt;&gt;"Yes"),"Yes","No"))</f>
        <v/>
      </c>
    </row>
    <row r="38" customFormat="false" ht="15" hidden="false" customHeight="false" outlineLevel="0" collapsed="false">
      <c r="A38" s="28"/>
      <c r="B38" s="27"/>
      <c r="C38" s="27"/>
      <c r="D38" s="27"/>
      <c r="E38" s="27"/>
      <c r="F38" s="27"/>
      <c r="G38" s="27"/>
      <c r="H38" s="27"/>
      <c r="I38" s="32" t="str">
        <f aca="false">IF(A38="","",IF(AND(H38="Positive",IFERROR(INDEX(Contacts!$K$3:$K$502,MATCH(C38,Contacts!$B$3:$B$502,0)),"No")&lt;&gt;"Yes"),"Yes","No"))</f>
        <v/>
      </c>
    </row>
    <row r="39" customFormat="false" ht="15" hidden="false" customHeight="false" outlineLevel="0" collapsed="false">
      <c r="A39" s="28"/>
      <c r="B39" s="27"/>
      <c r="C39" s="27"/>
      <c r="D39" s="27"/>
      <c r="E39" s="27"/>
      <c r="F39" s="27"/>
      <c r="G39" s="27"/>
      <c r="H39" s="27"/>
      <c r="I39" s="32" t="str">
        <f aca="false">IF(A39="","",IF(AND(H39="Positive",IFERROR(INDEX(Contacts!$K$3:$K$502,MATCH(C39,Contacts!$B$3:$B$502,0)),"No")&lt;&gt;"Yes"),"Yes","No"))</f>
        <v/>
      </c>
    </row>
    <row r="40" customFormat="false" ht="15" hidden="false" customHeight="false" outlineLevel="0" collapsed="false">
      <c r="A40" s="28"/>
      <c r="B40" s="27"/>
      <c r="C40" s="27"/>
      <c r="D40" s="27"/>
      <c r="E40" s="27"/>
      <c r="F40" s="27"/>
      <c r="G40" s="27"/>
      <c r="H40" s="27"/>
      <c r="I40" s="32" t="str">
        <f aca="false">IF(A40="","",IF(AND(H40="Positive",IFERROR(INDEX(Contacts!$K$3:$K$502,MATCH(C40,Contacts!$B$3:$B$502,0)),"No")&lt;&gt;"Yes"),"Yes","No"))</f>
        <v/>
      </c>
    </row>
    <row r="41" customFormat="false" ht="15" hidden="false" customHeight="false" outlineLevel="0" collapsed="false">
      <c r="A41" s="28"/>
      <c r="B41" s="27"/>
      <c r="C41" s="27"/>
      <c r="D41" s="27"/>
      <c r="E41" s="27"/>
      <c r="F41" s="27"/>
      <c r="G41" s="27"/>
      <c r="H41" s="27"/>
      <c r="I41" s="32" t="str">
        <f aca="false">IF(A41="","",IF(AND(H41="Positive",IFERROR(INDEX(Contacts!$K$3:$K$502,MATCH(C41,Contacts!$B$3:$B$502,0)),"No")&lt;&gt;"Yes"),"Yes","No"))</f>
        <v/>
      </c>
    </row>
    <row r="42" customFormat="false" ht="15" hidden="false" customHeight="false" outlineLevel="0" collapsed="false">
      <c r="A42" s="28"/>
      <c r="B42" s="27"/>
      <c r="C42" s="27"/>
      <c r="D42" s="27"/>
      <c r="E42" s="27"/>
      <c r="F42" s="27"/>
      <c r="G42" s="27"/>
      <c r="H42" s="27"/>
      <c r="I42" s="32" t="str">
        <f aca="false">IF(A42="","",IF(AND(H42="Positive",IFERROR(INDEX(Contacts!$K$3:$K$502,MATCH(C42,Contacts!$B$3:$B$502,0)),"No")&lt;&gt;"Yes"),"Yes","No"))</f>
        <v/>
      </c>
    </row>
    <row r="43" customFormat="false" ht="15" hidden="false" customHeight="false" outlineLevel="0" collapsed="false">
      <c r="A43" s="28"/>
      <c r="B43" s="27"/>
      <c r="C43" s="27"/>
      <c r="D43" s="27"/>
      <c r="E43" s="27"/>
      <c r="F43" s="27"/>
      <c r="G43" s="27"/>
      <c r="H43" s="27"/>
      <c r="I43" s="32" t="str">
        <f aca="false">IF(A43="","",IF(AND(H43="Positive",IFERROR(INDEX(Contacts!$K$3:$K$502,MATCH(C43,Contacts!$B$3:$B$502,0)),"No")&lt;&gt;"Yes"),"Yes","No"))</f>
        <v/>
      </c>
    </row>
    <row r="44" customFormat="false" ht="15" hidden="false" customHeight="false" outlineLevel="0" collapsed="false">
      <c r="A44" s="28"/>
      <c r="B44" s="27"/>
      <c r="C44" s="27"/>
      <c r="D44" s="27"/>
      <c r="E44" s="27"/>
      <c r="F44" s="27"/>
      <c r="G44" s="27"/>
      <c r="H44" s="27"/>
      <c r="I44" s="32" t="str">
        <f aca="false">IF(A44="","",IF(AND(H44="Positive",IFERROR(INDEX(Contacts!$K$3:$K$502,MATCH(C44,Contacts!$B$3:$B$502,0)),"No")&lt;&gt;"Yes"),"Yes","No"))</f>
        <v/>
      </c>
    </row>
    <row r="45" customFormat="false" ht="15" hidden="false" customHeight="false" outlineLevel="0" collapsed="false">
      <c r="A45" s="28"/>
      <c r="B45" s="27"/>
      <c r="C45" s="27"/>
      <c r="D45" s="27"/>
      <c r="E45" s="27"/>
      <c r="F45" s="27"/>
      <c r="G45" s="27"/>
      <c r="H45" s="27"/>
      <c r="I45" s="32" t="str">
        <f aca="false">IF(A45="","",IF(AND(H45="Positive",IFERROR(INDEX(Contacts!$K$3:$K$502,MATCH(C45,Contacts!$B$3:$B$502,0)),"No")&lt;&gt;"Yes"),"Yes","No"))</f>
        <v/>
      </c>
    </row>
    <row r="46" customFormat="false" ht="15" hidden="false" customHeight="false" outlineLevel="0" collapsed="false">
      <c r="A46" s="28"/>
      <c r="B46" s="27"/>
      <c r="C46" s="27"/>
      <c r="D46" s="27"/>
      <c r="E46" s="27"/>
      <c r="F46" s="27"/>
      <c r="G46" s="27"/>
      <c r="H46" s="27"/>
      <c r="I46" s="32" t="str">
        <f aca="false">IF(A46="","",IF(AND(H46="Positive",IFERROR(INDEX(Contacts!$K$3:$K$502,MATCH(C46,Contacts!$B$3:$B$502,0)),"No")&lt;&gt;"Yes"),"Yes","No"))</f>
        <v/>
      </c>
    </row>
    <row r="47" customFormat="false" ht="15" hidden="false" customHeight="false" outlineLevel="0" collapsed="false">
      <c r="A47" s="28"/>
      <c r="B47" s="27"/>
      <c r="C47" s="27"/>
      <c r="D47" s="27"/>
      <c r="E47" s="27"/>
      <c r="F47" s="27"/>
      <c r="G47" s="27"/>
      <c r="H47" s="27"/>
      <c r="I47" s="32" t="str">
        <f aca="false">IF(A47="","",IF(AND(H47="Positive",IFERROR(INDEX(Contacts!$K$3:$K$502,MATCH(C47,Contacts!$B$3:$B$502,0)),"No")&lt;&gt;"Yes"),"Yes","No"))</f>
        <v/>
      </c>
    </row>
    <row r="48" customFormat="false" ht="15" hidden="false" customHeight="false" outlineLevel="0" collapsed="false">
      <c r="A48" s="28"/>
      <c r="B48" s="27"/>
      <c r="C48" s="27"/>
      <c r="D48" s="27"/>
      <c r="E48" s="27"/>
      <c r="F48" s="27"/>
      <c r="G48" s="27"/>
      <c r="H48" s="27"/>
      <c r="I48" s="32" t="str">
        <f aca="false">IF(A48="","",IF(AND(H48="Positive",IFERROR(INDEX(Contacts!$K$3:$K$502,MATCH(C48,Contacts!$B$3:$B$502,0)),"No")&lt;&gt;"Yes"),"Yes","No"))</f>
        <v/>
      </c>
    </row>
    <row r="49" customFormat="false" ht="15" hidden="false" customHeight="false" outlineLevel="0" collapsed="false">
      <c r="A49" s="28"/>
      <c r="B49" s="27"/>
      <c r="C49" s="27"/>
      <c r="D49" s="27"/>
      <c r="E49" s="27"/>
      <c r="F49" s="27"/>
      <c r="G49" s="27"/>
      <c r="H49" s="27"/>
      <c r="I49" s="32" t="str">
        <f aca="false">IF(A49="","",IF(AND(H49="Positive",IFERROR(INDEX(Contacts!$K$3:$K$502,MATCH(C49,Contacts!$B$3:$B$502,0)),"No")&lt;&gt;"Yes"),"Yes","No"))</f>
        <v/>
      </c>
    </row>
    <row r="50" customFormat="false" ht="15" hidden="false" customHeight="false" outlineLevel="0" collapsed="false">
      <c r="A50" s="28"/>
      <c r="B50" s="27"/>
      <c r="C50" s="27"/>
      <c r="D50" s="27"/>
      <c r="E50" s="27"/>
      <c r="F50" s="27"/>
      <c r="G50" s="27"/>
      <c r="H50" s="27"/>
      <c r="I50" s="32" t="str">
        <f aca="false">IF(A50="","",IF(AND(H50="Positive",IFERROR(INDEX(Contacts!$K$3:$K$502,MATCH(C50,Contacts!$B$3:$B$502,0)),"No")&lt;&gt;"Yes"),"Yes","No"))</f>
        <v/>
      </c>
    </row>
    <row r="51" customFormat="false" ht="15" hidden="false" customHeight="false" outlineLevel="0" collapsed="false">
      <c r="A51" s="28"/>
      <c r="B51" s="27"/>
      <c r="C51" s="27"/>
      <c r="D51" s="27"/>
      <c r="E51" s="27"/>
      <c r="F51" s="27"/>
      <c r="G51" s="27"/>
      <c r="H51" s="27"/>
      <c r="I51" s="32" t="str">
        <f aca="false">IF(A51="","",IF(AND(H51="Positive",IFERROR(INDEX(Contacts!$K$3:$K$502,MATCH(C51,Contacts!$B$3:$B$502,0)),"No")&lt;&gt;"Yes"),"Yes","No"))</f>
        <v/>
      </c>
    </row>
    <row r="52" customFormat="false" ht="15" hidden="false" customHeight="false" outlineLevel="0" collapsed="false">
      <c r="A52" s="28"/>
      <c r="B52" s="27"/>
      <c r="C52" s="27"/>
      <c r="D52" s="27"/>
      <c r="E52" s="27"/>
      <c r="F52" s="27"/>
      <c r="G52" s="27"/>
      <c r="H52" s="27"/>
      <c r="I52" s="32" t="str">
        <f aca="false">IF(A52="","",IF(AND(H52="Positive",IFERROR(INDEX(Contacts!$K$3:$K$502,MATCH(C52,Contacts!$B$3:$B$502,0)),"No")&lt;&gt;"Yes"),"Yes","No"))</f>
        <v/>
      </c>
    </row>
    <row r="53" customFormat="false" ht="15" hidden="false" customHeight="false" outlineLevel="0" collapsed="false">
      <c r="A53" s="28"/>
      <c r="B53" s="27"/>
      <c r="C53" s="27"/>
      <c r="D53" s="27"/>
      <c r="E53" s="27"/>
      <c r="F53" s="27"/>
      <c r="G53" s="27"/>
      <c r="H53" s="27"/>
      <c r="I53" s="32" t="str">
        <f aca="false">IF(A53="","",IF(AND(H53="Positive",IFERROR(INDEX(Contacts!$K$3:$K$502,MATCH(C53,Contacts!$B$3:$B$502,0)),"No")&lt;&gt;"Yes"),"Yes","No"))</f>
        <v/>
      </c>
    </row>
    <row r="54" customFormat="false" ht="15" hidden="false" customHeight="false" outlineLevel="0" collapsed="false">
      <c r="A54" s="28"/>
      <c r="B54" s="27"/>
      <c r="C54" s="27"/>
      <c r="D54" s="27"/>
      <c r="E54" s="27"/>
      <c r="F54" s="27"/>
      <c r="G54" s="27"/>
      <c r="H54" s="27"/>
      <c r="I54" s="32" t="str">
        <f aca="false">IF(A54="","",IF(AND(H54="Positive",IFERROR(INDEX(Contacts!$K$3:$K$502,MATCH(C54,Contacts!$B$3:$B$502,0)),"No")&lt;&gt;"Yes"),"Yes","No"))</f>
        <v/>
      </c>
    </row>
    <row r="55" customFormat="false" ht="15" hidden="false" customHeight="false" outlineLevel="0" collapsed="false">
      <c r="A55" s="28"/>
      <c r="B55" s="27"/>
      <c r="C55" s="27"/>
      <c r="D55" s="27"/>
      <c r="E55" s="27"/>
      <c r="F55" s="27"/>
      <c r="G55" s="27"/>
      <c r="H55" s="27"/>
      <c r="I55" s="32" t="str">
        <f aca="false">IF(A55="","",IF(AND(H55="Positive",IFERROR(INDEX(Contacts!$K$3:$K$502,MATCH(C55,Contacts!$B$3:$B$502,0)),"No")&lt;&gt;"Yes"),"Yes","No"))</f>
        <v/>
      </c>
    </row>
    <row r="56" customFormat="false" ht="15" hidden="false" customHeight="false" outlineLevel="0" collapsed="false">
      <c r="A56" s="28"/>
      <c r="B56" s="27"/>
      <c r="C56" s="27"/>
      <c r="D56" s="27"/>
      <c r="E56" s="27"/>
      <c r="F56" s="27"/>
      <c r="G56" s="27"/>
      <c r="H56" s="27"/>
      <c r="I56" s="32" t="str">
        <f aca="false">IF(A56="","",IF(AND(H56="Positive",IFERROR(INDEX(Contacts!$K$3:$K$502,MATCH(C56,Contacts!$B$3:$B$502,0)),"No")&lt;&gt;"Yes"),"Yes","No"))</f>
        <v/>
      </c>
    </row>
    <row r="57" customFormat="false" ht="15" hidden="false" customHeight="false" outlineLevel="0" collapsed="false">
      <c r="A57" s="28"/>
      <c r="B57" s="27"/>
      <c r="C57" s="27"/>
      <c r="D57" s="27"/>
      <c r="E57" s="27"/>
      <c r="F57" s="27"/>
      <c r="G57" s="27"/>
      <c r="H57" s="27"/>
      <c r="I57" s="32" t="str">
        <f aca="false">IF(A57="","",IF(AND(H57="Positive",IFERROR(INDEX(Contacts!$K$3:$K$502,MATCH(C57,Contacts!$B$3:$B$502,0)),"No")&lt;&gt;"Yes"),"Yes","No"))</f>
        <v/>
      </c>
    </row>
    <row r="58" customFormat="false" ht="15" hidden="false" customHeight="false" outlineLevel="0" collapsed="false">
      <c r="A58" s="28"/>
      <c r="B58" s="27"/>
      <c r="C58" s="27"/>
      <c r="D58" s="27"/>
      <c r="E58" s="27"/>
      <c r="F58" s="27"/>
      <c r="G58" s="27"/>
      <c r="H58" s="27"/>
      <c r="I58" s="32" t="str">
        <f aca="false">IF(A58="","",IF(AND(H58="Positive",IFERROR(INDEX(Contacts!$K$3:$K$502,MATCH(C58,Contacts!$B$3:$B$502,0)),"No")&lt;&gt;"Yes"),"Yes","No"))</f>
        <v/>
      </c>
    </row>
    <row r="59" customFormat="false" ht="15" hidden="false" customHeight="false" outlineLevel="0" collapsed="false">
      <c r="A59" s="28"/>
      <c r="B59" s="27"/>
      <c r="C59" s="27"/>
      <c r="D59" s="27"/>
      <c r="E59" s="27"/>
      <c r="F59" s="27"/>
      <c r="G59" s="27"/>
      <c r="H59" s="27"/>
      <c r="I59" s="32" t="str">
        <f aca="false">IF(A59="","",IF(AND(H59="Positive",IFERROR(INDEX(Contacts!$K$3:$K$502,MATCH(C59,Contacts!$B$3:$B$502,0)),"No")&lt;&gt;"Yes"),"Yes","No"))</f>
        <v/>
      </c>
    </row>
    <row r="60" customFormat="false" ht="15" hidden="false" customHeight="false" outlineLevel="0" collapsed="false">
      <c r="A60" s="28"/>
      <c r="B60" s="27"/>
      <c r="C60" s="27"/>
      <c r="D60" s="27"/>
      <c r="E60" s="27"/>
      <c r="F60" s="27"/>
      <c r="G60" s="27"/>
      <c r="H60" s="27"/>
      <c r="I60" s="32" t="str">
        <f aca="false">IF(A60="","",IF(AND(H60="Positive",IFERROR(INDEX(Contacts!$K$3:$K$502,MATCH(C60,Contacts!$B$3:$B$502,0)),"No")&lt;&gt;"Yes"),"Yes","No"))</f>
        <v/>
      </c>
    </row>
    <row r="61" customFormat="false" ht="15" hidden="false" customHeight="false" outlineLevel="0" collapsed="false">
      <c r="A61" s="28"/>
      <c r="B61" s="27"/>
      <c r="C61" s="27"/>
      <c r="D61" s="27"/>
      <c r="E61" s="27"/>
      <c r="F61" s="27"/>
      <c r="G61" s="27"/>
      <c r="H61" s="27"/>
      <c r="I61" s="32" t="str">
        <f aca="false">IF(A61="","",IF(AND(H61="Positive",IFERROR(INDEX(Contacts!$K$3:$K$502,MATCH(C61,Contacts!$B$3:$B$502,0)),"No")&lt;&gt;"Yes"),"Yes","No"))</f>
        <v/>
      </c>
    </row>
    <row r="62" customFormat="false" ht="15" hidden="false" customHeight="false" outlineLevel="0" collapsed="false">
      <c r="A62" s="28"/>
      <c r="B62" s="27"/>
      <c r="C62" s="27"/>
      <c r="D62" s="27"/>
      <c r="E62" s="27"/>
      <c r="F62" s="27"/>
      <c r="G62" s="27"/>
      <c r="H62" s="27"/>
      <c r="I62" s="32" t="str">
        <f aca="false">IF(A62="","",IF(AND(H62="Positive",IFERROR(INDEX(Contacts!$K$3:$K$502,MATCH(C62,Contacts!$B$3:$B$502,0)),"No")&lt;&gt;"Yes"),"Yes","No"))</f>
        <v/>
      </c>
    </row>
    <row r="63" customFormat="false" ht="15" hidden="false" customHeight="false" outlineLevel="0" collapsed="false">
      <c r="A63" s="28"/>
      <c r="B63" s="27"/>
      <c r="C63" s="27"/>
      <c r="D63" s="27"/>
      <c r="E63" s="27"/>
      <c r="F63" s="27"/>
      <c r="G63" s="27"/>
      <c r="H63" s="27"/>
      <c r="I63" s="32" t="str">
        <f aca="false">IF(A63="","",IF(AND(H63="Positive",IFERROR(INDEX(Contacts!$K$3:$K$502,MATCH(C63,Contacts!$B$3:$B$502,0)),"No")&lt;&gt;"Yes"),"Yes","No"))</f>
        <v/>
      </c>
    </row>
    <row r="64" customFormat="false" ht="15" hidden="false" customHeight="false" outlineLevel="0" collapsed="false">
      <c r="A64" s="28"/>
      <c r="B64" s="27"/>
      <c r="C64" s="27"/>
      <c r="D64" s="27"/>
      <c r="E64" s="27"/>
      <c r="F64" s="27"/>
      <c r="G64" s="27"/>
      <c r="H64" s="27"/>
      <c r="I64" s="32" t="str">
        <f aca="false">IF(A64="","",IF(AND(H64="Positive",IFERROR(INDEX(Contacts!$K$3:$K$502,MATCH(C64,Contacts!$B$3:$B$502,0)),"No")&lt;&gt;"Yes"),"Yes","No"))</f>
        <v/>
      </c>
    </row>
    <row r="65" customFormat="false" ht="15" hidden="false" customHeight="false" outlineLevel="0" collapsed="false">
      <c r="A65" s="28"/>
      <c r="B65" s="27"/>
      <c r="C65" s="27"/>
      <c r="D65" s="27"/>
      <c r="E65" s="27"/>
      <c r="F65" s="27"/>
      <c r="G65" s="27"/>
      <c r="H65" s="27"/>
      <c r="I65" s="32" t="str">
        <f aca="false">IF(A65="","",IF(AND(H65="Positive",IFERROR(INDEX(Contacts!$K$3:$K$502,MATCH(C65,Contacts!$B$3:$B$502,0)),"No")&lt;&gt;"Yes"),"Yes","No"))</f>
        <v/>
      </c>
    </row>
    <row r="66" customFormat="false" ht="15" hidden="false" customHeight="false" outlineLevel="0" collapsed="false">
      <c r="A66" s="28"/>
      <c r="B66" s="27"/>
      <c r="C66" s="27"/>
      <c r="D66" s="27"/>
      <c r="E66" s="27"/>
      <c r="F66" s="27"/>
      <c r="G66" s="27"/>
      <c r="H66" s="27"/>
      <c r="I66" s="32" t="str">
        <f aca="false">IF(A66="","",IF(AND(H66="Positive",IFERROR(INDEX(Contacts!$K$3:$K$502,MATCH(C66,Contacts!$B$3:$B$502,0)),"No")&lt;&gt;"Yes"),"Yes","No"))</f>
        <v/>
      </c>
    </row>
    <row r="67" customFormat="false" ht="15" hidden="false" customHeight="false" outlineLevel="0" collapsed="false">
      <c r="A67" s="28"/>
      <c r="B67" s="27"/>
      <c r="C67" s="27"/>
      <c r="D67" s="27"/>
      <c r="E67" s="27"/>
      <c r="F67" s="27"/>
      <c r="G67" s="27"/>
      <c r="H67" s="27"/>
      <c r="I67" s="32" t="str">
        <f aca="false">IF(A67="","",IF(AND(H67="Positive",IFERROR(INDEX(Contacts!$K$3:$K$502,MATCH(C67,Contacts!$B$3:$B$502,0)),"No")&lt;&gt;"Yes"),"Yes","No"))</f>
        <v/>
      </c>
    </row>
    <row r="68" customFormat="false" ht="15" hidden="false" customHeight="false" outlineLevel="0" collapsed="false">
      <c r="A68" s="28"/>
      <c r="B68" s="27"/>
      <c r="C68" s="27"/>
      <c r="D68" s="27"/>
      <c r="E68" s="27"/>
      <c r="F68" s="27"/>
      <c r="G68" s="27"/>
      <c r="H68" s="27"/>
      <c r="I68" s="32" t="str">
        <f aca="false">IF(A68="","",IF(AND(H68="Positive",IFERROR(INDEX(Contacts!$K$3:$K$502,MATCH(C68,Contacts!$B$3:$B$502,0)),"No")&lt;&gt;"Yes"),"Yes","No"))</f>
        <v/>
      </c>
    </row>
    <row r="69" customFormat="false" ht="15" hidden="false" customHeight="false" outlineLevel="0" collapsed="false">
      <c r="A69" s="28"/>
      <c r="B69" s="27"/>
      <c r="C69" s="27"/>
      <c r="D69" s="27"/>
      <c r="E69" s="27"/>
      <c r="F69" s="27"/>
      <c r="G69" s="27"/>
      <c r="H69" s="27"/>
      <c r="I69" s="32" t="str">
        <f aca="false">IF(A69="","",IF(AND(H69="Positive",IFERROR(INDEX(Contacts!$K$3:$K$502,MATCH(C69,Contacts!$B$3:$B$502,0)),"No")&lt;&gt;"Yes"),"Yes","No"))</f>
        <v/>
      </c>
    </row>
    <row r="70" customFormat="false" ht="15" hidden="false" customHeight="false" outlineLevel="0" collapsed="false">
      <c r="A70" s="28"/>
      <c r="B70" s="27"/>
      <c r="C70" s="27"/>
      <c r="D70" s="27"/>
      <c r="E70" s="27"/>
      <c r="F70" s="27"/>
      <c r="G70" s="27"/>
      <c r="H70" s="27"/>
      <c r="I70" s="32" t="str">
        <f aca="false">IF(A70="","",IF(AND(H70="Positive",IFERROR(INDEX(Contacts!$K$3:$K$502,MATCH(C70,Contacts!$B$3:$B$502,0)),"No")&lt;&gt;"Yes"),"Yes","No"))</f>
        <v/>
      </c>
    </row>
    <row r="71" customFormat="false" ht="15" hidden="false" customHeight="false" outlineLevel="0" collapsed="false">
      <c r="A71" s="28"/>
      <c r="B71" s="27"/>
      <c r="C71" s="27"/>
      <c r="D71" s="27"/>
      <c r="E71" s="27"/>
      <c r="F71" s="27"/>
      <c r="G71" s="27"/>
      <c r="H71" s="27"/>
      <c r="I71" s="32" t="str">
        <f aca="false">IF(A71="","",IF(AND(H71="Positive",IFERROR(INDEX(Contacts!$K$3:$K$502,MATCH(C71,Contacts!$B$3:$B$502,0)),"No")&lt;&gt;"Yes"),"Yes","No"))</f>
        <v/>
      </c>
    </row>
    <row r="72" customFormat="false" ht="15" hidden="false" customHeight="false" outlineLevel="0" collapsed="false">
      <c r="A72" s="28"/>
      <c r="B72" s="27"/>
      <c r="C72" s="27"/>
      <c r="D72" s="27"/>
      <c r="E72" s="27"/>
      <c r="F72" s="27"/>
      <c r="G72" s="27"/>
      <c r="H72" s="27"/>
      <c r="I72" s="32" t="str">
        <f aca="false">IF(A72="","",IF(AND(H72="Positive",IFERROR(INDEX(Contacts!$K$3:$K$502,MATCH(C72,Contacts!$B$3:$B$502,0)),"No")&lt;&gt;"Yes"),"Yes","No"))</f>
        <v/>
      </c>
    </row>
    <row r="73" customFormat="false" ht="15" hidden="false" customHeight="false" outlineLevel="0" collapsed="false">
      <c r="A73" s="28"/>
      <c r="B73" s="27"/>
      <c r="C73" s="27"/>
      <c r="D73" s="27"/>
      <c r="E73" s="27"/>
      <c r="F73" s="27"/>
      <c r="G73" s="27"/>
      <c r="H73" s="27"/>
      <c r="I73" s="32" t="str">
        <f aca="false">IF(A73="","",IF(AND(H73="Positive",IFERROR(INDEX(Contacts!$K$3:$K$502,MATCH(C73,Contacts!$B$3:$B$502,0)),"No")&lt;&gt;"Yes"),"Yes","No"))</f>
        <v/>
      </c>
    </row>
    <row r="74" customFormat="false" ht="15" hidden="false" customHeight="false" outlineLevel="0" collapsed="false">
      <c r="A74" s="28"/>
      <c r="B74" s="27"/>
      <c r="C74" s="27"/>
      <c r="D74" s="27"/>
      <c r="E74" s="27"/>
      <c r="F74" s="27"/>
      <c r="G74" s="27"/>
      <c r="H74" s="27"/>
      <c r="I74" s="32" t="str">
        <f aca="false">IF(A74="","",IF(AND(H74="Positive",IFERROR(INDEX(Contacts!$K$3:$K$502,MATCH(C74,Contacts!$B$3:$B$502,0)),"No")&lt;&gt;"Yes"),"Yes","No"))</f>
        <v/>
      </c>
    </row>
    <row r="75" customFormat="false" ht="15" hidden="false" customHeight="false" outlineLevel="0" collapsed="false">
      <c r="A75" s="28"/>
      <c r="B75" s="27"/>
      <c r="C75" s="27"/>
      <c r="D75" s="27"/>
      <c r="E75" s="27"/>
      <c r="F75" s="27"/>
      <c r="G75" s="27"/>
      <c r="H75" s="27"/>
      <c r="I75" s="32" t="str">
        <f aca="false">IF(A75="","",IF(AND(H75="Positive",IFERROR(INDEX(Contacts!$K$3:$K$502,MATCH(C75,Contacts!$B$3:$B$502,0)),"No")&lt;&gt;"Yes"),"Yes","No"))</f>
        <v/>
      </c>
    </row>
    <row r="76" customFormat="false" ht="15" hidden="false" customHeight="false" outlineLevel="0" collapsed="false">
      <c r="A76" s="28"/>
      <c r="B76" s="27"/>
      <c r="C76" s="27"/>
      <c r="D76" s="27"/>
      <c r="E76" s="27"/>
      <c r="F76" s="27"/>
      <c r="G76" s="27"/>
      <c r="H76" s="27"/>
      <c r="I76" s="32" t="str">
        <f aca="false">IF(A76="","",IF(AND(H76="Positive",IFERROR(INDEX(Contacts!$K$3:$K$502,MATCH(C76,Contacts!$B$3:$B$502,0)),"No")&lt;&gt;"Yes"),"Yes","No"))</f>
        <v/>
      </c>
    </row>
    <row r="77" customFormat="false" ht="15" hidden="false" customHeight="false" outlineLevel="0" collapsed="false">
      <c r="A77" s="28"/>
      <c r="B77" s="27"/>
      <c r="C77" s="27"/>
      <c r="D77" s="27"/>
      <c r="E77" s="27"/>
      <c r="F77" s="27"/>
      <c r="G77" s="27"/>
      <c r="H77" s="27"/>
      <c r="I77" s="32" t="str">
        <f aca="false">IF(A77="","",IF(AND(H77="Positive",IFERROR(INDEX(Contacts!$K$3:$K$502,MATCH(C77,Contacts!$B$3:$B$502,0)),"No")&lt;&gt;"Yes"),"Yes","No"))</f>
        <v/>
      </c>
    </row>
    <row r="78" customFormat="false" ht="15" hidden="false" customHeight="false" outlineLevel="0" collapsed="false">
      <c r="A78" s="28"/>
      <c r="B78" s="27"/>
      <c r="C78" s="27"/>
      <c r="D78" s="27"/>
      <c r="E78" s="27"/>
      <c r="F78" s="27"/>
      <c r="G78" s="27"/>
      <c r="H78" s="27"/>
      <c r="I78" s="32" t="str">
        <f aca="false">IF(A78="","",IF(AND(H78="Positive",IFERROR(INDEX(Contacts!$K$3:$K$502,MATCH(C78,Contacts!$B$3:$B$502,0)),"No")&lt;&gt;"Yes"),"Yes","No"))</f>
        <v/>
      </c>
    </row>
    <row r="79" customFormat="false" ht="15" hidden="false" customHeight="false" outlineLevel="0" collapsed="false">
      <c r="A79" s="28"/>
      <c r="B79" s="27"/>
      <c r="C79" s="27"/>
      <c r="D79" s="27"/>
      <c r="E79" s="27"/>
      <c r="F79" s="27"/>
      <c r="G79" s="27"/>
      <c r="H79" s="27"/>
      <c r="I79" s="32" t="str">
        <f aca="false">IF(A79="","",IF(AND(H79="Positive",IFERROR(INDEX(Contacts!$K$3:$K$502,MATCH(C79,Contacts!$B$3:$B$502,0)),"No")&lt;&gt;"Yes"),"Yes","No"))</f>
        <v/>
      </c>
    </row>
    <row r="80" customFormat="false" ht="15" hidden="false" customHeight="false" outlineLevel="0" collapsed="false">
      <c r="A80" s="28"/>
      <c r="B80" s="27"/>
      <c r="C80" s="27"/>
      <c r="D80" s="27"/>
      <c r="E80" s="27"/>
      <c r="F80" s="27"/>
      <c r="G80" s="27"/>
      <c r="H80" s="27"/>
      <c r="I80" s="32" t="str">
        <f aca="false">IF(A80="","",IF(AND(H80="Positive",IFERROR(INDEX(Contacts!$K$3:$K$502,MATCH(C80,Contacts!$B$3:$B$502,0)),"No")&lt;&gt;"Yes"),"Yes","No"))</f>
        <v/>
      </c>
    </row>
    <row r="81" customFormat="false" ht="15" hidden="false" customHeight="false" outlineLevel="0" collapsed="false">
      <c r="A81" s="28"/>
      <c r="B81" s="27"/>
      <c r="C81" s="27"/>
      <c r="D81" s="27"/>
      <c r="E81" s="27"/>
      <c r="F81" s="27"/>
      <c r="G81" s="27"/>
      <c r="H81" s="27"/>
      <c r="I81" s="32" t="str">
        <f aca="false">IF(A81="","",IF(AND(H81="Positive",IFERROR(INDEX(Contacts!$K$3:$K$502,MATCH(C81,Contacts!$B$3:$B$502,0)),"No")&lt;&gt;"Yes"),"Yes","No"))</f>
        <v/>
      </c>
    </row>
    <row r="82" customFormat="false" ht="15" hidden="false" customHeight="false" outlineLevel="0" collapsed="false">
      <c r="A82" s="28"/>
      <c r="B82" s="27"/>
      <c r="C82" s="27"/>
      <c r="D82" s="27"/>
      <c r="E82" s="27"/>
      <c r="F82" s="27"/>
      <c r="G82" s="27"/>
      <c r="H82" s="27"/>
      <c r="I82" s="32" t="str">
        <f aca="false">IF(A82="","",IF(AND(H82="Positive",IFERROR(INDEX(Contacts!$K$3:$K$502,MATCH(C82,Contacts!$B$3:$B$502,0)),"No")&lt;&gt;"Yes"),"Yes","No"))</f>
        <v/>
      </c>
    </row>
    <row r="83" customFormat="false" ht="15" hidden="false" customHeight="false" outlineLevel="0" collapsed="false">
      <c r="A83" s="28"/>
      <c r="B83" s="27"/>
      <c r="C83" s="27"/>
      <c r="D83" s="27"/>
      <c r="E83" s="27"/>
      <c r="F83" s="27"/>
      <c r="G83" s="27"/>
      <c r="H83" s="27"/>
      <c r="I83" s="32" t="str">
        <f aca="false">IF(A83="","",IF(AND(H83="Positive",IFERROR(INDEX(Contacts!$K$3:$K$502,MATCH(C83,Contacts!$B$3:$B$502,0)),"No")&lt;&gt;"Yes"),"Yes","No"))</f>
        <v/>
      </c>
    </row>
    <row r="84" customFormat="false" ht="15" hidden="false" customHeight="false" outlineLevel="0" collapsed="false">
      <c r="A84" s="28"/>
      <c r="B84" s="27"/>
      <c r="C84" s="27"/>
      <c r="D84" s="27"/>
      <c r="E84" s="27"/>
      <c r="F84" s="27"/>
      <c r="G84" s="27"/>
      <c r="H84" s="27"/>
      <c r="I84" s="32" t="str">
        <f aca="false">IF(A84="","",IF(AND(H84="Positive",IFERROR(INDEX(Contacts!$K$3:$K$502,MATCH(C84,Contacts!$B$3:$B$502,0)),"No")&lt;&gt;"Yes"),"Yes","No"))</f>
        <v/>
      </c>
    </row>
    <row r="85" customFormat="false" ht="15" hidden="false" customHeight="false" outlineLevel="0" collapsed="false">
      <c r="A85" s="28"/>
      <c r="B85" s="27"/>
      <c r="C85" s="27"/>
      <c r="D85" s="27"/>
      <c r="E85" s="27"/>
      <c r="F85" s="27"/>
      <c r="G85" s="27"/>
      <c r="H85" s="27"/>
      <c r="I85" s="32" t="str">
        <f aca="false">IF(A85="","",IF(AND(H85="Positive",IFERROR(INDEX(Contacts!$K$3:$K$502,MATCH(C85,Contacts!$B$3:$B$502,0)),"No")&lt;&gt;"Yes"),"Yes","No"))</f>
        <v/>
      </c>
    </row>
    <row r="86" customFormat="false" ht="15" hidden="false" customHeight="false" outlineLevel="0" collapsed="false">
      <c r="A86" s="28"/>
      <c r="B86" s="27"/>
      <c r="C86" s="27"/>
      <c r="D86" s="27"/>
      <c r="E86" s="27"/>
      <c r="F86" s="27"/>
      <c r="G86" s="27"/>
      <c r="H86" s="27"/>
      <c r="I86" s="32" t="str">
        <f aca="false">IF(A86="","",IF(AND(H86="Positive",IFERROR(INDEX(Contacts!$K$3:$K$502,MATCH(C86,Contacts!$B$3:$B$502,0)),"No")&lt;&gt;"Yes"),"Yes","No"))</f>
        <v/>
      </c>
    </row>
    <row r="87" customFormat="false" ht="15" hidden="false" customHeight="false" outlineLevel="0" collapsed="false">
      <c r="A87" s="28"/>
      <c r="B87" s="27"/>
      <c r="C87" s="27"/>
      <c r="D87" s="27"/>
      <c r="E87" s="27"/>
      <c r="F87" s="27"/>
      <c r="G87" s="27"/>
      <c r="H87" s="27"/>
      <c r="I87" s="32" t="str">
        <f aca="false">IF(A87="","",IF(AND(H87="Positive",IFERROR(INDEX(Contacts!$K$3:$K$502,MATCH(C87,Contacts!$B$3:$B$502,0)),"No")&lt;&gt;"Yes"),"Yes","No"))</f>
        <v/>
      </c>
    </row>
    <row r="88" customFormat="false" ht="15" hidden="false" customHeight="false" outlineLevel="0" collapsed="false">
      <c r="A88" s="28"/>
      <c r="B88" s="27"/>
      <c r="C88" s="27"/>
      <c r="D88" s="27"/>
      <c r="E88" s="27"/>
      <c r="F88" s="27"/>
      <c r="G88" s="27"/>
      <c r="H88" s="27"/>
      <c r="I88" s="32" t="str">
        <f aca="false">IF(A88="","",IF(AND(H88="Positive",IFERROR(INDEX(Contacts!$K$3:$K$502,MATCH(C88,Contacts!$B$3:$B$502,0)),"No")&lt;&gt;"Yes"),"Yes","No"))</f>
        <v/>
      </c>
    </row>
    <row r="89" customFormat="false" ht="15" hidden="false" customHeight="false" outlineLevel="0" collapsed="false">
      <c r="A89" s="28"/>
      <c r="B89" s="27"/>
      <c r="C89" s="27"/>
      <c r="D89" s="27"/>
      <c r="E89" s="27"/>
      <c r="F89" s="27"/>
      <c r="G89" s="27"/>
      <c r="H89" s="27"/>
      <c r="I89" s="32" t="str">
        <f aca="false">IF(A89="","",IF(AND(H89="Positive",IFERROR(INDEX(Contacts!$K$3:$K$502,MATCH(C89,Contacts!$B$3:$B$502,0)),"No")&lt;&gt;"Yes"),"Yes","No"))</f>
        <v/>
      </c>
    </row>
    <row r="90" customFormat="false" ht="15" hidden="false" customHeight="false" outlineLevel="0" collapsed="false">
      <c r="A90" s="28"/>
      <c r="B90" s="27"/>
      <c r="C90" s="27"/>
      <c r="D90" s="27"/>
      <c r="E90" s="27"/>
      <c r="F90" s="27"/>
      <c r="G90" s="27"/>
      <c r="H90" s="27"/>
      <c r="I90" s="32" t="str">
        <f aca="false">IF(A90="","",IF(AND(H90="Positive",IFERROR(INDEX(Contacts!$K$3:$K$502,MATCH(C90,Contacts!$B$3:$B$502,0)),"No")&lt;&gt;"Yes"),"Yes","No"))</f>
        <v/>
      </c>
    </row>
    <row r="91" customFormat="false" ht="15" hidden="false" customHeight="false" outlineLevel="0" collapsed="false">
      <c r="A91" s="28"/>
      <c r="B91" s="27"/>
      <c r="C91" s="27"/>
      <c r="D91" s="27"/>
      <c r="E91" s="27"/>
      <c r="F91" s="27"/>
      <c r="G91" s="27"/>
      <c r="H91" s="27"/>
      <c r="I91" s="32" t="str">
        <f aca="false">IF(A91="","",IF(AND(H91="Positive",IFERROR(INDEX(Contacts!$K$3:$K$502,MATCH(C91,Contacts!$B$3:$B$502,0)),"No")&lt;&gt;"Yes"),"Yes","No"))</f>
        <v/>
      </c>
    </row>
    <row r="92" customFormat="false" ht="15" hidden="false" customHeight="false" outlineLevel="0" collapsed="false">
      <c r="A92" s="28"/>
      <c r="B92" s="27"/>
      <c r="C92" s="27"/>
      <c r="D92" s="27"/>
      <c r="E92" s="27"/>
      <c r="F92" s="27"/>
      <c r="G92" s="27"/>
      <c r="H92" s="27"/>
      <c r="I92" s="32" t="str">
        <f aca="false">IF(A92="","",IF(AND(H92="Positive",IFERROR(INDEX(Contacts!$K$3:$K$502,MATCH(C92,Contacts!$B$3:$B$502,0)),"No")&lt;&gt;"Yes"),"Yes","No"))</f>
        <v/>
      </c>
    </row>
    <row r="93" customFormat="false" ht="15" hidden="false" customHeight="false" outlineLevel="0" collapsed="false">
      <c r="A93" s="28"/>
      <c r="B93" s="27"/>
      <c r="C93" s="27"/>
      <c r="D93" s="27"/>
      <c r="E93" s="27"/>
      <c r="F93" s="27"/>
      <c r="G93" s="27"/>
      <c r="H93" s="27"/>
      <c r="I93" s="32" t="str">
        <f aca="false">IF(A93="","",IF(AND(H93="Positive",IFERROR(INDEX(Contacts!$K$3:$K$502,MATCH(C93,Contacts!$B$3:$B$502,0)),"No")&lt;&gt;"Yes"),"Yes","No"))</f>
        <v/>
      </c>
    </row>
    <row r="94" customFormat="false" ht="15" hidden="false" customHeight="false" outlineLevel="0" collapsed="false">
      <c r="A94" s="28"/>
      <c r="B94" s="27"/>
      <c r="C94" s="27"/>
      <c r="D94" s="27"/>
      <c r="E94" s="27"/>
      <c r="F94" s="27"/>
      <c r="G94" s="27"/>
      <c r="H94" s="27"/>
      <c r="I94" s="32" t="str">
        <f aca="false">IF(A94="","",IF(AND(H94="Positive",IFERROR(INDEX(Contacts!$K$3:$K$502,MATCH(C94,Contacts!$B$3:$B$502,0)),"No")&lt;&gt;"Yes"),"Yes","No"))</f>
        <v/>
      </c>
    </row>
    <row r="95" customFormat="false" ht="15" hidden="false" customHeight="false" outlineLevel="0" collapsed="false">
      <c r="A95" s="28"/>
      <c r="B95" s="27"/>
      <c r="C95" s="27"/>
      <c r="D95" s="27"/>
      <c r="E95" s="27"/>
      <c r="F95" s="27"/>
      <c r="G95" s="27"/>
      <c r="H95" s="27"/>
      <c r="I95" s="32" t="str">
        <f aca="false">IF(A95="","",IF(AND(H95="Positive",IFERROR(INDEX(Contacts!$K$3:$K$502,MATCH(C95,Contacts!$B$3:$B$502,0)),"No")&lt;&gt;"Yes"),"Yes","No"))</f>
        <v/>
      </c>
    </row>
    <row r="96" customFormat="false" ht="15" hidden="false" customHeight="false" outlineLevel="0" collapsed="false">
      <c r="A96" s="28"/>
      <c r="B96" s="27"/>
      <c r="C96" s="27"/>
      <c r="D96" s="27"/>
      <c r="E96" s="27"/>
      <c r="F96" s="27"/>
      <c r="G96" s="27"/>
      <c r="H96" s="27"/>
      <c r="I96" s="32" t="str">
        <f aca="false">IF(A96="","",IF(AND(H96="Positive",IFERROR(INDEX(Contacts!$K$3:$K$502,MATCH(C96,Contacts!$B$3:$B$502,0)),"No")&lt;&gt;"Yes"),"Yes","No"))</f>
        <v/>
      </c>
    </row>
    <row r="97" customFormat="false" ht="15" hidden="false" customHeight="false" outlineLevel="0" collapsed="false">
      <c r="A97" s="28"/>
      <c r="B97" s="27"/>
      <c r="C97" s="27"/>
      <c r="D97" s="27"/>
      <c r="E97" s="27"/>
      <c r="F97" s="27"/>
      <c r="G97" s="27"/>
      <c r="H97" s="27"/>
      <c r="I97" s="32" t="str">
        <f aca="false">IF(A97="","",IF(AND(H97="Positive",IFERROR(INDEX(Contacts!$K$3:$K$502,MATCH(C97,Contacts!$B$3:$B$502,0)),"No")&lt;&gt;"Yes"),"Yes","No"))</f>
        <v/>
      </c>
    </row>
    <row r="98" customFormat="false" ht="15" hidden="false" customHeight="false" outlineLevel="0" collapsed="false">
      <c r="A98" s="28"/>
      <c r="B98" s="27"/>
      <c r="C98" s="27"/>
      <c r="D98" s="27"/>
      <c r="E98" s="27"/>
      <c r="F98" s="27"/>
      <c r="G98" s="27"/>
      <c r="H98" s="27"/>
      <c r="I98" s="32" t="str">
        <f aca="false">IF(A98="","",IF(AND(H98="Positive",IFERROR(INDEX(Contacts!$K$3:$K$502,MATCH(C98,Contacts!$B$3:$B$502,0)),"No")&lt;&gt;"Yes"),"Yes","No"))</f>
        <v/>
      </c>
    </row>
    <row r="99" customFormat="false" ht="15" hidden="false" customHeight="false" outlineLevel="0" collapsed="false">
      <c r="A99" s="28"/>
      <c r="B99" s="27"/>
      <c r="C99" s="27"/>
      <c r="D99" s="27"/>
      <c r="E99" s="27"/>
      <c r="F99" s="27"/>
      <c r="G99" s="27"/>
      <c r="H99" s="27"/>
      <c r="I99" s="32" t="str">
        <f aca="false">IF(A99="","",IF(AND(H99="Positive",IFERROR(INDEX(Contacts!$K$3:$K$502,MATCH(C99,Contacts!$B$3:$B$502,0)),"No")&lt;&gt;"Yes"),"Yes","No"))</f>
        <v/>
      </c>
    </row>
    <row r="100" customFormat="false" ht="15" hidden="false" customHeight="false" outlineLevel="0" collapsed="false">
      <c r="A100" s="28"/>
      <c r="B100" s="27"/>
      <c r="C100" s="27"/>
      <c r="D100" s="27"/>
      <c r="E100" s="27"/>
      <c r="F100" s="27"/>
      <c r="G100" s="27"/>
      <c r="H100" s="27"/>
      <c r="I100" s="32" t="str">
        <f aca="false">IF(A100="","",IF(AND(H100="Positive",IFERROR(INDEX(Contacts!$K$3:$K$502,MATCH(C100,Contacts!$B$3:$B$502,0)),"No")&lt;&gt;"Yes"),"Yes","No"))</f>
        <v/>
      </c>
    </row>
    <row r="101" customFormat="false" ht="15" hidden="false" customHeight="false" outlineLevel="0" collapsed="false">
      <c r="A101" s="28"/>
      <c r="B101" s="27"/>
      <c r="C101" s="27"/>
      <c r="D101" s="27"/>
      <c r="E101" s="27"/>
      <c r="F101" s="27"/>
      <c r="G101" s="27"/>
      <c r="H101" s="27"/>
      <c r="I101" s="32" t="str">
        <f aca="false">IF(A101="","",IF(AND(H101="Positive",IFERROR(INDEX(Contacts!$K$3:$K$502,MATCH(C101,Contacts!$B$3:$B$502,0)),"No")&lt;&gt;"Yes"),"Yes","No"))</f>
        <v/>
      </c>
    </row>
    <row r="102" customFormat="false" ht="15" hidden="false" customHeight="false" outlineLevel="0" collapsed="false">
      <c r="A102" s="28"/>
      <c r="B102" s="27"/>
      <c r="C102" s="27"/>
      <c r="D102" s="27"/>
      <c r="E102" s="27"/>
      <c r="F102" s="27"/>
      <c r="G102" s="27"/>
      <c r="H102" s="27"/>
      <c r="I102" s="32" t="str">
        <f aca="false">IF(A102="","",IF(AND(H102="Positive",IFERROR(INDEX(Contacts!$K$3:$K$502,MATCH(C102,Contacts!$B$3:$B$502,0)),"No")&lt;&gt;"Yes"),"Yes","No"))</f>
        <v/>
      </c>
    </row>
    <row r="103" customFormat="false" ht="15" hidden="false" customHeight="false" outlineLevel="0" collapsed="false">
      <c r="A103" s="28"/>
      <c r="B103" s="27"/>
      <c r="C103" s="27"/>
      <c r="D103" s="27"/>
      <c r="E103" s="27"/>
      <c r="F103" s="27"/>
      <c r="G103" s="27"/>
      <c r="H103" s="27"/>
      <c r="I103" s="32" t="str">
        <f aca="false">IF(A103="","",IF(AND(H103="Positive",IFERROR(INDEX(Contacts!$K$3:$K$502,MATCH(C103,Contacts!$B$3:$B$502,0)),"No")&lt;&gt;"Yes"),"Yes","No"))</f>
        <v/>
      </c>
    </row>
    <row r="104" customFormat="false" ht="15" hidden="false" customHeight="false" outlineLevel="0" collapsed="false">
      <c r="A104" s="28"/>
      <c r="B104" s="27"/>
      <c r="C104" s="27"/>
      <c r="D104" s="27"/>
      <c r="E104" s="27"/>
      <c r="F104" s="27"/>
      <c r="G104" s="27"/>
      <c r="H104" s="27"/>
      <c r="I104" s="32" t="str">
        <f aca="false">IF(A104="","",IF(AND(H104="Positive",IFERROR(INDEX(Contacts!$K$3:$K$502,MATCH(C104,Contacts!$B$3:$B$502,0)),"No")&lt;&gt;"Yes"),"Yes","No"))</f>
        <v/>
      </c>
    </row>
    <row r="105" customFormat="false" ht="15" hidden="false" customHeight="false" outlineLevel="0" collapsed="false">
      <c r="A105" s="28"/>
      <c r="B105" s="27"/>
      <c r="C105" s="27"/>
      <c r="D105" s="27"/>
      <c r="E105" s="27"/>
      <c r="F105" s="27"/>
      <c r="G105" s="27"/>
      <c r="H105" s="27"/>
      <c r="I105" s="32" t="str">
        <f aca="false">IF(A105="","",IF(AND(H105="Positive",IFERROR(INDEX(Contacts!$K$3:$K$502,MATCH(C105,Contacts!$B$3:$B$502,0)),"No")&lt;&gt;"Yes"),"Yes","No"))</f>
        <v/>
      </c>
    </row>
    <row r="106" customFormat="false" ht="15" hidden="false" customHeight="false" outlineLevel="0" collapsed="false">
      <c r="A106" s="28"/>
      <c r="B106" s="27"/>
      <c r="C106" s="27"/>
      <c r="D106" s="27"/>
      <c r="E106" s="27"/>
      <c r="F106" s="27"/>
      <c r="G106" s="27"/>
      <c r="H106" s="27"/>
      <c r="I106" s="32" t="str">
        <f aca="false">IF(A106="","",IF(AND(H106="Positive",IFERROR(INDEX(Contacts!$K$3:$K$502,MATCH(C106,Contacts!$B$3:$B$502,0)),"No")&lt;&gt;"Yes"),"Yes","No"))</f>
        <v/>
      </c>
    </row>
    <row r="107" customFormat="false" ht="15" hidden="false" customHeight="false" outlineLevel="0" collapsed="false">
      <c r="A107" s="28"/>
      <c r="B107" s="27"/>
      <c r="C107" s="27"/>
      <c r="D107" s="27"/>
      <c r="E107" s="27"/>
      <c r="F107" s="27"/>
      <c r="G107" s="27"/>
      <c r="H107" s="27"/>
      <c r="I107" s="32" t="str">
        <f aca="false">IF(A107="","",IF(AND(H107="Positive",IFERROR(INDEX(Contacts!$K$3:$K$502,MATCH(C107,Contacts!$B$3:$B$502,0)),"No")&lt;&gt;"Yes"),"Yes","No"))</f>
        <v/>
      </c>
    </row>
    <row r="108" customFormat="false" ht="15" hidden="false" customHeight="false" outlineLevel="0" collapsed="false">
      <c r="A108" s="28"/>
      <c r="B108" s="27"/>
      <c r="C108" s="27"/>
      <c r="D108" s="27"/>
      <c r="E108" s="27"/>
      <c r="F108" s="27"/>
      <c r="G108" s="27"/>
      <c r="H108" s="27"/>
      <c r="I108" s="32" t="str">
        <f aca="false">IF(A108="","",IF(AND(H108="Positive",IFERROR(INDEX(Contacts!$K$3:$K$502,MATCH(C108,Contacts!$B$3:$B$502,0)),"No")&lt;&gt;"Yes"),"Yes","No"))</f>
        <v/>
      </c>
    </row>
    <row r="109" customFormat="false" ht="15" hidden="false" customHeight="false" outlineLevel="0" collapsed="false">
      <c r="A109" s="28"/>
      <c r="B109" s="27"/>
      <c r="C109" s="27"/>
      <c r="D109" s="27"/>
      <c r="E109" s="27"/>
      <c r="F109" s="27"/>
      <c r="G109" s="27"/>
      <c r="H109" s="27"/>
      <c r="I109" s="32" t="str">
        <f aca="false">IF(A109="","",IF(AND(H109="Positive",IFERROR(INDEX(Contacts!$K$3:$K$502,MATCH(C109,Contacts!$B$3:$B$502,0)),"No")&lt;&gt;"Yes"),"Yes","No"))</f>
        <v/>
      </c>
    </row>
    <row r="110" customFormat="false" ht="15" hidden="false" customHeight="false" outlineLevel="0" collapsed="false">
      <c r="A110" s="28"/>
      <c r="B110" s="27"/>
      <c r="C110" s="27"/>
      <c r="D110" s="27"/>
      <c r="E110" s="27"/>
      <c r="F110" s="27"/>
      <c r="G110" s="27"/>
      <c r="H110" s="27"/>
      <c r="I110" s="32" t="str">
        <f aca="false">IF(A110="","",IF(AND(H110="Positive",IFERROR(INDEX(Contacts!$K$3:$K$502,MATCH(C110,Contacts!$B$3:$B$502,0)),"No")&lt;&gt;"Yes"),"Yes","No"))</f>
        <v/>
      </c>
    </row>
    <row r="111" customFormat="false" ht="15" hidden="false" customHeight="false" outlineLevel="0" collapsed="false">
      <c r="A111" s="28"/>
      <c r="B111" s="27"/>
      <c r="C111" s="27"/>
      <c r="D111" s="27"/>
      <c r="E111" s="27"/>
      <c r="F111" s="27"/>
      <c r="G111" s="27"/>
      <c r="H111" s="27"/>
      <c r="I111" s="32" t="str">
        <f aca="false">IF(A111="","",IF(AND(H111="Positive",IFERROR(INDEX(Contacts!$K$3:$K$502,MATCH(C111,Contacts!$B$3:$B$502,0)),"No")&lt;&gt;"Yes"),"Yes","No"))</f>
        <v/>
      </c>
    </row>
    <row r="112" customFormat="false" ht="15" hidden="false" customHeight="false" outlineLevel="0" collapsed="false">
      <c r="A112" s="28"/>
      <c r="B112" s="27"/>
      <c r="C112" s="27"/>
      <c r="D112" s="27"/>
      <c r="E112" s="27"/>
      <c r="F112" s="27"/>
      <c r="G112" s="27"/>
      <c r="H112" s="27"/>
      <c r="I112" s="32" t="str">
        <f aca="false">IF(A112="","",IF(AND(H112="Positive",IFERROR(INDEX(Contacts!$K$3:$K$502,MATCH(C112,Contacts!$B$3:$B$502,0)),"No")&lt;&gt;"Yes"),"Yes","No"))</f>
        <v/>
      </c>
    </row>
    <row r="113" customFormat="false" ht="15" hidden="false" customHeight="false" outlineLevel="0" collapsed="false">
      <c r="A113" s="28"/>
      <c r="B113" s="27"/>
      <c r="C113" s="27"/>
      <c r="D113" s="27"/>
      <c r="E113" s="27"/>
      <c r="F113" s="27"/>
      <c r="G113" s="27"/>
      <c r="H113" s="27"/>
      <c r="I113" s="32" t="str">
        <f aca="false">IF(A113="","",IF(AND(H113="Positive",IFERROR(INDEX(Contacts!$K$3:$K$502,MATCH(C113,Contacts!$B$3:$B$502,0)),"No")&lt;&gt;"Yes"),"Yes","No"))</f>
        <v/>
      </c>
    </row>
    <row r="114" customFormat="false" ht="15" hidden="false" customHeight="false" outlineLevel="0" collapsed="false">
      <c r="A114" s="28"/>
      <c r="B114" s="27"/>
      <c r="C114" s="27"/>
      <c r="D114" s="27"/>
      <c r="E114" s="27"/>
      <c r="F114" s="27"/>
      <c r="G114" s="27"/>
      <c r="H114" s="27"/>
      <c r="I114" s="32" t="str">
        <f aca="false">IF(A114="","",IF(AND(H114="Positive",IFERROR(INDEX(Contacts!$K$3:$K$502,MATCH(C114,Contacts!$B$3:$B$502,0)),"No")&lt;&gt;"Yes"),"Yes","No"))</f>
        <v/>
      </c>
    </row>
    <row r="115" customFormat="false" ht="15" hidden="false" customHeight="false" outlineLevel="0" collapsed="false">
      <c r="A115" s="28"/>
      <c r="B115" s="27"/>
      <c r="C115" s="27"/>
      <c r="D115" s="27"/>
      <c r="E115" s="27"/>
      <c r="F115" s="27"/>
      <c r="G115" s="27"/>
      <c r="H115" s="27"/>
      <c r="I115" s="32" t="str">
        <f aca="false">IF(A115="","",IF(AND(H115="Positive",IFERROR(INDEX(Contacts!$K$3:$K$502,MATCH(C115,Contacts!$B$3:$B$502,0)),"No")&lt;&gt;"Yes"),"Yes","No"))</f>
        <v/>
      </c>
    </row>
    <row r="116" customFormat="false" ht="15" hidden="false" customHeight="false" outlineLevel="0" collapsed="false">
      <c r="A116" s="28"/>
      <c r="B116" s="27"/>
      <c r="C116" s="27"/>
      <c r="D116" s="27"/>
      <c r="E116" s="27"/>
      <c r="F116" s="27"/>
      <c r="G116" s="27"/>
      <c r="H116" s="27"/>
      <c r="I116" s="32" t="str">
        <f aca="false">IF(A116="","",IF(AND(H116="Positive",IFERROR(INDEX(Contacts!$K$3:$K$502,MATCH(C116,Contacts!$B$3:$B$502,0)),"No")&lt;&gt;"Yes"),"Yes","No"))</f>
        <v/>
      </c>
    </row>
    <row r="117" customFormat="false" ht="15" hidden="false" customHeight="false" outlineLevel="0" collapsed="false">
      <c r="A117" s="28"/>
      <c r="B117" s="27"/>
      <c r="C117" s="27"/>
      <c r="D117" s="27"/>
      <c r="E117" s="27"/>
      <c r="F117" s="27"/>
      <c r="G117" s="27"/>
      <c r="H117" s="27"/>
      <c r="I117" s="32" t="str">
        <f aca="false">IF(A117="","",IF(AND(H117="Positive",IFERROR(INDEX(Contacts!$K$3:$K$502,MATCH(C117,Contacts!$B$3:$B$502,0)),"No")&lt;&gt;"Yes"),"Yes","No"))</f>
        <v/>
      </c>
    </row>
    <row r="118" customFormat="false" ht="15" hidden="false" customHeight="false" outlineLevel="0" collapsed="false">
      <c r="A118" s="28"/>
      <c r="B118" s="27"/>
      <c r="C118" s="27"/>
      <c r="D118" s="27"/>
      <c r="E118" s="27"/>
      <c r="F118" s="27"/>
      <c r="G118" s="27"/>
      <c r="H118" s="27"/>
      <c r="I118" s="32" t="str">
        <f aca="false">IF(A118="","",IF(AND(H118="Positive",IFERROR(INDEX(Contacts!$K$3:$K$502,MATCH(C118,Contacts!$B$3:$B$502,0)),"No")&lt;&gt;"Yes"),"Yes","No"))</f>
        <v/>
      </c>
    </row>
    <row r="119" customFormat="false" ht="15" hidden="false" customHeight="false" outlineLevel="0" collapsed="false">
      <c r="A119" s="28"/>
      <c r="B119" s="27"/>
      <c r="C119" s="27"/>
      <c r="D119" s="27"/>
      <c r="E119" s="27"/>
      <c r="F119" s="27"/>
      <c r="G119" s="27"/>
      <c r="H119" s="27"/>
      <c r="I119" s="32" t="str">
        <f aca="false">IF(A119="","",IF(AND(H119="Positive",IFERROR(INDEX(Contacts!$K$3:$K$502,MATCH(C119,Contacts!$B$3:$B$502,0)),"No")&lt;&gt;"Yes"),"Yes","No"))</f>
        <v/>
      </c>
    </row>
    <row r="120" customFormat="false" ht="15" hidden="false" customHeight="false" outlineLevel="0" collapsed="false">
      <c r="A120" s="28"/>
      <c r="B120" s="27"/>
      <c r="C120" s="27"/>
      <c r="D120" s="27"/>
      <c r="E120" s="27"/>
      <c r="F120" s="27"/>
      <c r="G120" s="27"/>
      <c r="H120" s="27"/>
      <c r="I120" s="32" t="str">
        <f aca="false">IF(A120="","",IF(AND(H120="Positive",IFERROR(INDEX(Contacts!$K$3:$K$502,MATCH(C120,Contacts!$B$3:$B$502,0)),"No")&lt;&gt;"Yes"),"Yes","No"))</f>
        <v/>
      </c>
    </row>
    <row r="121" customFormat="false" ht="15" hidden="false" customHeight="false" outlineLevel="0" collapsed="false">
      <c r="A121" s="28"/>
      <c r="B121" s="27"/>
      <c r="C121" s="27"/>
      <c r="D121" s="27"/>
      <c r="E121" s="27"/>
      <c r="F121" s="27"/>
      <c r="G121" s="27"/>
      <c r="H121" s="27"/>
      <c r="I121" s="32" t="str">
        <f aca="false">IF(A121="","",IF(AND(H121="Positive",IFERROR(INDEX(Contacts!$K$3:$K$502,MATCH(C121,Contacts!$B$3:$B$502,0)),"No")&lt;&gt;"Yes"),"Yes","No"))</f>
        <v/>
      </c>
    </row>
    <row r="122" customFormat="false" ht="15" hidden="false" customHeight="false" outlineLevel="0" collapsed="false">
      <c r="A122" s="28"/>
      <c r="B122" s="27"/>
      <c r="C122" s="27"/>
      <c r="D122" s="27"/>
      <c r="E122" s="27"/>
      <c r="F122" s="27"/>
      <c r="G122" s="27"/>
      <c r="H122" s="27"/>
      <c r="I122" s="32" t="str">
        <f aca="false">IF(A122="","",IF(AND(H122="Positive",IFERROR(INDEX(Contacts!$K$3:$K$502,MATCH(C122,Contacts!$B$3:$B$502,0)),"No")&lt;&gt;"Yes"),"Yes","No"))</f>
        <v/>
      </c>
    </row>
    <row r="123" customFormat="false" ht="15" hidden="false" customHeight="false" outlineLevel="0" collapsed="false">
      <c r="A123" s="28"/>
      <c r="B123" s="27"/>
      <c r="C123" s="27"/>
      <c r="D123" s="27"/>
      <c r="E123" s="27"/>
      <c r="F123" s="27"/>
      <c r="G123" s="27"/>
      <c r="H123" s="27"/>
      <c r="I123" s="32" t="str">
        <f aca="false">IF(A123="","",IF(AND(H123="Positive",IFERROR(INDEX(Contacts!$K$3:$K$502,MATCH(C123,Contacts!$B$3:$B$502,0)),"No")&lt;&gt;"Yes"),"Yes","No"))</f>
        <v/>
      </c>
    </row>
    <row r="124" customFormat="false" ht="15" hidden="false" customHeight="false" outlineLevel="0" collapsed="false">
      <c r="A124" s="28"/>
      <c r="B124" s="27"/>
      <c r="C124" s="27"/>
      <c r="D124" s="27"/>
      <c r="E124" s="27"/>
      <c r="F124" s="27"/>
      <c r="G124" s="27"/>
      <c r="H124" s="27"/>
      <c r="I124" s="32" t="str">
        <f aca="false">IF(A124="","",IF(AND(H124="Positive",IFERROR(INDEX(Contacts!$K$3:$K$502,MATCH(C124,Contacts!$B$3:$B$502,0)),"No")&lt;&gt;"Yes"),"Yes","No"))</f>
        <v/>
      </c>
    </row>
    <row r="125" customFormat="false" ht="15" hidden="false" customHeight="false" outlineLevel="0" collapsed="false">
      <c r="A125" s="28"/>
      <c r="B125" s="27"/>
      <c r="C125" s="27"/>
      <c r="D125" s="27"/>
      <c r="E125" s="27"/>
      <c r="F125" s="27"/>
      <c r="G125" s="27"/>
      <c r="H125" s="27"/>
      <c r="I125" s="32" t="str">
        <f aca="false">IF(A125="","",IF(AND(H125="Positive",IFERROR(INDEX(Contacts!$K$3:$K$502,MATCH(C125,Contacts!$B$3:$B$502,0)),"No")&lt;&gt;"Yes"),"Yes","No"))</f>
        <v/>
      </c>
    </row>
    <row r="126" customFormat="false" ht="15" hidden="false" customHeight="false" outlineLevel="0" collapsed="false">
      <c r="A126" s="28"/>
      <c r="B126" s="27"/>
      <c r="C126" s="27"/>
      <c r="D126" s="27"/>
      <c r="E126" s="27"/>
      <c r="F126" s="27"/>
      <c r="G126" s="27"/>
      <c r="H126" s="27"/>
      <c r="I126" s="32" t="str">
        <f aca="false">IF(A126="","",IF(AND(H126="Positive",IFERROR(INDEX(Contacts!$K$3:$K$502,MATCH(C126,Contacts!$B$3:$B$502,0)),"No")&lt;&gt;"Yes"),"Yes","No"))</f>
        <v/>
      </c>
    </row>
    <row r="127" customFormat="false" ht="15" hidden="false" customHeight="false" outlineLevel="0" collapsed="false">
      <c r="A127" s="28"/>
      <c r="B127" s="27"/>
      <c r="C127" s="27"/>
      <c r="D127" s="27"/>
      <c r="E127" s="27"/>
      <c r="F127" s="27"/>
      <c r="G127" s="27"/>
      <c r="H127" s="27"/>
      <c r="I127" s="32" t="str">
        <f aca="false">IF(A127="","",IF(AND(H127="Positive",IFERROR(INDEX(Contacts!$K$3:$K$502,MATCH(C127,Contacts!$B$3:$B$502,0)),"No")&lt;&gt;"Yes"),"Yes","No"))</f>
        <v/>
      </c>
    </row>
    <row r="128" customFormat="false" ht="15" hidden="false" customHeight="false" outlineLevel="0" collapsed="false">
      <c r="A128" s="28"/>
      <c r="B128" s="27"/>
      <c r="C128" s="27"/>
      <c r="D128" s="27"/>
      <c r="E128" s="27"/>
      <c r="F128" s="27"/>
      <c r="G128" s="27"/>
      <c r="H128" s="27"/>
      <c r="I128" s="32" t="str">
        <f aca="false">IF(A128="","",IF(AND(H128="Positive",IFERROR(INDEX(Contacts!$K$3:$K$502,MATCH(C128,Contacts!$B$3:$B$502,0)),"No")&lt;&gt;"Yes"),"Yes","No"))</f>
        <v/>
      </c>
    </row>
    <row r="129" customFormat="false" ht="15" hidden="false" customHeight="false" outlineLevel="0" collapsed="false">
      <c r="A129" s="28"/>
      <c r="B129" s="27"/>
      <c r="C129" s="27"/>
      <c r="D129" s="27"/>
      <c r="E129" s="27"/>
      <c r="F129" s="27"/>
      <c r="G129" s="27"/>
      <c r="H129" s="27"/>
      <c r="I129" s="32" t="str">
        <f aca="false">IF(A129="","",IF(AND(H129="Positive",IFERROR(INDEX(Contacts!$K$3:$K$502,MATCH(C129,Contacts!$B$3:$B$502,0)),"No")&lt;&gt;"Yes"),"Yes","No"))</f>
        <v/>
      </c>
    </row>
    <row r="130" customFormat="false" ht="15" hidden="false" customHeight="false" outlineLevel="0" collapsed="false">
      <c r="A130" s="28"/>
      <c r="B130" s="27"/>
      <c r="C130" s="27"/>
      <c r="D130" s="27"/>
      <c r="E130" s="27"/>
      <c r="F130" s="27"/>
      <c r="G130" s="27"/>
      <c r="H130" s="27"/>
      <c r="I130" s="32" t="str">
        <f aca="false">IF(A130="","",IF(AND(H130="Positive",IFERROR(INDEX(Contacts!$K$3:$K$502,MATCH(C130,Contacts!$B$3:$B$502,0)),"No")&lt;&gt;"Yes"),"Yes","No"))</f>
        <v/>
      </c>
    </row>
    <row r="131" customFormat="false" ht="15" hidden="false" customHeight="false" outlineLevel="0" collapsed="false">
      <c r="A131" s="28"/>
      <c r="B131" s="27"/>
      <c r="C131" s="27"/>
      <c r="D131" s="27"/>
      <c r="E131" s="27"/>
      <c r="F131" s="27"/>
      <c r="G131" s="27"/>
      <c r="H131" s="27"/>
      <c r="I131" s="32" t="str">
        <f aca="false">IF(A131="","",IF(AND(H131="Positive",IFERROR(INDEX(Contacts!$K$3:$K$502,MATCH(C131,Contacts!$B$3:$B$502,0)),"No")&lt;&gt;"Yes"),"Yes","No"))</f>
        <v/>
      </c>
    </row>
    <row r="132" customFormat="false" ht="15" hidden="false" customHeight="false" outlineLevel="0" collapsed="false">
      <c r="A132" s="28"/>
      <c r="B132" s="27"/>
      <c r="C132" s="27"/>
      <c r="D132" s="27"/>
      <c r="E132" s="27"/>
      <c r="F132" s="27"/>
      <c r="G132" s="27"/>
      <c r="H132" s="27"/>
      <c r="I132" s="32" t="str">
        <f aca="false">IF(A132="","",IF(AND(H132="Positive",IFERROR(INDEX(Contacts!$K$3:$K$502,MATCH(C132,Contacts!$B$3:$B$502,0)),"No")&lt;&gt;"Yes"),"Yes","No"))</f>
        <v/>
      </c>
    </row>
    <row r="133" customFormat="false" ht="15" hidden="false" customHeight="false" outlineLevel="0" collapsed="false">
      <c r="A133" s="28"/>
      <c r="B133" s="27"/>
      <c r="C133" s="27"/>
      <c r="D133" s="27"/>
      <c r="E133" s="27"/>
      <c r="F133" s="27"/>
      <c r="G133" s="27"/>
      <c r="H133" s="27"/>
      <c r="I133" s="32" t="str">
        <f aca="false">IF(A133="","",IF(AND(H133="Positive",IFERROR(INDEX(Contacts!$K$3:$K$502,MATCH(C133,Contacts!$B$3:$B$502,0)),"No")&lt;&gt;"Yes"),"Yes","No"))</f>
        <v/>
      </c>
    </row>
    <row r="134" customFormat="false" ht="15" hidden="false" customHeight="false" outlineLevel="0" collapsed="false">
      <c r="A134" s="28"/>
      <c r="B134" s="27"/>
      <c r="C134" s="27"/>
      <c r="D134" s="27"/>
      <c r="E134" s="27"/>
      <c r="F134" s="27"/>
      <c r="G134" s="27"/>
      <c r="H134" s="27"/>
      <c r="I134" s="32" t="str">
        <f aca="false">IF(A134="","",IF(AND(H134="Positive",IFERROR(INDEX(Contacts!$K$3:$K$502,MATCH(C134,Contacts!$B$3:$B$502,0)),"No")&lt;&gt;"Yes"),"Yes","No"))</f>
        <v/>
      </c>
    </row>
    <row r="135" customFormat="false" ht="15" hidden="false" customHeight="false" outlineLevel="0" collapsed="false">
      <c r="A135" s="28"/>
      <c r="B135" s="27"/>
      <c r="C135" s="27"/>
      <c r="D135" s="27"/>
      <c r="E135" s="27"/>
      <c r="F135" s="27"/>
      <c r="G135" s="27"/>
      <c r="H135" s="27"/>
      <c r="I135" s="32" t="str">
        <f aca="false">IF(A135="","",IF(AND(H135="Positive",IFERROR(INDEX(Contacts!$K$3:$K$502,MATCH(C135,Contacts!$B$3:$B$502,0)),"No")&lt;&gt;"Yes"),"Yes","No"))</f>
        <v/>
      </c>
    </row>
    <row r="136" customFormat="false" ht="15" hidden="false" customHeight="false" outlineLevel="0" collapsed="false">
      <c r="A136" s="28"/>
      <c r="B136" s="27"/>
      <c r="C136" s="27"/>
      <c r="D136" s="27"/>
      <c r="E136" s="27"/>
      <c r="F136" s="27"/>
      <c r="G136" s="27"/>
      <c r="H136" s="27"/>
      <c r="I136" s="32" t="str">
        <f aca="false">IF(A136="","",IF(AND(H136="Positive",IFERROR(INDEX(Contacts!$K$3:$K$502,MATCH(C136,Contacts!$B$3:$B$502,0)),"No")&lt;&gt;"Yes"),"Yes","No"))</f>
        <v/>
      </c>
    </row>
    <row r="137" customFormat="false" ht="15" hidden="false" customHeight="false" outlineLevel="0" collapsed="false">
      <c r="A137" s="28"/>
      <c r="B137" s="27"/>
      <c r="C137" s="27"/>
      <c r="D137" s="27"/>
      <c r="E137" s="27"/>
      <c r="F137" s="27"/>
      <c r="G137" s="27"/>
      <c r="H137" s="27"/>
      <c r="I137" s="32" t="str">
        <f aca="false">IF(A137="","",IF(AND(H137="Positive",IFERROR(INDEX(Contacts!$K$3:$K$502,MATCH(C137,Contacts!$B$3:$B$502,0)),"No")&lt;&gt;"Yes"),"Yes","No"))</f>
        <v/>
      </c>
    </row>
    <row r="138" customFormat="false" ht="15" hidden="false" customHeight="false" outlineLevel="0" collapsed="false">
      <c r="A138" s="28"/>
      <c r="B138" s="27"/>
      <c r="C138" s="27"/>
      <c r="D138" s="27"/>
      <c r="E138" s="27"/>
      <c r="F138" s="27"/>
      <c r="G138" s="27"/>
      <c r="H138" s="27"/>
      <c r="I138" s="32" t="str">
        <f aca="false">IF(A138="","",IF(AND(H138="Positive",IFERROR(INDEX(Contacts!$K$3:$K$502,MATCH(C138,Contacts!$B$3:$B$502,0)),"No")&lt;&gt;"Yes"),"Yes","No"))</f>
        <v/>
      </c>
    </row>
    <row r="139" customFormat="false" ht="15" hidden="false" customHeight="false" outlineLevel="0" collapsed="false">
      <c r="A139" s="28"/>
      <c r="B139" s="27"/>
      <c r="C139" s="27"/>
      <c r="D139" s="27"/>
      <c r="E139" s="27"/>
      <c r="F139" s="27"/>
      <c r="G139" s="27"/>
      <c r="H139" s="27"/>
      <c r="I139" s="32" t="str">
        <f aca="false">IF(A139="","",IF(AND(H139="Positive",IFERROR(INDEX(Contacts!$K$3:$K$502,MATCH(C139,Contacts!$B$3:$B$502,0)),"No")&lt;&gt;"Yes"),"Yes","No"))</f>
        <v/>
      </c>
    </row>
    <row r="140" customFormat="false" ht="15" hidden="false" customHeight="false" outlineLevel="0" collapsed="false">
      <c r="A140" s="28"/>
      <c r="B140" s="27"/>
      <c r="C140" s="27"/>
      <c r="D140" s="27"/>
      <c r="E140" s="27"/>
      <c r="F140" s="27"/>
      <c r="G140" s="27"/>
      <c r="H140" s="27"/>
      <c r="I140" s="32" t="str">
        <f aca="false">IF(A140="","",IF(AND(H140="Positive",IFERROR(INDEX(Contacts!$K$3:$K$502,MATCH(C140,Contacts!$B$3:$B$502,0)),"No")&lt;&gt;"Yes"),"Yes","No"))</f>
        <v/>
      </c>
    </row>
    <row r="141" customFormat="false" ht="15" hidden="false" customHeight="false" outlineLevel="0" collapsed="false">
      <c r="A141" s="28"/>
      <c r="B141" s="27"/>
      <c r="C141" s="27"/>
      <c r="D141" s="27"/>
      <c r="E141" s="27"/>
      <c r="F141" s="27"/>
      <c r="G141" s="27"/>
      <c r="H141" s="27"/>
      <c r="I141" s="32" t="str">
        <f aca="false">IF(A141="","",IF(AND(H141="Positive",IFERROR(INDEX(Contacts!$K$3:$K$502,MATCH(C141,Contacts!$B$3:$B$502,0)),"No")&lt;&gt;"Yes"),"Yes","No"))</f>
        <v/>
      </c>
    </row>
    <row r="142" customFormat="false" ht="15" hidden="false" customHeight="false" outlineLevel="0" collapsed="false">
      <c r="A142" s="28"/>
      <c r="B142" s="27"/>
      <c r="C142" s="27"/>
      <c r="D142" s="27"/>
      <c r="E142" s="27"/>
      <c r="F142" s="27"/>
      <c r="G142" s="27"/>
      <c r="H142" s="27"/>
      <c r="I142" s="32" t="str">
        <f aca="false">IF(A142="","",IF(AND(H142="Positive",IFERROR(INDEX(Contacts!$K$3:$K$502,MATCH(C142,Contacts!$B$3:$B$502,0)),"No")&lt;&gt;"Yes"),"Yes","No"))</f>
        <v/>
      </c>
    </row>
    <row r="143" customFormat="false" ht="15" hidden="false" customHeight="false" outlineLevel="0" collapsed="false">
      <c r="A143" s="28"/>
      <c r="B143" s="27"/>
      <c r="C143" s="27"/>
      <c r="D143" s="27"/>
      <c r="E143" s="27"/>
      <c r="F143" s="27"/>
      <c r="G143" s="27"/>
      <c r="H143" s="27"/>
      <c r="I143" s="32" t="str">
        <f aca="false">IF(A143="","",IF(AND(H143="Positive",IFERROR(INDEX(Contacts!$K$3:$K$502,MATCH(C143,Contacts!$B$3:$B$502,0)),"No")&lt;&gt;"Yes"),"Yes","No"))</f>
        <v/>
      </c>
    </row>
    <row r="144" customFormat="false" ht="15" hidden="false" customHeight="false" outlineLevel="0" collapsed="false">
      <c r="A144" s="28"/>
      <c r="B144" s="27"/>
      <c r="C144" s="27"/>
      <c r="D144" s="27"/>
      <c r="E144" s="27"/>
      <c r="F144" s="27"/>
      <c r="G144" s="27"/>
      <c r="H144" s="27"/>
      <c r="I144" s="32" t="str">
        <f aca="false">IF(A144="","",IF(AND(H144="Positive",IFERROR(INDEX(Contacts!$K$3:$K$502,MATCH(C144,Contacts!$B$3:$B$502,0)),"No")&lt;&gt;"Yes"),"Yes","No"))</f>
        <v/>
      </c>
    </row>
    <row r="145" customFormat="false" ht="15" hidden="false" customHeight="false" outlineLevel="0" collapsed="false">
      <c r="A145" s="28"/>
      <c r="B145" s="27"/>
      <c r="C145" s="27"/>
      <c r="D145" s="27"/>
      <c r="E145" s="27"/>
      <c r="F145" s="27"/>
      <c r="G145" s="27"/>
      <c r="H145" s="27"/>
      <c r="I145" s="32" t="str">
        <f aca="false">IF(A145="","",IF(AND(H145="Positive",IFERROR(INDEX(Contacts!$K$3:$K$502,MATCH(C145,Contacts!$B$3:$B$502,0)),"No")&lt;&gt;"Yes"),"Yes","No"))</f>
        <v/>
      </c>
    </row>
    <row r="146" customFormat="false" ht="15" hidden="false" customHeight="false" outlineLevel="0" collapsed="false">
      <c r="A146" s="28"/>
      <c r="B146" s="27"/>
      <c r="C146" s="27"/>
      <c r="D146" s="27"/>
      <c r="E146" s="27"/>
      <c r="F146" s="27"/>
      <c r="G146" s="27"/>
      <c r="H146" s="27"/>
      <c r="I146" s="32" t="str">
        <f aca="false">IF(A146="","",IF(AND(H146="Positive",IFERROR(INDEX(Contacts!$K$3:$K$502,MATCH(C146,Contacts!$B$3:$B$502,0)),"No")&lt;&gt;"Yes"),"Yes","No"))</f>
        <v/>
      </c>
    </row>
    <row r="147" customFormat="false" ht="15" hidden="false" customHeight="false" outlineLevel="0" collapsed="false">
      <c r="A147" s="28"/>
      <c r="B147" s="27"/>
      <c r="C147" s="27"/>
      <c r="D147" s="27"/>
      <c r="E147" s="27"/>
      <c r="F147" s="27"/>
      <c r="G147" s="27"/>
      <c r="H147" s="27"/>
      <c r="I147" s="32" t="str">
        <f aca="false">IF(A147="","",IF(AND(H147="Positive",IFERROR(INDEX(Contacts!$K$3:$K$502,MATCH(C147,Contacts!$B$3:$B$502,0)),"No")&lt;&gt;"Yes"),"Yes","No"))</f>
        <v/>
      </c>
    </row>
    <row r="148" customFormat="false" ht="15" hidden="false" customHeight="false" outlineLevel="0" collapsed="false">
      <c r="A148" s="28"/>
      <c r="B148" s="27"/>
      <c r="C148" s="27"/>
      <c r="D148" s="27"/>
      <c r="E148" s="27"/>
      <c r="F148" s="27"/>
      <c r="G148" s="27"/>
      <c r="H148" s="27"/>
      <c r="I148" s="32" t="str">
        <f aca="false">IF(A148="","",IF(AND(H148="Positive",IFERROR(INDEX(Contacts!$K$3:$K$502,MATCH(C148,Contacts!$B$3:$B$502,0)),"No")&lt;&gt;"Yes"),"Yes","No"))</f>
        <v/>
      </c>
    </row>
    <row r="149" customFormat="false" ht="15" hidden="false" customHeight="false" outlineLevel="0" collapsed="false">
      <c r="A149" s="28"/>
      <c r="B149" s="27"/>
      <c r="C149" s="27"/>
      <c r="D149" s="27"/>
      <c r="E149" s="27"/>
      <c r="F149" s="27"/>
      <c r="G149" s="27"/>
      <c r="H149" s="27"/>
      <c r="I149" s="32" t="str">
        <f aca="false">IF(A149="","",IF(AND(H149="Positive",IFERROR(INDEX(Contacts!$K$3:$K$502,MATCH(C149,Contacts!$B$3:$B$502,0)),"No")&lt;&gt;"Yes"),"Yes","No"))</f>
        <v/>
      </c>
    </row>
    <row r="150" customFormat="false" ht="15" hidden="false" customHeight="false" outlineLevel="0" collapsed="false">
      <c r="A150" s="28"/>
      <c r="B150" s="27"/>
      <c r="C150" s="27"/>
      <c r="D150" s="27"/>
      <c r="E150" s="27"/>
      <c r="F150" s="27"/>
      <c r="G150" s="27"/>
      <c r="H150" s="27"/>
      <c r="I150" s="32" t="str">
        <f aca="false">IF(A150="","",IF(AND(H150="Positive",IFERROR(INDEX(Contacts!$K$3:$K$502,MATCH(C150,Contacts!$B$3:$B$502,0)),"No")&lt;&gt;"Yes"),"Yes","No"))</f>
        <v/>
      </c>
    </row>
    <row r="151" customFormat="false" ht="15" hidden="false" customHeight="false" outlineLevel="0" collapsed="false">
      <c r="A151" s="28"/>
      <c r="B151" s="27"/>
      <c r="C151" s="27"/>
      <c r="D151" s="27"/>
      <c r="E151" s="27"/>
      <c r="F151" s="27"/>
      <c r="G151" s="27"/>
      <c r="H151" s="27"/>
      <c r="I151" s="32" t="str">
        <f aca="false">IF(A151="","",IF(AND(H151="Positive",IFERROR(INDEX(Contacts!$K$3:$K$502,MATCH(C151,Contacts!$B$3:$B$502,0)),"No")&lt;&gt;"Yes"),"Yes","No"))</f>
        <v/>
      </c>
    </row>
    <row r="152" customFormat="false" ht="15" hidden="false" customHeight="false" outlineLevel="0" collapsed="false">
      <c r="A152" s="28"/>
      <c r="B152" s="27"/>
      <c r="C152" s="27"/>
      <c r="D152" s="27"/>
      <c r="E152" s="27"/>
      <c r="F152" s="27"/>
      <c r="G152" s="27"/>
      <c r="H152" s="27"/>
      <c r="I152" s="32" t="str">
        <f aca="false">IF(A152="","",IF(AND(H152="Positive",IFERROR(INDEX(Contacts!$K$3:$K$502,MATCH(C152,Contacts!$B$3:$B$502,0)),"No")&lt;&gt;"Yes"),"Yes","No"))</f>
        <v/>
      </c>
    </row>
    <row r="153" customFormat="false" ht="15" hidden="false" customHeight="false" outlineLevel="0" collapsed="false">
      <c r="A153" s="28"/>
      <c r="B153" s="27"/>
      <c r="C153" s="27"/>
      <c r="D153" s="27"/>
      <c r="E153" s="27"/>
      <c r="F153" s="27"/>
      <c r="G153" s="27"/>
      <c r="H153" s="27"/>
      <c r="I153" s="32" t="str">
        <f aca="false">IF(A153="","",IF(AND(H153="Positive",IFERROR(INDEX(Contacts!$K$3:$K$502,MATCH(C153,Contacts!$B$3:$B$502,0)),"No")&lt;&gt;"Yes"),"Yes","No"))</f>
        <v/>
      </c>
    </row>
    <row r="154" customFormat="false" ht="15" hidden="false" customHeight="false" outlineLevel="0" collapsed="false">
      <c r="A154" s="28"/>
      <c r="B154" s="27"/>
      <c r="C154" s="27"/>
      <c r="D154" s="27"/>
      <c r="E154" s="27"/>
      <c r="F154" s="27"/>
      <c r="G154" s="27"/>
      <c r="H154" s="27"/>
      <c r="I154" s="32" t="str">
        <f aca="false">IF(A154="","",IF(AND(H154="Positive",IFERROR(INDEX(Contacts!$K$3:$K$502,MATCH(C154,Contacts!$B$3:$B$502,0)),"No")&lt;&gt;"Yes"),"Yes","No"))</f>
        <v/>
      </c>
    </row>
    <row r="155" customFormat="false" ht="15" hidden="false" customHeight="false" outlineLevel="0" collapsed="false">
      <c r="A155" s="28"/>
      <c r="B155" s="27"/>
      <c r="C155" s="27"/>
      <c r="D155" s="27"/>
      <c r="E155" s="27"/>
      <c r="F155" s="27"/>
      <c r="G155" s="27"/>
      <c r="H155" s="27"/>
      <c r="I155" s="32" t="str">
        <f aca="false">IF(A155="","",IF(AND(H155="Positive",IFERROR(INDEX(Contacts!$K$3:$K$502,MATCH(C155,Contacts!$B$3:$B$502,0)),"No")&lt;&gt;"Yes"),"Yes","No"))</f>
        <v/>
      </c>
    </row>
    <row r="156" customFormat="false" ht="15" hidden="false" customHeight="false" outlineLevel="0" collapsed="false">
      <c r="A156" s="28"/>
      <c r="B156" s="27"/>
      <c r="C156" s="27"/>
      <c r="D156" s="27"/>
      <c r="E156" s="27"/>
      <c r="F156" s="27"/>
      <c r="G156" s="27"/>
      <c r="H156" s="27"/>
      <c r="I156" s="32" t="str">
        <f aca="false">IF(A156="","",IF(AND(H156="Positive",IFERROR(INDEX(Contacts!$K$3:$K$502,MATCH(C156,Contacts!$B$3:$B$502,0)),"No")&lt;&gt;"Yes"),"Yes","No"))</f>
        <v/>
      </c>
    </row>
    <row r="157" customFormat="false" ht="15" hidden="false" customHeight="false" outlineLevel="0" collapsed="false">
      <c r="A157" s="28"/>
      <c r="B157" s="27"/>
      <c r="C157" s="27"/>
      <c r="D157" s="27"/>
      <c r="E157" s="27"/>
      <c r="F157" s="27"/>
      <c r="G157" s="27"/>
      <c r="H157" s="27"/>
      <c r="I157" s="32" t="str">
        <f aca="false">IF(A157="","",IF(AND(H157="Positive",IFERROR(INDEX(Contacts!$K$3:$K$502,MATCH(C157,Contacts!$B$3:$B$502,0)),"No")&lt;&gt;"Yes"),"Yes","No"))</f>
        <v/>
      </c>
    </row>
    <row r="158" customFormat="false" ht="15" hidden="false" customHeight="false" outlineLevel="0" collapsed="false">
      <c r="A158" s="28"/>
      <c r="B158" s="27"/>
      <c r="C158" s="27"/>
      <c r="D158" s="27"/>
      <c r="E158" s="27"/>
      <c r="F158" s="27"/>
      <c r="G158" s="27"/>
      <c r="H158" s="27"/>
      <c r="I158" s="32" t="str">
        <f aca="false">IF(A158="","",IF(AND(H158="Positive",IFERROR(INDEX(Contacts!$K$3:$K$502,MATCH(C158,Contacts!$B$3:$B$502,0)),"No")&lt;&gt;"Yes"),"Yes","No"))</f>
        <v/>
      </c>
    </row>
    <row r="159" customFormat="false" ht="15" hidden="false" customHeight="false" outlineLevel="0" collapsed="false">
      <c r="A159" s="28"/>
      <c r="B159" s="27"/>
      <c r="C159" s="27"/>
      <c r="D159" s="27"/>
      <c r="E159" s="27"/>
      <c r="F159" s="27"/>
      <c r="G159" s="27"/>
      <c r="H159" s="27"/>
      <c r="I159" s="32" t="str">
        <f aca="false">IF(A159="","",IF(AND(H159="Positive",IFERROR(INDEX(Contacts!$K$3:$K$502,MATCH(C159,Contacts!$B$3:$B$502,0)),"No")&lt;&gt;"Yes"),"Yes","No"))</f>
        <v/>
      </c>
    </row>
    <row r="160" customFormat="false" ht="15" hidden="false" customHeight="false" outlineLevel="0" collapsed="false">
      <c r="A160" s="28"/>
      <c r="B160" s="27"/>
      <c r="C160" s="27"/>
      <c r="D160" s="27"/>
      <c r="E160" s="27"/>
      <c r="F160" s="27"/>
      <c r="G160" s="27"/>
      <c r="H160" s="27"/>
      <c r="I160" s="32" t="str">
        <f aca="false">IF(A160="","",IF(AND(H160="Positive",IFERROR(INDEX(Contacts!$K$3:$K$502,MATCH(C160,Contacts!$B$3:$B$502,0)),"No")&lt;&gt;"Yes"),"Yes","No"))</f>
        <v/>
      </c>
    </row>
    <row r="161" customFormat="false" ht="15" hidden="false" customHeight="false" outlineLevel="0" collapsed="false">
      <c r="A161" s="28"/>
      <c r="B161" s="27"/>
      <c r="C161" s="27"/>
      <c r="D161" s="27"/>
      <c r="E161" s="27"/>
      <c r="F161" s="27"/>
      <c r="G161" s="27"/>
      <c r="H161" s="27"/>
      <c r="I161" s="32" t="str">
        <f aca="false">IF(A161="","",IF(AND(H161="Positive",IFERROR(INDEX(Contacts!$K$3:$K$502,MATCH(C161,Contacts!$B$3:$B$502,0)),"No")&lt;&gt;"Yes"),"Yes","No"))</f>
        <v/>
      </c>
    </row>
    <row r="162" customFormat="false" ht="15" hidden="false" customHeight="false" outlineLevel="0" collapsed="false">
      <c r="A162" s="28"/>
      <c r="B162" s="27"/>
      <c r="C162" s="27"/>
      <c r="D162" s="27"/>
      <c r="E162" s="27"/>
      <c r="F162" s="27"/>
      <c r="G162" s="27"/>
      <c r="H162" s="27"/>
      <c r="I162" s="32" t="str">
        <f aca="false">IF(A162="","",IF(AND(H162="Positive",IFERROR(INDEX(Contacts!$K$3:$K$502,MATCH(C162,Contacts!$B$3:$B$502,0)),"No")&lt;&gt;"Yes"),"Yes","No"))</f>
        <v/>
      </c>
    </row>
    <row r="163" customFormat="false" ht="15" hidden="false" customHeight="false" outlineLevel="0" collapsed="false">
      <c r="A163" s="28"/>
      <c r="B163" s="27"/>
      <c r="C163" s="27"/>
      <c r="D163" s="27"/>
      <c r="E163" s="27"/>
      <c r="F163" s="27"/>
      <c r="G163" s="27"/>
      <c r="H163" s="27"/>
      <c r="I163" s="32" t="str">
        <f aca="false">IF(A163="","",IF(AND(H163="Positive",IFERROR(INDEX(Contacts!$K$3:$K$502,MATCH(C163,Contacts!$B$3:$B$502,0)),"No")&lt;&gt;"Yes"),"Yes","No"))</f>
        <v/>
      </c>
    </row>
    <row r="164" customFormat="false" ht="15" hidden="false" customHeight="false" outlineLevel="0" collapsed="false">
      <c r="A164" s="28"/>
      <c r="B164" s="27"/>
      <c r="C164" s="27"/>
      <c r="D164" s="27"/>
      <c r="E164" s="27"/>
      <c r="F164" s="27"/>
      <c r="G164" s="27"/>
      <c r="H164" s="27"/>
      <c r="I164" s="32" t="str">
        <f aca="false">IF(A164="","",IF(AND(H164="Positive",IFERROR(INDEX(Contacts!$K$3:$K$502,MATCH(C164,Contacts!$B$3:$B$502,0)),"No")&lt;&gt;"Yes"),"Yes","No"))</f>
        <v/>
      </c>
    </row>
    <row r="165" customFormat="false" ht="15" hidden="false" customHeight="false" outlineLevel="0" collapsed="false">
      <c r="A165" s="28"/>
      <c r="B165" s="27"/>
      <c r="C165" s="27"/>
      <c r="D165" s="27"/>
      <c r="E165" s="27"/>
      <c r="F165" s="27"/>
      <c r="G165" s="27"/>
      <c r="H165" s="27"/>
      <c r="I165" s="32" t="str">
        <f aca="false">IF(A165="","",IF(AND(H165="Positive",IFERROR(INDEX(Contacts!$K$3:$K$502,MATCH(C165,Contacts!$B$3:$B$502,0)),"No")&lt;&gt;"Yes"),"Yes","No"))</f>
        <v/>
      </c>
    </row>
    <row r="166" customFormat="false" ht="15" hidden="false" customHeight="false" outlineLevel="0" collapsed="false">
      <c r="A166" s="28"/>
      <c r="B166" s="27"/>
      <c r="C166" s="27"/>
      <c r="D166" s="27"/>
      <c r="E166" s="27"/>
      <c r="F166" s="27"/>
      <c r="G166" s="27"/>
      <c r="H166" s="27"/>
      <c r="I166" s="32" t="str">
        <f aca="false">IF(A166="","",IF(AND(H166="Positive",IFERROR(INDEX(Contacts!$K$3:$K$502,MATCH(C166,Contacts!$B$3:$B$502,0)),"No")&lt;&gt;"Yes"),"Yes","No"))</f>
        <v/>
      </c>
    </row>
    <row r="167" customFormat="false" ht="15" hidden="false" customHeight="false" outlineLevel="0" collapsed="false">
      <c r="A167" s="28"/>
      <c r="B167" s="27"/>
      <c r="C167" s="27"/>
      <c r="D167" s="27"/>
      <c r="E167" s="27"/>
      <c r="F167" s="27"/>
      <c r="G167" s="27"/>
      <c r="H167" s="27"/>
      <c r="I167" s="32" t="str">
        <f aca="false">IF(A167="","",IF(AND(H167="Positive",IFERROR(INDEX(Contacts!$K$3:$K$502,MATCH(C167,Contacts!$B$3:$B$502,0)),"No")&lt;&gt;"Yes"),"Yes","No"))</f>
        <v/>
      </c>
    </row>
    <row r="168" customFormat="false" ht="15" hidden="false" customHeight="false" outlineLevel="0" collapsed="false">
      <c r="A168" s="28"/>
      <c r="B168" s="27"/>
      <c r="C168" s="27"/>
      <c r="D168" s="27"/>
      <c r="E168" s="27"/>
      <c r="F168" s="27"/>
      <c r="G168" s="27"/>
      <c r="H168" s="27"/>
      <c r="I168" s="32" t="str">
        <f aca="false">IF(A168="","",IF(AND(H168="Positive",IFERROR(INDEX(Contacts!$K$3:$K$502,MATCH(C168,Contacts!$B$3:$B$502,0)),"No")&lt;&gt;"Yes"),"Yes","No"))</f>
        <v/>
      </c>
    </row>
    <row r="169" customFormat="false" ht="15" hidden="false" customHeight="false" outlineLevel="0" collapsed="false">
      <c r="A169" s="28"/>
      <c r="B169" s="27"/>
      <c r="C169" s="27"/>
      <c r="D169" s="27"/>
      <c r="E169" s="27"/>
      <c r="F169" s="27"/>
      <c r="G169" s="27"/>
      <c r="H169" s="27"/>
      <c r="I169" s="32" t="str">
        <f aca="false">IF(A169="","",IF(AND(H169="Positive",IFERROR(INDEX(Contacts!$K$3:$K$502,MATCH(C169,Contacts!$B$3:$B$502,0)),"No")&lt;&gt;"Yes"),"Yes","No"))</f>
        <v/>
      </c>
    </row>
    <row r="170" customFormat="false" ht="15" hidden="false" customHeight="false" outlineLevel="0" collapsed="false">
      <c r="A170" s="28"/>
      <c r="B170" s="27"/>
      <c r="C170" s="27"/>
      <c r="D170" s="27"/>
      <c r="E170" s="27"/>
      <c r="F170" s="27"/>
      <c r="G170" s="27"/>
      <c r="H170" s="27"/>
      <c r="I170" s="32" t="str">
        <f aca="false">IF(A170="","",IF(AND(H170="Positive",IFERROR(INDEX(Contacts!$K$3:$K$502,MATCH(C170,Contacts!$B$3:$B$502,0)),"No")&lt;&gt;"Yes"),"Yes","No"))</f>
        <v/>
      </c>
    </row>
    <row r="171" customFormat="false" ht="15" hidden="false" customHeight="false" outlineLevel="0" collapsed="false">
      <c r="A171" s="28"/>
      <c r="B171" s="27"/>
      <c r="C171" s="27"/>
      <c r="D171" s="27"/>
      <c r="E171" s="27"/>
      <c r="F171" s="27"/>
      <c r="G171" s="27"/>
      <c r="H171" s="27"/>
      <c r="I171" s="32" t="str">
        <f aca="false">IF(A171="","",IF(AND(H171="Positive",IFERROR(INDEX(Contacts!$K$3:$K$502,MATCH(C171,Contacts!$B$3:$B$502,0)),"No")&lt;&gt;"Yes"),"Yes","No"))</f>
        <v/>
      </c>
    </row>
    <row r="172" customFormat="false" ht="15" hidden="false" customHeight="false" outlineLevel="0" collapsed="false">
      <c r="A172" s="28"/>
      <c r="B172" s="27"/>
      <c r="C172" s="27"/>
      <c r="D172" s="27"/>
      <c r="E172" s="27"/>
      <c r="F172" s="27"/>
      <c r="G172" s="27"/>
      <c r="H172" s="27"/>
      <c r="I172" s="32" t="str">
        <f aca="false">IF(A172="","",IF(AND(H172="Positive",IFERROR(INDEX(Contacts!$K$3:$K$502,MATCH(C172,Contacts!$B$3:$B$502,0)),"No")&lt;&gt;"Yes"),"Yes","No"))</f>
        <v/>
      </c>
    </row>
    <row r="173" customFormat="false" ht="15" hidden="false" customHeight="false" outlineLevel="0" collapsed="false">
      <c r="A173" s="28"/>
      <c r="B173" s="27"/>
      <c r="C173" s="27"/>
      <c r="D173" s="27"/>
      <c r="E173" s="27"/>
      <c r="F173" s="27"/>
      <c r="G173" s="27"/>
      <c r="H173" s="27"/>
      <c r="I173" s="32" t="str">
        <f aca="false">IF(A173="","",IF(AND(H173="Positive",IFERROR(INDEX(Contacts!$K$3:$K$502,MATCH(C173,Contacts!$B$3:$B$502,0)),"No")&lt;&gt;"Yes"),"Yes","No"))</f>
        <v/>
      </c>
    </row>
    <row r="174" customFormat="false" ht="15" hidden="false" customHeight="false" outlineLevel="0" collapsed="false">
      <c r="A174" s="28"/>
      <c r="B174" s="27"/>
      <c r="C174" s="27"/>
      <c r="D174" s="27"/>
      <c r="E174" s="27"/>
      <c r="F174" s="27"/>
      <c r="G174" s="27"/>
      <c r="H174" s="27"/>
      <c r="I174" s="32" t="str">
        <f aca="false">IF(A174="","",IF(AND(H174="Positive",IFERROR(INDEX(Contacts!$K$3:$K$502,MATCH(C174,Contacts!$B$3:$B$502,0)),"No")&lt;&gt;"Yes"),"Yes","No"))</f>
        <v/>
      </c>
    </row>
    <row r="175" customFormat="false" ht="15" hidden="false" customHeight="false" outlineLevel="0" collapsed="false">
      <c r="A175" s="28"/>
      <c r="B175" s="27"/>
      <c r="C175" s="27"/>
      <c r="D175" s="27"/>
      <c r="E175" s="27"/>
      <c r="F175" s="27"/>
      <c r="G175" s="27"/>
      <c r="H175" s="27"/>
      <c r="I175" s="32" t="str">
        <f aca="false">IF(A175="","",IF(AND(H175="Positive",IFERROR(INDEX(Contacts!$K$3:$K$502,MATCH(C175,Contacts!$B$3:$B$502,0)),"No")&lt;&gt;"Yes"),"Yes","No"))</f>
        <v/>
      </c>
    </row>
    <row r="176" customFormat="false" ht="15" hidden="false" customHeight="false" outlineLevel="0" collapsed="false">
      <c r="A176" s="28"/>
      <c r="B176" s="27"/>
      <c r="C176" s="27"/>
      <c r="D176" s="27"/>
      <c r="E176" s="27"/>
      <c r="F176" s="27"/>
      <c r="G176" s="27"/>
      <c r="H176" s="27"/>
      <c r="I176" s="32" t="str">
        <f aca="false">IF(A176="","",IF(AND(H176="Positive",IFERROR(INDEX(Contacts!$K$3:$K$502,MATCH(C176,Contacts!$B$3:$B$502,0)),"No")&lt;&gt;"Yes"),"Yes","No"))</f>
        <v/>
      </c>
    </row>
    <row r="177" customFormat="false" ht="15" hidden="false" customHeight="false" outlineLevel="0" collapsed="false">
      <c r="A177" s="28"/>
      <c r="B177" s="27"/>
      <c r="C177" s="27"/>
      <c r="D177" s="27"/>
      <c r="E177" s="27"/>
      <c r="F177" s="27"/>
      <c r="G177" s="27"/>
      <c r="H177" s="27"/>
      <c r="I177" s="32" t="str">
        <f aca="false">IF(A177="","",IF(AND(H177="Positive",IFERROR(INDEX(Contacts!$K$3:$K$502,MATCH(C177,Contacts!$B$3:$B$502,0)),"No")&lt;&gt;"Yes"),"Yes","No"))</f>
        <v/>
      </c>
    </row>
    <row r="178" customFormat="false" ht="15" hidden="false" customHeight="false" outlineLevel="0" collapsed="false">
      <c r="A178" s="28"/>
      <c r="B178" s="27"/>
      <c r="C178" s="27"/>
      <c r="D178" s="27"/>
      <c r="E178" s="27"/>
      <c r="F178" s="27"/>
      <c r="G178" s="27"/>
      <c r="H178" s="27"/>
      <c r="I178" s="32" t="str">
        <f aca="false">IF(A178="","",IF(AND(H178="Positive",IFERROR(INDEX(Contacts!$K$3:$K$502,MATCH(C178,Contacts!$B$3:$B$502,0)),"No")&lt;&gt;"Yes"),"Yes","No"))</f>
        <v/>
      </c>
    </row>
    <row r="179" customFormat="false" ht="15" hidden="false" customHeight="false" outlineLevel="0" collapsed="false">
      <c r="A179" s="28"/>
      <c r="B179" s="27"/>
      <c r="C179" s="27"/>
      <c r="D179" s="27"/>
      <c r="E179" s="27"/>
      <c r="F179" s="27"/>
      <c r="G179" s="27"/>
      <c r="H179" s="27"/>
      <c r="I179" s="32" t="str">
        <f aca="false">IF(A179="","",IF(AND(H179="Positive",IFERROR(INDEX(Contacts!$K$3:$K$502,MATCH(C179,Contacts!$B$3:$B$502,0)),"No")&lt;&gt;"Yes"),"Yes","No"))</f>
        <v/>
      </c>
    </row>
    <row r="180" customFormat="false" ht="15" hidden="false" customHeight="false" outlineLevel="0" collapsed="false">
      <c r="A180" s="28"/>
      <c r="B180" s="27"/>
      <c r="C180" s="27"/>
      <c r="D180" s="27"/>
      <c r="E180" s="27"/>
      <c r="F180" s="27"/>
      <c r="G180" s="27"/>
      <c r="H180" s="27"/>
      <c r="I180" s="32" t="str">
        <f aca="false">IF(A180="","",IF(AND(H180="Positive",IFERROR(INDEX(Contacts!$K$3:$K$502,MATCH(C180,Contacts!$B$3:$B$502,0)),"No")&lt;&gt;"Yes"),"Yes","No"))</f>
        <v/>
      </c>
    </row>
    <row r="181" customFormat="false" ht="15" hidden="false" customHeight="false" outlineLevel="0" collapsed="false">
      <c r="A181" s="28"/>
      <c r="B181" s="27"/>
      <c r="C181" s="27"/>
      <c r="D181" s="27"/>
      <c r="E181" s="27"/>
      <c r="F181" s="27"/>
      <c r="G181" s="27"/>
      <c r="H181" s="27"/>
      <c r="I181" s="32" t="str">
        <f aca="false">IF(A181="","",IF(AND(H181="Positive",IFERROR(INDEX(Contacts!$K$3:$K$502,MATCH(C181,Contacts!$B$3:$B$502,0)),"No")&lt;&gt;"Yes"),"Yes","No"))</f>
        <v/>
      </c>
    </row>
    <row r="182" customFormat="false" ht="15" hidden="false" customHeight="false" outlineLevel="0" collapsed="false">
      <c r="A182" s="28"/>
      <c r="B182" s="27"/>
      <c r="C182" s="27"/>
      <c r="D182" s="27"/>
      <c r="E182" s="27"/>
      <c r="F182" s="27"/>
      <c r="G182" s="27"/>
      <c r="H182" s="27"/>
      <c r="I182" s="32" t="str">
        <f aca="false">IF(A182="","",IF(AND(H182="Positive",IFERROR(INDEX(Contacts!$K$3:$K$502,MATCH(C182,Contacts!$B$3:$B$502,0)),"No")&lt;&gt;"Yes"),"Yes","No"))</f>
        <v/>
      </c>
    </row>
    <row r="183" customFormat="false" ht="15" hidden="false" customHeight="false" outlineLevel="0" collapsed="false">
      <c r="A183" s="28"/>
      <c r="B183" s="27"/>
      <c r="C183" s="27"/>
      <c r="D183" s="27"/>
      <c r="E183" s="27"/>
      <c r="F183" s="27"/>
      <c r="G183" s="27"/>
      <c r="H183" s="27"/>
      <c r="I183" s="32" t="str">
        <f aca="false">IF(A183="","",IF(AND(H183="Positive",IFERROR(INDEX(Contacts!$K$3:$K$502,MATCH(C183,Contacts!$B$3:$B$502,0)),"No")&lt;&gt;"Yes"),"Yes","No"))</f>
        <v/>
      </c>
    </row>
    <row r="184" customFormat="false" ht="15" hidden="false" customHeight="false" outlineLevel="0" collapsed="false">
      <c r="A184" s="28"/>
      <c r="B184" s="27"/>
      <c r="C184" s="27"/>
      <c r="D184" s="27"/>
      <c r="E184" s="27"/>
      <c r="F184" s="27"/>
      <c r="G184" s="27"/>
      <c r="H184" s="27"/>
      <c r="I184" s="32" t="str">
        <f aca="false">IF(A184="","",IF(AND(H184="Positive",IFERROR(INDEX(Contacts!$K$3:$K$502,MATCH(C184,Contacts!$B$3:$B$502,0)),"No")&lt;&gt;"Yes"),"Yes","No"))</f>
        <v/>
      </c>
    </row>
    <row r="185" customFormat="false" ht="15" hidden="false" customHeight="false" outlineLevel="0" collapsed="false">
      <c r="A185" s="28"/>
      <c r="B185" s="27"/>
      <c r="C185" s="27"/>
      <c r="D185" s="27"/>
      <c r="E185" s="27"/>
      <c r="F185" s="27"/>
      <c r="G185" s="27"/>
      <c r="H185" s="27"/>
      <c r="I185" s="32" t="str">
        <f aca="false">IF(A185="","",IF(AND(H185="Positive",IFERROR(INDEX(Contacts!$K$3:$K$502,MATCH(C185,Contacts!$B$3:$B$502,0)),"No")&lt;&gt;"Yes"),"Yes","No"))</f>
        <v/>
      </c>
    </row>
    <row r="186" customFormat="false" ht="15" hidden="false" customHeight="false" outlineLevel="0" collapsed="false">
      <c r="A186" s="28"/>
      <c r="B186" s="27"/>
      <c r="C186" s="27"/>
      <c r="D186" s="27"/>
      <c r="E186" s="27"/>
      <c r="F186" s="27"/>
      <c r="G186" s="27"/>
      <c r="H186" s="27"/>
      <c r="I186" s="32" t="str">
        <f aca="false">IF(A186="","",IF(AND(H186="Positive",IFERROR(INDEX(Contacts!$K$3:$K$502,MATCH(C186,Contacts!$B$3:$B$502,0)),"No")&lt;&gt;"Yes"),"Yes","No"))</f>
        <v/>
      </c>
    </row>
    <row r="187" customFormat="false" ht="15" hidden="false" customHeight="false" outlineLevel="0" collapsed="false">
      <c r="A187" s="28"/>
      <c r="B187" s="27"/>
      <c r="C187" s="27"/>
      <c r="D187" s="27"/>
      <c r="E187" s="27"/>
      <c r="F187" s="27"/>
      <c r="G187" s="27"/>
      <c r="H187" s="27"/>
      <c r="I187" s="32" t="str">
        <f aca="false">IF(A187="","",IF(AND(H187="Positive",IFERROR(INDEX(Contacts!$K$3:$K$502,MATCH(C187,Contacts!$B$3:$B$502,0)),"No")&lt;&gt;"Yes"),"Yes","No"))</f>
        <v/>
      </c>
    </row>
    <row r="188" customFormat="false" ht="15" hidden="false" customHeight="false" outlineLevel="0" collapsed="false">
      <c r="A188" s="28"/>
      <c r="B188" s="27"/>
      <c r="C188" s="27"/>
      <c r="D188" s="27"/>
      <c r="E188" s="27"/>
      <c r="F188" s="27"/>
      <c r="G188" s="27"/>
      <c r="H188" s="27"/>
      <c r="I188" s="32" t="str">
        <f aca="false">IF(A188="","",IF(AND(H188="Positive",IFERROR(INDEX(Contacts!$K$3:$K$502,MATCH(C188,Contacts!$B$3:$B$502,0)),"No")&lt;&gt;"Yes"),"Yes","No"))</f>
        <v/>
      </c>
    </row>
    <row r="189" customFormat="false" ht="15" hidden="false" customHeight="false" outlineLevel="0" collapsed="false">
      <c r="A189" s="28"/>
      <c r="B189" s="27"/>
      <c r="C189" s="27"/>
      <c r="D189" s="27"/>
      <c r="E189" s="27"/>
      <c r="F189" s="27"/>
      <c r="G189" s="27"/>
      <c r="H189" s="27"/>
      <c r="I189" s="32" t="str">
        <f aca="false">IF(A189="","",IF(AND(H189="Positive",IFERROR(INDEX(Contacts!$K$3:$K$502,MATCH(C189,Contacts!$B$3:$B$502,0)),"No")&lt;&gt;"Yes"),"Yes","No"))</f>
        <v/>
      </c>
    </row>
    <row r="190" customFormat="false" ht="15" hidden="false" customHeight="false" outlineLevel="0" collapsed="false">
      <c r="A190" s="28"/>
      <c r="B190" s="27"/>
      <c r="C190" s="27"/>
      <c r="D190" s="27"/>
      <c r="E190" s="27"/>
      <c r="F190" s="27"/>
      <c r="G190" s="27"/>
      <c r="H190" s="27"/>
      <c r="I190" s="32" t="str">
        <f aca="false">IF(A190="","",IF(AND(H190="Positive",IFERROR(INDEX(Contacts!$K$3:$K$502,MATCH(C190,Contacts!$B$3:$B$502,0)),"No")&lt;&gt;"Yes"),"Yes","No"))</f>
        <v/>
      </c>
    </row>
    <row r="191" customFormat="false" ht="15" hidden="false" customHeight="false" outlineLevel="0" collapsed="false">
      <c r="A191" s="28"/>
      <c r="B191" s="27"/>
      <c r="C191" s="27"/>
      <c r="D191" s="27"/>
      <c r="E191" s="27"/>
      <c r="F191" s="27"/>
      <c r="G191" s="27"/>
      <c r="H191" s="27"/>
      <c r="I191" s="32" t="str">
        <f aca="false">IF(A191="","",IF(AND(H191="Positive",IFERROR(INDEX(Contacts!$K$3:$K$502,MATCH(C191,Contacts!$B$3:$B$502,0)),"No")&lt;&gt;"Yes"),"Yes","No"))</f>
        <v/>
      </c>
    </row>
    <row r="192" customFormat="false" ht="15" hidden="false" customHeight="false" outlineLevel="0" collapsed="false">
      <c r="A192" s="28"/>
      <c r="B192" s="27"/>
      <c r="C192" s="27"/>
      <c r="D192" s="27"/>
      <c r="E192" s="27"/>
      <c r="F192" s="27"/>
      <c r="G192" s="27"/>
      <c r="H192" s="27"/>
      <c r="I192" s="32" t="str">
        <f aca="false">IF(A192="","",IF(AND(H192="Positive",IFERROR(INDEX(Contacts!$K$3:$K$502,MATCH(C192,Contacts!$B$3:$B$502,0)),"No")&lt;&gt;"Yes"),"Yes","No"))</f>
        <v/>
      </c>
    </row>
    <row r="193" customFormat="false" ht="15" hidden="false" customHeight="false" outlineLevel="0" collapsed="false">
      <c r="A193" s="28"/>
      <c r="B193" s="27"/>
      <c r="C193" s="27"/>
      <c r="D193" s="27"/>
      <c r="E193" s="27"/>
      <c r="F193" s="27"/>
      <c r="G193" s="27"/>
      <c r="H193" s="27"/>
      <c r="I193" s="32" t="str">
        <f aca="false">IF(A193="","",IF(AND(H193="Positive",IFERROR(INDEX(Contacts!$K$3:$K$502,MATCH(C193,Contacts!$B$3:$B$502,0)),"No")&lt;&gt;"Yes"),"Yes","No"))</f>
        <v/>
      </c>
    </row>
    <row r="194" customFormat="false" ht="15" hidden="false" customHeight="false" outlineLevel="0" collapsed="false">
      <c r="A194" s="28"/>
      <c r="B194" s="27"/>
      <c r="C194" s="27"/>
      <c r="D194" s="27"/>
      <c r="E194" s="27"/>
      <c r="F194" s="27"/>
      <c r="G194" s="27"/>
      <c r="H194" s="27"/>
      <c r="I194" s="32" t="str">
        <f aca="false">IF(A194="","",IF(AND(H194="Positive",IFERROR(INDEX(Contacts!$K$3:$K$502,MATCH(C194,Contacts!$B$3:$B$502,0)),"No")&lt;&gt;"Yes"),"Yes","No"))</f>
        <v/>
      </c>
    </row>
    <row r="195" customFormat="false" ht="15" hidden="false" customHeight="false" outlineLevel="0" collapsed="false">
      <c r="A195" s="28"/>
      <c r="B195" s="27"/>
      <c r="C195" s="27"/>
      <c r="D195" s="27"/>
      <c r="E195" s="27"/>
      <c r="F195" s="27"/>
      <c r="G195" s="27"/>
      <c r="H195" s="27"/>
      <c r="I195" s="32" t="str">
        <f aca="false">IF(A195="","",IF(AND(H195="Positive",IFERROR(INDEX(Contacts!$K$3:$K$502,MATCH(C195,Contacts!$B$3:$B$502,0)),"No")&lt;&gt;"Yes"),"Yes","No"))</f>
        <v/>
      </c>
    </row>
    <row r="196" customFormat="false" ht="15" hidden="false" customHeight="false" outlineLevel="0" collapsed="false">
      <c r="A196" s="28"/>
      <c r="B196" s="27"/>
      <c r="C196" s="27"/>
      <c r="D196" s="27"/>
      <c r="E196" s="27"/>
      <c r="F196" s="27"/>
      <c r="G196" s="27"/>
      <c r="H196" s="27"/>
      <c r="I196" s="32" t="str">
        <f aca="false">IF(A196="","",IF(AND(H196="Positive",IFERROR(INDEX(Contacts!$K$3:$K$502,MATCH(C196,Contacts!$B$3:$B$502,0)),"No")&lt;&gt;"Yes"),"Yes","No"))</f>
        <v/>
      </c>
    </row>
    <row r="197" customFormat="false" ht="15" hidden="false" customHeight="false" outlineLevel="0" collapsed="false">
      <c r="A197" s="28"/>
      <c r="B197" s="27"/>
      <c r="C197" s="27"/>
      <c r="D197" s="27"/>
      <c r="E197" s="27"/>
      <c r="F197" s="27"/>
      <c r="G197" s="27"/>
      <c r="H197" s="27"/>
      <c r="I197" s="32" t="str">
        <f aca="false">IF(A197="","",IF(AND(H197="Positive",IFERROR(INDEX(Contacts!$K$3:$K$502,MATCH(C197,Contacts!$B$3:$B$502,0)),"No")&lt;&gt;"Yes"),"Yes","No"))</f>
        <v/>
      </c>
    </row>
    <row r="198" customFormat="false" ht="15" hidden="false" customHeight="false" outlineLevel="0" collapsed="false">
      <c r="A198" s="28"/>
      <c r="B198" s="27"/>
      <c r="C198" s="27"/>
      <c r="D198" s="27"/>
      <c r="E198" s="27"/>
      <c r="F198" s="27"/>
      <c r="G198" s="27"/>
      <c r="H198" s="27"/>
      <c r="I198" s="32" t="str">
        <f aca="false">IF(A198="","",IF(AND(H198="Positive",IFERROR(INDEX(Contacts!$K$3:$K$502,MATCH(C198,Contacts!$B$3:$B$502,0)),"No")&lt;&gt;"Yes"),"Yes","No"))</f>
        <v/>
      </c>
    </row>
    <row r="199" customFormat="false" ht="15" hidden="false" customHeight="false" outlineLevel="0" collapsed="false">
      <c r="A199" s="28"/>
      <c r="B199" s="27"/>
      <c r="C199" s="27"/>
      <c r="D199" s="27"/>
      <c r="E199" s="27"/>
      <c r="F199" s="27"/>
      <c r="G199" s="27"/>
      <c r="H199" s="27"/>
      <c r="I199" s="32" t="str">
        <f aca="false">IF(A199="","",IF(AND(H199="Positive",IFERROR(INDEX(Contacts!$K$3:$K$502,MATCH(C199,Contacts!$B$3:$B$502,0)),"No")&lt;&gt;"Yes"),"Yes","No"))</f>
        <v/>
      </c>
    </row>
    <row r="200" customFormat="false" ht="15" hidden="false" customHeight="false" outlineLevel="0" collapsed="false">
      <c r="A200" s="28"/>
      <c r="B200" s="27"/>
      <c r="C200" s="27"/>
      <c r="D200" s="27"/>
      <c r="E200" s="27"/>
      <c r="F200" s="27"/>
      <c r="G200" s="27"/>
      <c r="H200" s="27"/>
      <c r="I200" s="32" t="str">
        <f aca="false">IF(A200="","",IF(AND(H200="Positive",IFERROR(INDEX(Contacts!$K$3:$K$502,MATCH(C200,Contacts!$B$3:$B$502,0)),"No")&lt;&gt;"Yes"),"Yes","No"))</f>
        <v/>
      </c>
    </row>
    <row r="201" customFormat="false" ht="15" hidden="false" customHeight="false" outlineLevel="0" collapsed="false">
      <c r="A201" s="28"/>
      <c r="B201" s="27"/>
      <c r="C201" s="27"/>
      <c r="D201" s="27"/>
      <c r="E201" s="27"/>
      <c r="F201" s="27"/>
      <c r="G201" s="27"/>
      <c r="H201" s="27"/>
      <c r="I201" s="32" t="str">
        <f aca="false">IF(A201="","",IF(AND(H201="Positive",IFERROR(INDEX(Contacts!$K$3:$K$502,MATCH(C201,Contacts!$B$3:$B$502,0)),"No")&lt;&gt;"Yes"),"Yes","No"))</f>
        <v/>
      </c>
    </row>
    <row r="202" customFormat="false" ht="15" hidden="false" customHeight="false" outlineLevel="0" collapsed="false">
      <c r="A202" s="28"/>
      <c r="B202" s="27"/>
      <c r="C202" s="27"/>
      <c r="D202" s="27"/>
      <c r="E202" s="27"/>
      <c r="F202" s="27"/>
      <c r="G202" s="27"/>
      <c r="H202" s="27"/>
      <c r="I202" s="32" t="str">
        <f aca="false">IF(A202="","",IF(AND(H202="Positive",IFERROR(INDEX(Contacts!$K$3:$K$502,MATCH(C202,Contacts!$B$3:$B$502,0)),"No")&lt;&gt;"Yes"),"Yes","No"))</f>
        <v/>
      </c>
    </row>
    <row r="203" customFormat="false" ht="15" hidden="false" customHeight="false" outlineLevel="0" collapsed="false">
      <c r="A203" s="28"/>
      <c r="B203" s="27"/>
      <c r="C203" s="27"/>
      <c r="D203" s="27"/>
      <c r="E203" s="27"/>
      <c r="F203" s="27"/>
      <c r="G203" s="27"/>
      <c r="H203" s="27"/>
      <c r="I203" s="32" t="str">
        <f aca="false">IF(A203="","",IF(AND(H203="Positive",IFERROR(INDEX(Contacts!$K$3:$K$502,MATCH(C203,Contacts!$B$3:$B$502,0)),"No")&lt;&gt;"Yes"),"Yes","No"))</f>
        <v/>
      </c>
    </row>
    <row r="204" customFormat="false" ht="15" hidden="false" customHeight="false" outlineLevel="0" collapsed="false">
      <c r="A204" s="28"/>
      <c r="B204" s="27"/>
      <c r="C204" s="27"/>
      <c r="D204" s="27"/>
      <c r="E204" s="27"/>
      <c r="F204" s="27"/>
      <c r="G204" s="27"/>
      <c r="H204" s="27"/>
      <c r="I204" s="32" t="str">
        <f aca="false">IF(A204="","",IF(AND(H204="Positive",IFERROR(INDEX(Contacts!$K$3:$K$502,MATCH(C204,Contacts!$B$3:$B$502,0)),"No")&lt;&gt;"Yes"),"Yes","No"))</f>
        <v/>
      </c>
    </row>
    <row r="205" customFormat="false" ht="15" hidden="false" customHeight="false" outlineLevel="0" collapsed="false">
      <c r="A205" s="28"/>
      <c r="B205" s="27"/>
      <c r="C205" s="27"/>
      <c r="D205" s="27"/>
      <c r="E205" s="27"/>
      <c r="F205" s="27"/>
      <c r="G205" s="27"/>
      <c r="H205" s="27"/>
      <c r="I205" s="32" t="str">
        <f aca="false">IF(A205="","",IF(AND(H205="Positive",IFERROR(INDEX(Contacts!$K$3:$K$502,MATCH(C205,Contacts!$B$3:$B$502,0)),"No")&lt;&gt;"Yes"),"Yes","No"))</f>
        <v/>
      </c>
    </row>
    <row r="206" customFormat="false" ht="15" hidden="false" customHeight="false" outlineLevel="0" collapsed="false">
      <c r="A206" s="28"/>
      <c r="B206" s="27"/>
      <c r="C206" s="27"/>
      <c r="D206" s="27"/>
      <c r="E206" s="27"/>
      <c r="F206" s="27"/>
      <c r="G206" s="27"/>
      <c r="H206" s="27"/>
      <c r="I206" s="32" t="str">
        <f aca="false">IF(A206="","",IF(AND(H206="Positive",IFERROR(INDEX(Contacts!$K$3:$K$502,MATCH(C206,Contacts!$B$3:$B$502,0)),"No")&lt;&gt;"Yes"),"Yes","No"))</f>
        <v/>
      </c>
    </row>
    <row r="207" customFormat="false" ht="15" hidden="false" customHeight="false" outlineLevel="0" collapsed="false">
      <c r="A207" s="28"/>
      <c r="B207" s="27"/>
      <c r="C207" s="27"/>
      <c r="D207" s="27"/>
      <c r="E207" s="27"/>
      <c r="F207" s="27"/>
      <c r="G207" s="27"/>
      <c r="H207" s="27"/>
      <c r="I207" s="32" t="str">
        <f aca="false">IF(A207="","",IF(AND(H207="Positive",IFERROR(INDEX(Contacts!$K$3:$K$502,MATCH(C207,Contacts!$B$3:$B$502,0)),"No")&lt;&gt;"Yes"),"Yes","No"))</f>
        <v/>
      </c>
    </row>
    <row r="208" customFormat="false" ht="15" hidden="false" customHeight="false" outlineLevel="0" collapsed="false">
      <c r="A208" s="28"/>
      <c r="B208" s="27"/>
      <c r="C208" s="27"/>
      <c r="D208" s="27"/>
      <c r="E208" s="27"/>
      <c r="F208" s="27"/>
      <c r="G208" s="27"/>
      <c r="H208" s="27"/>
      <c r="I208" s="32" t="str">
        <f aca="false">IF(A208="","",IF(AND(H208="Positive",IFERROR(INDEX(Contacts!$K$3:$K$502,MATCH(C208,Contacts!$B$3:$B$502,0)),"No")&lt;&gt;"Yes"),"Yes","No"))</f>
        <v/>
      </c>
    </row>
    <row r="209" customFormat="false" ht="15" hidden="false" customHeight="false" outlineLevel="0" collapsed="false">
      <c r="A209" s="28"/>
      <c r="B209" s="27"/>
      <c r="C209" s="27"/>
      <c r="D209" s="27"/>
      <c r="E209" s="27"/>
      <c r="F209" s="27"/>
      <c r="G209" s="27"/>
      <c r="H209" s="27"/>
      <c r="I209" s="32" t="str">
        <f aca="false">IF(A209="","",IF(AND(H209="Positive",IFERROR(INDEX(Contacts!$K$3:$K$502,MATCH(C209,Contacts!$B$3:$B$502,0)),"No")&lt;&gt;"Yes"),"Yes","No"))</f>
        <v/>
      </c>
    </row>
    <row r="210" customFormat="false" ht="15" hidden="false" customHeight="false" outlineLevel="0" collapsed="false">
      <c r="A210" s="28"/>
      <c r="B210" s="27"/>
      <c r="C210" s="27"/>
      <c r="D210" s="27"/>
      <c r="E210" s="27"/>
      <c r="F210" s="27"/>
      <c r="G210" s="27"/>
      <c r="H210" s="27"/>
      <c r="I210" s="32" t="str">
        <f aca="false">IF(A210="","",IF(AND(H210="Positive",IFERROR(INDEX(Contacts!$K$3:$K$502,MATCH(C210,Contacts!$B$3:$B$502,0)),"No")&lt;&gt;"Yes"),"Yes","No"))</f>
        <v/>
      </c>
    </row>
    <row r="211" customFormat="false" ht="15" hidden="false" customHeight="false" outlineLevel="0" collapsed="false">
      <c r="A211" s="28"/>
      <c r="B211" s="27"/>
      <c r="C211" s="27"/>
      <c r="D211" s="27"/>
      <c r="E211" s="27"/>
      <c r="F211" s="27"/>
      <c r="G211" s="27"/>
      <c r="H211" s="27"/>
      <c r="I211" s="32" t="str">
        <f aca="false">IF(A211="","",IF(AND(H211="Positive",IFERROR(INDEX(Contacts!$K$3:$K$502,MATCH(C211,Contacts!$B$3:$B$502,0)),"No")&lt;&gt;"Yes"),"Yes","No"))</f>
        <v/>
      </c>
    </row>
    <row r="212" customFormat="false" ht="15" hidden="false" customHeight="false" outlineLevel="0" collapsed="false">
      <c r="A212" s="28"/>
      <c r="B212" s="27"/>
      <c r="C212" s="27"/>
      <c r="D212" s="27"/>
      <c r="E212" s="27"/>
      <c r="F212" s="27"/>
      <c r="G212" s="27"/>
      <c r="H212" s="27"/>
      <c r="I212" s="32" t="str">
        <f aca="false">IF(A212="","",IF(AND(H212="Positive",IFERROR(INDEX(Contacts!$K$3:$K$502,MATCH(C212,Contacts!$B$3:$B$502,0)),"No")&lt;&gt;"Yes"),"Yes","No"))</f>
        <v/>
      </c>
    </row>
    <row r="213" customFormat="false" ht="15" hidden="false" customHeight="false" outlineLevel="0" collapsed="false">
      <c r="A213" s="28"/>
      <c r="B213" s="27"/>
      <c r="C213" s="27"/>
      <c r="D213" s="27"/>
      <c r="E213" s="27"/>
      <c r="F213" s="27"/>
      <c r="G213" s="27"/>
      <c r="H213" s="27"/>
      <c r="I213" s="32" t="str">
        <f aca="false">IF(A213="","",IF(AND(H213="Positive",IFERROR(INDEX(Contacts!$K$3:$K$502,MATCH(C213,Contacts!$B$3:$B$502,0)),"No")&lt;&gt;"Yes"),"Yes","No"))</f>
        <v/>
      </c>
    </row>
    <row r="214" customFormat="false" ht="15" hidden="false" customHeight="false" outlineLevel="0" collapsed="false">
      <c r="A214" s="28"/>
      <c r="B214" s="27"/>
      <c r="C214" s="27"/>
      <c r="D214" s="27"/>
      <c r="E214" s="27"/>
      <c r="F214" s="27"/>
      <c r="G214" s="27"/>
      <c r="H214" s="27"/>
      <c r="I214" s="32" t="str">
        <f aca="false">IF(A214="","",IF(AND(H214="Positive",IFERROR(INDEX(Contacts!$K$3:$K$502,MATCH(C214,Contacts!$B$3:$B$502,0)),"No")&lt;&gt;"Yes"),"Yes","No"))</f>
        <v/>
      </c>
    </row>
    <row r="215" customFormat="false" ht="15" hidden="false" customHeight="false" outlineLevel="0" collapsed="false">
      <c r="A215" s="28"/>
      <c r="B215" s="27"/>
      <c r="C215" s="27"/>
      <c r="D215" s="27"/>
      <c r="E215" s="27"/>
      <c r="F215" s="27"/>
      <c r="G215" s="27"/>
      <c r="H215" s="27"/>
      <c r="I215" s="32" t="str">
        <f aca="false">IF(A215="","",IF(AND(H215="Positive",IFERROR(INDEX(Contacts!$K$3:$K$502,MATCH(C215,Contacts!$B$3:$B$502,0)),"No")&lt;&gt;"Yes"),"Yes","No"))</f>
        <v/>
      </c>
    </row>
    <row r="216" customFormat="false" ht="15" hidden="false" customHeight="false" outlineLevel="0" collapsed="false">
      <c r="A216" s="28"/>
      <c r="B216" s="27"/>
      <c r="C216" s="27"/>
      <c r="D216" s="27"/>
      <c r="E216" s="27"/>
      <c r="F216" s="27"/>
      <c r="G216" s="27"/>
      <c r="H216" s="27"/>
      <c r="I216" s="32" t="str">
        <f aca="false">IF(A216="","",IF(AND(H216="Positive",IFERROR(INDEX(Contacts!$K$3:$K$502,MATCH(C216,Contacts!$B$3:$B$502,0)),"No")&lt;&gt;"Yes"),"Yes","No"))</f>
        <v/>
      </c>
    </row>
    <row r="217" customFormat="false" ht="15" hidden="false" customHeight="false" outlineLevel="0" collapsed="false">
      <c r="A217" s="28"/>
      <c r="B217" s="27"/>
      <c r="C217" s="27"/>
      <c r="D217" s="27"/>
      <c r="E217" s="27"/>
      <c r="F217" s="27"/>
      <c r="G217" s="27"/>
      <c r="H217" s="27"/>
      <c r="I217" s="32" t="str">
        <f aca="false">IF(A217="","",IF(AND(H217="Positive",IFERROR(INDEX(Contacts!$K$3:$K$502,MATCH(C217,Contacts!$B$3:$B$502,0)),"No")&lt;&gt;"Yes"),"Yes","No"))</f>
        <v/>
      </c>
    </row>
    <row r="218" customFormat="false" ht="15" hidden="false" customHeight="false" outlineLevel="0" collapsed="false">
      <c r="A218" s="28"/>
      <c r="B218" s="27"/>
      <c r="C218" s="27"/>
      <c r="D218" s="27"/>
      <c r="E218" s="27"/>
      <c r="F218" s="27"/>
      <c r="G218" s="27"/>
      <c r="H218" s="27"/>
      <c r="I218" s="32" t="str">
        <f aca="false">IF(A218="","",IF(AND(H218="Positive",IFERROR(INDEX(Contacts!$K$3:$K$502,MATCH(C218,Contacts!$B$3:$B$502,0)),"No")&lt;&gt;"Yes"),"Yes","No"))</f>
        <v/>
      </c>
    </row>
    <row r="219" customFormat="false" ht="15" hidden="false" customHeight="false" outlineLevel="0" collapsed="false">
      <c r="A219" s="28"/>
      <c r="B219" s="27"/>
      <c r="C219" s="27"/>
      <c r="D219" s="27"/>
      <c r="E219" s="27"/>
      <c r="F219" s="27"/>
      <c r="G219" s="27"/>
      <c r="H219" s="27"/>
      <c r="I219" s="32" t="str">
        <f aca="false">IF(A219="","",IF(AND(H219="Positive",IFERROR(INDEX(Contacts!$K$3:$K$502,MATCH(C219,Contacts!$B$3:$B$502,0)),"No")&lt;&gt;"Yes"),"Yes","No"))</f>
        <v/>
      </c>
    </row>
    <row r="220" customFormat="false" ht="15" hidden="false" customHeight="false" outlineLevel="0" collapsed="false">
      <c r="A220" s="28"/>
      <c r="B220" s="27"/>
      <c r="C220" s="27"/>
      <c r="D220" s="27"/>
      <c r="E220" s="27"/>
      <c r="F220" s="27"/>
      <c r="G220" s="27"/>
      <c r="H220" s="27"/>
      <c r="I220" s="32" t="str">
        <f aca="false">IF(A220="","",IF(AND(H220="Positive",IFERROR(INDEX(Contacts!$K$3:$K$502,MATCH(C220,Contacts!$B$3:$B$502,0)),"No")&lt;&gt;"Yes"),"Yes","No"))</f>
        <v/>
      </c>
    </row>
    <row r="221" customFormat="false" ht="15" hidden="false" customHeight="false" outlineLevel="0" collapsed="false">
      <c r="A221" s="28"/>
      <c r="B221" s="27"/>
      <c r="C221" s="27"/>
      <c r="D221" s="27"/>
      <c r="E221" s="27"/>
      <c r="F221" s="27"/>
      <c r="G221" s="27"/>
      <c r="H221" s="27"/>
      <c r="I221" s="32" t="str">
        <f aca="false">IF(A221="","",IF(AND(H221="Positive",IFERROR(INDEX(Contacts!$K$3:$K$502,MATCH(C221,Contacts!$B$3:$B$502,0)),"No")&lt;&gt;"Yes"),"Yes","No"))</f>
        <v/>
      </c>
    </row>
    <row r="222" customFormat="false" ht="15" hidden="false" customHeight="false" outlineLevel="0" collapsed="false">
      <c r="A222" s="28"/>
      <c r="B222" s="27"/>
      <c r="C222" s="27"/>
      <c r="D222" s="27"/>
      <c r="E222" s="27"/>
      <c r="F222" s="27"/>
      <c r="G222" s="27"/>
      <c r="H222" s="27"/>
      <c r="I222" s="32" t="str">
        <f aca="false">IF(A222="","",IF(AND(H222="Positive",IFERROR(INDEX(Contacts!$K$3:$K$502,MATCH(C222,Contacts!$B$3:$B$502,0)),"No")&lt;&gt;"Yes"),"Yes","No"))</f>
        <v/>
      </c>
    </row>
    <row r="223" customFormat="false" ht="15" hidden="false" customHeight="false" outlineLevel="0" collapsed="false">
      <c r="A223" s="28"/>
      <c r="B223" s="27"/>
      <c r="C223" s="27"/>
      <c r="D223" s="27"/>
      <c r="E223" s="27"/>
      <c r="F223" s="27"/>
      <c r="G223" s="27"/>
      <c r="H223" s="27"/>
      <c r="I223" s="32" t="str">
        <f aca="false">IF(A223="","",IF(AND(H223="Positive",IFERROR(INDEX(Contacts!$K$3:$K$502,MATCH(C223,Contacts!$B$3:$B$502,0)),"No")&lt;&gt;"Yes"),"Yes","No"))</f>
        <v/>
      </c>
    </row>
    <row r="224" customFormat="false" ht="15" hidden="false" customHeight="false" outlineLevel="0" collapsed="false">
      <c r="A224" s="28"/>
      <c r="B224" s="27"/>
      <c r="C224" s="27"/>
      <c r="D224" s="27"/>
      <c r="E224" s="27"/>
      <c r="F224" s="27"/>
      <c r="G224" s="27"/>
      <c r="H224" s="27"/>
      <c r="I224" s="32" t="str">
        <f aca="false">IF(A224="","",IF(AND(H224="Positive",IFERROR(INDEX(Contacts!$K$3:$K$502,MATCH(C224,Contacts!$B$3:$B$502,0)),"No")&lt;&gt;"Yes"),"Yes","No"))</f>
        <v/>
      </c>
    </row>
    <row r="225" customFormat="false" ht="15" hidden="false" customHeight="false" outlineLevel="0" collapsed="false">
      <c r="A225" s="28"/>
      <c r="B225" s="27"/>
      <c r="C225" s="27"/>
      <c r="D225" s="27"/>
      <c r="E225" s="27"/>
      <c r="F225" s="27"/>
      <c r="G225" s="27"/>
      <c r="H225" s="27"/>
      <c r="I225" s="32" t="str">
        <f aca="false">IF(A225="","",IF(AND(H225="Positive",IFERROR(INDEX(Contacts!$K$3:$K$502,MATCH(C225,Contacts!$B$3:$B$502,0)),"No")&lt;&gt;"Yes"),"Yes","No"))</f>
        <v/>
      </c>
    </row>
    <row r="226" customFormat="false" ht="15" hidden="false" customHeight="false" outlineLevel="0" collapsed="false">
      <c r="A226" s="28"/>
      <c r="B226" s="27"/>
      <c r="C226" s="27"/>
      <c r="D226" s="27"/>
      <c r="E226" s="27"/>
      <c r="F226" s="27"/>
      <c r="G226" s="27"/>
      <c r="H226" s="27"/>
      <c r="I226" s="32" t="str">
        <f aca="false">IF(A226="","",IF(AND(H226="Positive",IFERROR(INDEX(Contacts!$K$3:$K$502,MATCH(C226,Contacts!$B$3:$B$502,0)),"No")&lt;&gt;"Yes"),"Yes","No"))</f>
        <v/>
      </c>
    </row>
    <row r="227" customFormat="false" ht="15" hidden="false" customHeight="false" outlineLevel="0" collapsed="false">
      <c r="A227" s="28"/>
      <c r="B227" s="27"/>
      <c r="C227" s="27"/>
      <c r="D227" s="27"/>
      <c r="E227" s="27"/>
      <c r="F227" s="27"/>
      <c r="G227" s="27"/>
      <c r="H227" s="27"/>
      <c r="I227" s="32" t="str">
        <f aca="false">IF(A227="","",IF(AND(H227="Positive",IFERROR(INDEX(Contacts!$K$3:$K$502,MATCH(C227,Contacts!$B$3:$B$502,0)),"No")&lt;&gt;"Yes"),"Yes","No"))</f>
        <v/>
      </c>
    </row>
    <row r="228" customFormat="false" ht="15" hidden="false" customHeight="false" outlineLevel="0" collapsed="false">
      <c r="A228" s="28"/>
      <c r="B228" s="27"/>
      <c r="C228" s="27"/>
      <c r="D228" s="27"/>
      <c r="E228" s="27"/>
      <c r="F228" s="27"/>
      <c r="G228" s="27"/>
      <c r="H228" s="27"/>
      <c r="I228" s="32" t="str">
        <f aca="false">IF(A228="","",IF(AND(H228="Positive",IFERROR(INDEX(Contacts!$K$3:$K$502,MATCH(C228,Contacts!$B$3:$B$502,0)),"No")&lt;&gt;"Yes"),"Yes","No"))</f>
        <v/>
      </c>
    </row>
    <row r="229" customFormat="false" ht="15" hidden="false" customHeight="false" outlineLevel="0" collapsed="false">
      <c r="A229" s="28"/>
      <c r="B229" s="27"/>
      <c r="C229" s="27"/>
      <c r="D229" s="27"/>
      <c r="E229" s="27"/>
      <c r="F229" s="27"/>
      <c r="G229" s="27"/>
      <c r="H229" s="27"/>
      <c r="I229" s="32" t="str">
        <f aca="false">IF(A229="","",IF(AND(H229="Positive",IFERROR(INDEX(Contacts!$K$3:$K$502,MATCH(C229,Contacts!$B$3:$B$502,0)),"No")&lt;&gt;"Yes"),"Yes","No"))</f>
        <v/>
      </c>
    </row>
    <row r="230" customFormat="false" ht="15" hidden="false" customHeight="false" outlineLevel="0" collapsed="false">
      <c r="A230" s="28"/>
      <c r="B230" s="27"/>
      <c r="C230" s="27"/>
      <c r="D230" s="27"/>
      <c r="E230" s="27"/>
      <c r="F230" s="27"/>
      <c r="G230" s="27"/>
      <c r="H230" s="27"/>
      <c r="I230" s="32" t="str">
        <f aca="false">IF(A230="","",IF(AND(H230="Positive",IFERROR(INDEX(Contacts!$K$3:$K$502,MATCH(C230,Contacts!$B$3:$B$502,0)),"No")&lt;&gt;"Yes"),"Yes","No"))</f>
        <v/>
      </c>
    </row>
    <row r="231" customFormat="false" ht="15" hidden="false" customHeight="false" outlineLevel="0" collapsed="false">
      <c r="A231" s="28"/>
      <c r="B231" s="27"/>
      <c r="C231" s="27"/>
      <c r="D231" s="27"/>
      <c r="E231" s="27"/>
      <c r="F231" s="27"/>
      <c r="G231" s="27"/>
      <c r="H231" s="27"/>
      <c r="I231" s="32" t="str">
        <f aca="false">IF(A231="","",IF(AND(H231="Positive",IFERROR(INDEX(Contacts!$K$3:$K$502,MATCH(C231,Contacts!$B$3:$B$502,0)),"No")&lt;&gt;"Yes"),"Yes","No"))</f>
        <v/>
      </c>
    </row>
    <row r="232" customFormat="false" ht="15" hidden="false" customHeight="false" outlineLevel="0" collapsed="false">
      <c r="A232" s="28"/>
      <c r="B232" s="27"/>
      <c r="C232" s="27"/>
      <c r="D232" s="27"/>
      <c r="E232" s="27"/>
      <c r="F232" s="27"/>
      <c r="G232" s="27"/>
      <c r="H232" s="27"/>
      <c r="I232" s="32" t="str">
        <f aca="false">IF(A232="","",IF(AND(H232="Positive",IFERROR(INDEX(Contacts!$K$3:$K$502,MATCH(C232,Contacts!$B$3:$B$502,0)),"No")&lt;&gt;"Yes"),"Yes","No"))</f>
        <v/>
      </c>
    </row>
    <row r="233" customFormat="false" ht="15" hidden="false" customHeight="false" outlineLevel="0" collapsed="false">
      <c r="A233" s="28"/>
      <c r="B233" s="27"/>
      <c r="C233" s="27"/>
      <c r="D233" s="27"/>
      <c r="E233" s="27"/>
      <c r="F233" s="27"/>
      <c r="G233" s="27"/>
      <c r="H233" s="27"/>
      <c r="I233" s="32" t="str">
        <f aca="false">IF(A233="","",IF(AND(H233="Positive",IFERROR(INDEX(Contacts!$K$3:$K$502,MATCH(C233,Contacts!$B$3:$B$502,0)),"No")&lt;&gt;"Yes"),"Yes","No"))</f>
        <v/>
      </c>
    </row>
    <row r="234" customFormat="false" ht="15" hidden="false" customHeight="false" outlineLevel="0" collapsed="false">
      <c r="A234" s="28"/>
      <c r="B234" s="27"/>
      <c r="C234" s="27"/>
      <c r="D234" s="27"/>
      <c r="E234" s="27"/>
      <c r="F234" s="27"/>
      <c r="G234" s="27"/>
      <c r="H234" s="27"/>
      <c r="I234" s="32" t="str">
        <f aca="false">IF(A234="","",IF(AND(H234="Positive",IFERROR(INDEX(Contacts!$K$3:$K$502,MATCH(C234,Contacts!$B$3:$B$502,0)),"No")&lt;&gt;"Yes"),"Yes","No"))</f>
        <v/>
      </c>
    </row>
    <row r="235" customFormat="false" ht="15" hidden="false" customHeight="false" outlineLevel="0" collapsed="false">
      <c r="A235" s="28"/>
      <c r="B235" s="27"/>
      <c r="C235" s="27"/>
      <c r="D235" s="27"/>
      <c r="E235" s="27"/>
      <c r="F235" s="27"/>
      <c r="G235" s="27"/>
      <c r="H235" s="27"/>
      <c r="I235" s="32" t="str">
        <f aca="false">IF(A235="","",IF(AND(H235="Positive",IFERROR(INDEX(Contacts!$K$3:$K$502,MATCH(C235,Contacts!$B$3:$B$502,0)),"No")&lt;&gt;"Yes"),"Yes","No"))</f>
        <v/>
      </c>
    </row>
    <row r="236" customFormat="false" ht="15" hidden="false" customHeight="false" outlineLevel="0" collapsed="false">
      <c r="A236" s="28"/>
      <c r="B236" s="27"/>
      <c r="C236" s="27"/>
      <c r="D236" s="27"/>
      <c r="E236" s="27"/>
      <c r="F236" s="27"/>
      <c r="G236" s="27"/>
      <c r="H236" s="27"/>
      <c r="I236" s="32" t="str">
        <f aca="false">IF(A236="","",IF(AND(H236="Positive",IFERROR(INDEX(Contacts!$K$3:$K$502,MATCH(C236,Contacts!$B$3:$B$502,0)),"No")&lt;&gt;"Yes"),"Yes","No"))</f>
        <v/>
      </c>
    </row>
    <row r="237" customFormat="false" ht="15" hidden="false" customHeight="false" outlineLevel="0" collapsed="false">
      <c r="A237" s="28"/>
      <c r="B237" s="27"/>
      <c r="C237" s="27"/>
      <c r="D237" s="27"/>
      <c r="E237" s="27"/>
      <c r="F237" s="27"/>
      <c r="G237" s="27"/>
      <c r="H237" s="27"/>
      <c r="I237" s="32" t="str">
        <f aca="false">IF(A237="","",IF(AND(H237="Positive",IFERROR(INDEX(Contacts!$K$3:$K$502,MATCH(C237,Contacts!$B$3:$B$502,0)),"No")&lt;&gt;"Yes"),"Yes","No"))</f>
        <v/>
      </c>
    </row>
    <row r="238" customFormat="false" ht="15" hidden="false" customHeight="false" outlineLevel="0" collapsed="false">
      <c r="A238" s="28"/>
      <c r="B238" s="27"/>
      <c r="C238" s="27"/>
      <c r="D238" s="27"/>
      <c r="E238" s="27"/>
      <c r="F238" s="27"/>
      <c r="G238" s="27"/>
      <c r="H238" s="27"/>
      <c r="I238" s="32" t="str">
        <f aca="false">IF(A238="","",IF(AND(H238="Positive",IFERROR(INDEX(Contacts!$K$3:$K$502,MATCH(C238,Contacts!$B$3:$B$502,0)),"No")&lt;&gt;"Yes"),"Yes","No"))</f>
        <v/>
      </c>
    </row>
    <row r="239" customFormat="false" ht="15" hidden="false" customHeight="false" outlineLevel="0" collapsed="false">
      <c r="A239" s="28"/>
      <c r="B239" s="27"/>
      <c r="C239" s="27"/>
      <c r="D239" s="27"/>
      <c r="E239" s="27"/>
      <c r="F239" s="27"/>
      <c r="G239" s="27"/>
      <c r="H239" s="27"/>
      <c r="I239" s="32" t="str">
        <f aca="false">IF(A239="","",IF(AND(H239="Positive",IFERROR(INDEX(Contacts!$K$3:$K$502,MATCH(C239,Contacts!$B$3:$B$502,0)),"No")&lt;&gt;"Yes"),"Yes","No"))</f>
        <v/>
      </c>
    </row>
    <row r="240" customFormat="false" ht="15" hidden="false" customHeight="false" outlineLevel="0" collapsed="false">
      <c r="A240" s="28"/>
      <c r="B240" s="27"/>
      <c r="C240" s="27"/>
      <c r="D240" s="27"/>
      <c r="E240" s="27"/>
      <c r="F240" s="27"/>
      <c r="G240" s="27"/>
      <c r="H240" s="27"/>
      <c r="I240" s="32" t="str">
        <f aca="false">IF(A240="","",IF(AND(H240="Positive",IFERROR(INDEX(Contacts!$K$3:$K$502,MATCH(C240,Contacts!$B$3:$B$502,0)),"No")&lt;&gt;"Yes"),"Yes","No"))</f>
        <v/>
      </c>
    </row>
    <row r="241" customFormat="false" ht="15" hidden="false" customHeight="false" outlineLevel="0" collapsed="false">
      <c r="A241" s="28"/>
      <c r="B241" s="27"/>
      <c r="C241" s="27"/>
      <c r="D241" s="27"/>
      <c r="E241" s="27"/>
      <c r="F241" s="27"/>
      <c r="G241" s="27"/>
      <c r="H241" s="27"/>
      <c r="I241" s="32" t="str">
        <f aca="false">IF(A241="","",IF(AND(H241="Positive",IFERROR(INDEX(Contacts!$K$3:$K$502,MATCH(C241,Contacts!$B$3:$B$502,0)),"No")&lt;&gt;"Yes"),"Yes","No"))</f>
        <v/>
      </c>
    </row>
    <row r="242" customFormat="false" ht="15" hidden="false" customHeight="false" outlineLevel="0" collapsed="false">
      <c r="A242" s="28"/>
      <c r="B242" s="27"/>
      <c r="C242" s="27"/>
      <c r="D242" s="27"/>
      <c r="E242" s="27"/>
      <c r="F242" s="27"/>
      <c r="G242" s="27"/>
      <c r="H242" s="27"/>
      <c r="I242" s="32" t="str">
        <f aca="false">IF(A242="","",IF(AND(H242="Positive",IFERROR(INDEX(Contacts!$K$3:$K$502,MATCH(C242,Contacts!$B$3:$B$502,0)),"No")&lt;&gt;"Yes"),"Yes","No"))</f>
        <v/>
      </c>
    </row>
    <row r="243" customFormat="false" ht="15" hidden="false" customHeight="false" outlineLevel="0" collapsed="false">
      <c r="A243" s="28"/>
      <c r="B243" s="27"/>
      <c r="C243" s="27"/>
      <c r="D243" s="27"/>
      <c r="E243" s="27"/>
      <c r="F243" s="27"/>
      <c r="G243" s="27"/>
      <c r="H243" s="27"/>
      <c r="I243" s="32" t="str">
        <f aca="false">IF(A243="","",IF(AND(H243="Positive",IFERROR(INDEX(Contacts!$K$3:$K$502,MATCH(C243,Contacts!$B$3:$B$502,0)),"No")&lt;&gt;"Yes"),"Yes","No"))</f>
        <v/>
      </c>
    </row>
    <row r="244" customFormat="false" ht="15" hidden="false" customHeight="false" outlineLevel="0" collapsed="false">
      <c r="A244" s="28"/>
      <c r="B244" s="27"/>
      <c r="C244" s="27"/>
      <c r="D244" s="27"/>
      <c r="E244" s="27"/>
      <c r="F244" s="27"/>
      <c r="G244" s="27"/>
      <c r="H244" s="27"/>
      <c r="I244" s="32" t="str">
        <f aca="false">IF(A244="","",IF(AND(H244="Positive",IFERROR(INDEX(Contacts!$K$3:$K$502,MATCH(C244,Contacts!$B$3:$B$502,0)),"No")&lt;&gt;"Yes"),"Yes","No"))</f>
        <v/>
      </c>
    </row>
    <row r="245" customFormat="false" ht="15" hidden="false" customHeight="false" outlineLevel="0" collapsed="false">
      <c r="A245" s="28"/>
      <c r="B245" s="27"/>
      <c r="C245" s="27"/>
      <c r="D245" s="27"/>
      <c r="E245" s="27"/>
      <c r="F245" s="27"/>
      <c r="G245" s="27"/>
      <c r="H245" s="27"/>
      <c r="I245" s="32" t="str">
        <f aca="false">IF(A245="","",IF(AND(H245="Positive",IFERROR(INDEX(Contacts!$K$3:$K$502,MATCH(C245,Contacts!$B$3:$B$502,0)),"No")&lt;&gt;"Yes"),"Yes","No"))</f>
        <v/>
      </c>
    </row>
    <row r="246" customFormat="false" ht="15" hidden="false" customHeight="false" outlineLevel="0" collapsed="false">
      <c r="A246" s="28"/>
      <c r="B246" s="27"/>
      <c r="C246" s="27"/>
      <c r="D246" s="27"/>
      <c r="E246" s="27"/>
      <c r="F246" s="27"/>
      <c r="G246" s="27"/>
      <c r="H246" s="27"/>
      <c r="I246" s="32" t="str">
        <f aca="false">IF(A246="","",IF(AND(H246="Positive",IFERROR(INDEX(Contacts!$K$3:$K$502,MATCH(C246,Contacts!$B$3:$B$502,0)),"No")&lt;&gt;"Yes"),"Yes","No"))</f>
        <v/>
      </c>
    </row>
    <row r="247" customFormat="false" ht="15" hidden="false" customHeight="false" outlineLevel="0" collapsed="false">
      <c r="A247" s="28"/>
      <c r="B247" s="27"/>
      <c r="C247" s="27"/>
      <c r="D247" s="27"/>
      <c r="E247" s="27"/>
      <c r="F247" s="27"/>
      <c r="G247" s="27"/>
      <c r="H247" s="27"/>
      <c r="I247" s="32" t="str">
        <f aca="false">IF(A247="","",IF(AND(H247="Positive",IFERROR(INDEX(Contacts!$K$3:$K$502,MATCH(C247,Contacts!$B$3:$B$502,0)),"No")&lt;&gt;"Yes"),"Yes","No"))</f>
        <v/>
      </c>
    </row>
    <row r="248" customFormat="false" ht="15" hidden="false" customHeight="false" outlineLevel="0" collapsed="false">
      <c r="A248" s="28"/>
      <c r="B248" s="27"/>
      <c r="C248" s="27"/>
      <c r="D248" s="27"/>
      <c r="E248" s="27"/>
      <c r="F248" s="27"/>
      <c r="G248" s="27"/>
      <c r="H248" s="27"/>
      <c r="I248" s="32" t="str">
        <f aca="false">IF(A248="","",IF(AND(H248="Positive",IFERROR(INDEX(Contacts!$K$3:$K$502,MATCH(C248,Contacts!$B$3:$B$502,0)),"No")&lt;&gt;"Yes"),"Yes","No"))</f>
        <v/>
      </c>
    </row>
    <row r="249" customFormat="false" ht="15" hidden="false" customHeight="false" outlineLevel="0" collapsed="false">
      <c r="A249" s="28"/>
      <c r="B249" s="27"/>
      <c r="C249" s="27"/>
      <c r="D249" s="27"/>
      <c r="E249" s="27"/>
      <c r="F249" s="27"/>
      <c r="G249" s="27"/>
      <c r="H249" s="27"/>
      <c r="I249" s="32" t="str">
        <f aca="false">IF(A249="","",IF(AND(H249="Positive",IFERROR(INDEX(Contacts!$K$3:$K$502,MATCH(C249,Contacts!$B$3:$B$502,0)),"No")&lt;&gt;"Yes"),"Yes","No"))</f>
        <v/>
      </c>
    </row>
    <row r="250" customFormat="false" ht="15" hidden="false" customHeight="false" outlineLevel="0" collapsed="false">
      <c r="A250" s="28"/>
      <c r="B250" s="27"/>
      <c r="C250" s="27"/>
      <c r="D250" s="27"/>
      <c r="E250" s="27"/>
      <c r="F250" s="27"/>
      <c r="G250" s="27"/>
      <c r="H250" s="27"/>
      <c r="I250" s="32" t="str">
        <f aca="false">IF(A250="","",IF(AND(H250="Positive",IFERROR(INDEX(Contacts!$K$3:$K$502,MATCH(C250,Contacts!$B$3:$B$502,0)),"No")&lt;&gt;"Yes"),"Yes","No"))</f>
        <v/>
      </c>
    </row>
    <row r="251" customFormat="false" ht="15" hidden="false" customHeight="false" outlineLevel="0" collapsed="false">
      <c r="A251" s="28"/>
      <c r="B251" s="27"/>
      <c r="C251" s="27"/>
      <c r="D251" s="27"/>
      <c r="E251" s="27"/>
      <c r="F251" s="27"/>
      <c r="G251" s="27"/>
      <c r="H251" s="27"/>
      <c r="I251" s="32" t="str">
        <f aca="false">IF(A251="","",IF(AND(H251="Positive",IFERROR(INDEX(Contacts!$K$3:$K$502,MATCH(C251,Contacts!$B$3:$B$502,0)),"No")&lt;&gt;"Yes"),"Yes","No"))</f>
        <v/>
      </c>
    </row>
    <row r="252" customFormat="false" ht="15" hidden="false" customHeight="false" outlineLevel="0" collapsed="false">
      <c r="A252" s="28"/>
      <c r="B252" s="27"/>
      <c r="C252" s="27"/>
      <c r="D252" s="27"/>
      <c r="E252" s="27"/>
      <c r="F252" s="27"/>
      <c r="G252" s="27"/>
      <c r="H252" s="27"/>
      <c r="I252" s="32" t="str">
        <f aca="false">IF(A252="","",IF(AND(H252="Positive",IFERROR(INDEX(Contacts!$K$3:$K$502,MATCH(C252,Contacts!$B$3:$B$502,0)),"No")&lt;&gt;"Yes"),"Yes","No"))</f>
        <v/>
      </c>
    </row>
    <row r="253" customFormat="false" ht="15" hidden="false" customHeight="false" outlineLevel="0" collapsed="false">
      <c r="A253" s="28"/>
      <c r="B253" s="27"/>
      <c r="C253" s="27"/>
      <c r="D253" s="27"/>
      <c r="E253" s="27"/>
      <c r="F253" s="27"/>
      <c r="G253" s="27"/>
      <c r="H253" s="27"/>
      <c r="I253" s="32" t="str">
        <f aca="false">IF(A253="","",IF(AND(H253="Positive",IFERROR(INDEX(Contacts!$K$3:$K$502,MATCH(C253,Contacts!$B$3:$B$502,0)),"No")&lt;&gt;"Yes"),"Yes","No"))</f>
        <v/>
      </c>
    </row>
    <row r="254" customFormat="false" ht="15" hidden="false" customHeight="false" outlineLevel="0" collapsed="false">
      <c r="A254" s="28"/>
      <c r="B254" s="27"/>
      <c r="C254" s="27"/>
      <c r="D254" s="27"/>
      <c r="E254" s="27"/>
      <c r="F254" s="27"/>
      <c r="G254" s="27"/>
      <c r="H254" s="27"/>
      <c r="I254" s="32" t="str">
        <f aca="false">IF(A254="","",IF(AND(H254="Positive",IFERROR(INDEX(Contacts!$K$3:$K$502,MATCH(C254,Contacts!$B$3:$B$502,0)),"No")&lt;&gt;"Yes"),"Yes","No"))</f>
        <v/>
      </c>
    </row>
    <row r="255" customFormat="false" ht="15" hidden="false" customHeight="false" outlineLevel="0" collapsed="false">
      <c r="A255" s="28"/>
      <c r="B255" s="27"/>
      <c r="C255" s="27"/>
      <c r="D255" s="27"/>
      <c r="E255" s="27"/>
      <c r="F255" s="27"/>
      <c r="G255" s="27"/>
      <c r="H255" s="27"/>
      <c r="I255" s="32" t="str">
        <f aca="false">IF(A255="","",IF(AND(H255="Positive",IFERROR(INDEX(Contacts!$K$3:$K$502,MATCH(C255,Contacts!$B$3:$B$502,0)),"No")&lt;&gt;"Yes"),"Yes","No"))</f>
        <v/>
      </c>
    </row>
    <row r="256" customFormat="false" ht="15" hidden="false" customHeight="false" outlineLevel="0" collapsed="false">
      <c r="A256" s="28"/>
      <c r="B256" s="27"/>
      <c r="C256" s="27"/>
      <c r="D256" s="27"/>
      <c r="E256" s="27"/>
      <c r="F256" s="27"/>
      <c r="G256" s="27"/>
      <c r="H256" s="27"/>
      <c r="I256" s="32" t="str">
        <f aca="false">IF(A256="","",IF(AND(H256="Positive",IFERROR(INDEX(Contacts!$K$3:$K$502,MATCH(C256,Contacts!$B$3:$B$502,0)),"No")&lt;&gt;"Yes"),"Yes","No"))</f>
        <v/>
      </c>
    </row>
    <row r="257" customFormat="false" ht="15" hidden="false" customHeight="false" outlineLevel="0" collapsed="false">
      <c r="A257" s="28"/>
      <c r="B257" s="27"/>
      <c r="C257" s="27"/>
      <c r="D257" s="27"/>
      <c r="E257" s="27"/>
      <c r="F257" s="27"/>
      <c r="G257" s="27"/>
      <c r="H257" s="27"/>
      <c r="I257" s="32" t="str">
        <f aca="false">IF(A257="","",IF(AND(H257="Positive",IFERROR(INDEX(Contacts!$K$3:$K$502,MATCH(C257,Contacts!$B$3:$B$502,0)),"No")&lt;&gt;"Yes"),"Yes","No"))</f>
        <v/>
      </c>
    </row>
    <row r="258" customFormat="false" ht="15" hidden="false" customHeight="false" outlineLevel="0" collapsed="false">
      <c r="A258" s="28"/>
      <c r="B258" s="27"/>
      <c r="C258" s="27"/>
      <c r="D258" s="27"/>
      <c r="E258" s="27"/>
      <c r="F258" s="27"/>
      <c r="G258" s="27"/>
      <c r="H258" s="27"/>
      <c r="I258" s="32" t="str">
        <f aca="false">IF(A258="","",IF(AND(H258="Positive",IFERROR(INDEX(Contacts!$K$3:$K$502,MATCH(C258,Contacts!$B$3:$B$502,0)),"No")&lt;&gt;"Yes"),"Yes","No"))</f>
        <v/>
      </c>
    </row>
    <row r="259" customFormat="false" ht="15" hidden="false" customHeight="false" outlineLevel="0" collapsed="false">
      <c r="A259" s="28"/>
      <c r="B259" s="27"/>
      <c r="C259" s="27"/>
      <c r="D259" s="27"/>
      <c r="E259" s="27"/>
      <c r="F259" s="27"/>
      <c r="G259" s="27"/>
      <c r="H259" s="27"/>
      <c r="I259" s="32" t="str">
        <f aca="false">IF(A259="","",IF(AND(H259="Positive",IFERROR(INDEX(Contacts!$K$3:$K$502,MATCH(C259,Contacts!$B$3:$B$502,0)),"No")&lt;&gt;"Yes"),"Yes","No"))</f>
        <v/>
      </c>
    </row>
    <row r="260" customFormat="false" ht="15" hidden="false" customHeight="false" outlineLevel="0" collapsed="false">
      <c r="A260" s="28"/>
      <c r="B260" s="27"/>
      <c r="C260" s="27"/>
      <c r="D260" s="27"/>
      <c r="E260" s="27"/>
      <c r="F260" s="27"/>
      <c r="G260" s="27"/>
      <c r="H260" s="27"/>
      <c r="I260" s="32" t="str">
        <f aca="false">IF(A260="","",IF(AND(H260="Positive",IFERROR(INDEX(Contacts!$K$3:$K$502,MATCH(C260,Contacts!$B$3:$B$502,0)),"No")&lt;&gt;"Yes"),"Yes","No"))</f>
        <v/>
      </c>
    </row>
    <row r="261" customFormat="false" ht="15" hidden="false" customHeight="false" outlineLevel="0" collapsed="false">
      <c r="A261" s="28"/>
      <c r="B261" s="27"/>
      <c r="C261" s="27"/>
      <c r="D261" s="27"/>
      <c r="E261" s="27"/>
      <c r="F261" s="27"/>
      <c r="G261" s="27"/>
      <c r="H261" s="27"/>
      <c r="I261" s="32" t="str">
        <f aca="false">IF(A261="","",IF(AND(H261="Positive",IFERROR(INDEX(Contacts!$K$3:$K$502,MATCH(C261,Contacts!$B$3:$B$502,0)),"No")&lt;&gt;"Yes"),"Yes","No"))</f>
        <v/>
      </c>
    </row>
    <row r="262" customFormat="false" ht="15" hidden="false" customHeight="false" outlineLevel="0" collapsed="false">
      <c r="A262" s="28"/>
      <c r="B262" s="27"/>
      <c r="C262" s="27"/>
      <c r="D262" s="27"/>
      <c r="E262" s="27"/>
      <c r="F262" s="27"/>
      <c r="G262" s="27"/>
      <c r="H262" s="27"/>
      <c r="I262" s="32" t="str">
        <f aca="false">IF(A262="","",IF(AND(H262="Positive",IFERROR(INDEX(Contacts!$K$3:$K$502,MATCH(C262,Contacts!$B$3:$B$502,0)),"No")&lt;&gt;"Yes"),"Yes","No"))</f>
        <v/>
      </c>
    </row>
    <row r="263" customFormat="false" ht="15" hidden="false" customHeight="false" outlineLevel="0" collapsed="false">
      <c r="A263" s="28"/>
      <c r="B263" s="27"/>
      <c r="C263" s="27"/>
      <c r="D263" s="27"/>
      <c r="E263" s="27"/>
      <c r="F263" s="27"/>
      <c r="G263" s="27"/>
      <c r="H263" s="27"/>
      <c r="I263" s="32" t="str">
        <f aca="false">IF(A263="","",IF(AND(H263="Positive",IFERROR(INDEX(Contacts!$K$3:$K$502,MATCH(C263,Contacts!$B$3:$B$502,0)),"No")&lt;&gt;"Yes"),"Yes","No"))</f>
        <v/>
      </c>
    </row>
    <row r="264" customFormat="false" ht="15" hidden="false" customHeight="false" outlineLevel="0" collapsed="false">
      <c r="A264" s="28"/>
      <c r="B264" s="27"/>
      <c r="C264" s="27"/>
      <c r="D264" s="27"/>
      <c r="E264" s="27"/>
      <c r="F264" s="27"/>
      <c r="G264" s="27"/>
      <c r="H264" s="27"/>
      <c r="I264" s="32" t="str">
        <f aca="false">IF(A264="","",IF(AND(H264="Positive",IFERROR(INDEX(Contacts!$K$3:$K$502,MATCH(C264,Contacts!$B$3:$B$502,0)),"No")&lt;&gt;"Yes"),"Yes","No"))</f>
        <v/>
      </c>
    </row>
    <row r="265" customFormat="false" ht="15" hidden="false" customHeight="false" outlineLevel="0" collapsed="false">
      <c r="A265" s="28"/>
      <c r="B265" s="27"/>
      <c r="C265" s="27"/>
      <c r="D265" s="27"/>
      <c r="E265" s="27"/>
      <c r="F265" s="27"/>
      <c r="G265" s="27"/>
      <c r="H265" s="27"/>
      <c r="I265" s="32" t="str">
        <f aca="false">IF(A265="","",IF(AND(H265="Positive",IFERROR(INDEX(Contacts!$K$3:$K$502,MATCH(C265,Contacts!$B$3:$B$502,0)),"No")&lt;&gt;"Yes"),"Yes","No"))</f>
        <v/>
      </c>
    </row>
    <row r="266" customFormat="false" ht="15" hidden="false" customHeight="false" outlineLevel="0" collapsed="false">
      <c r="A266" s="28"/>
      <c r="B266" s="27"/>
      <c r="C266" s="27"/>
      <c r="D266" s="27"/>
      <c r="E266" s="27"/>
      <c r="F266" s="27"/>
      <c r="G266" s="27"/>
      <c r="H266" s="27"/>
      <c r="I266" s="32" t="str">
        <f aca="false">IF(A266="","",IF(AND(H266="Positive",IFERROR(INDEX(Contacts!$K$3:$K$502,MATCH(C266,Contacts!$B$3:$B$502,0)),"No")&lt;&gt;"Yes"),"Yes","No"))</f>
        <v/>
      </c>
    </row>
    <row r="267" customFormat="false" ht="15" hidden="false" customHeight="false" outlineLevel="0" collapsed="false">
      <c r="A267" s="28"/>
      <c r="B267" s="27"/>
      <c r="C267" s="27"/>
      <c r="D267" s="27"/>
      <c r="E267" s="27"/>
      <c r="F267" s="27"/>
      <c r="G267" s="27"/>
      <c r="H267" s="27"/>
      <c r="I267" s="32" t="str">
        <f aca="false">IF(A267="","",IF(AND(H267="Positive",IFERROR(INDEX(Contacts!$K$3:$K$502,MATCH(C267,Contacts!$B$3:$B$502,0)),"No")&lt;&gt;"Yes"),"Yes","No"))</f>
        <v/>
      </c>
    </row>
    <row r="268" customFormat="false" ht="15" hidden="false" customHeight="false" outlineLevel="0" collapsed="false">
      <c r="A268" s="28"/>
      <c r="B268" s="27"/>
      <c r="C268" s="27"/>
      <c r="D268" s="27"/>
      <c r="E268" s="27"/>
      <c r="F268" s="27"/>
      <c r="G268" s="27"/>
      <c r="H268" s="27"/>
      <c r="I268" s="32" t="str">
        <f aca="false">IF(A268="","",IF(AND(H268="Positive",IFERROR(INDEX(Contacts!$K$3:$K$502,MATCH(C268,Contacts!$B$3:$B$502,0)),"No")&lt;&gt;"Yes"),"Yes","No"))</f>
        <v/>
      </c>
    </row>
    <row r="269" customFormat="false" ht="15" hidden="false" customHeight="false" outlineLevel="0" collapsed="false">
      <c r="A269" s="28"/>
      <c r="B269" s="27"/>
      <c r="C269" s="27"/>
      <c r="D269" s="27"/>
      <c r="E269" s="27"/>
      <c r="F269" s="27"/>
      <c r="G269" s="27"/>
      <c r="H269" s="27"/>
      <c r="I269" s="32" t="str">
        <f aca="false">IF(A269="","",IF(AND(H269="Positive",IFERROR(INDEX(Contacts!$K$3:$K$502,MATCH(C269,Contacts!$B$3:$B$502,0)),"No")&lt;&gt;"Yes"),"Yes","No"))</f>
        <v/>
      </c>
    </row>
    <row r="270" customFormat="false" ht="15" hidden="false" customHeight="false" outlineLevel="0" collapsed="false">
      <c r="A270" s="28"/>
      <c r="B270" s="27"/>
      <c r="C270" s="27"/>
      <c r="D270" s="27"/>
      <c r="E270" s="27"/>
      <c r="F270" s="27"/>
      <c r="G270" s="27"/>
      <c r="H270" s="27"/>
      <c r="I270" s="32" t="str">
        <f aca="false">IF(A270="","",IF(AND(H270="Positive",IFERROR(INDEX(Contacts!$K$3:$K$502,MATCH(C270,Contacts!$B$3:$B$502,0)),"No")&lt;&gt;"Yes"),"Yes","No"))</f>
        <v/>
      </c>
    </row>
    <row r="271" customFormat="false" ht="15" hidden="false" customHeight="false" outlineLevel="0" collapsed="false">
      <c r="A271" s="28"/>
      <c r="B271" s="27"/>
      <c r="C271" s="27"/>
      <c r="D271" s="27"/>
      <c r="E271" s="27"/>
      <c r="F271" s="27"/>
      <c r="G271" s="27"/>
      <c r="H271" s="27"/>
      <c r="I271" s="32" t="str">
        <f aca="false">IF(A271="","",IF(AND(H271="Positive",IFERROR(INDEX(Contacts!$K$3:$K$502,MATCH(C271,Contacts!$B$3:$B$502,0)),"No")&lt;&gt;"Yes"),"Yes","No"))</f>
        <v/>
      </c>
    </row>
    <row r="272" customFormat="false" ht="15" hidden="false" customHeight="false" outlineLevel="0" collapsed="false">
      <c r="A272" s="28"/>
      <c r="B272" s="27"/>
      <c r="C272" s="27"/>
      <c r="D272" s="27"/>
      <c r="E272" s="27"/>
      <c r="F272" s="27"/>
      <c r="G272" s="27"/>
      <c r="H272" s="27"/>
      <c r="I272" s="32" t="str">
        <f aca="false">IF(A272="","",IF(AND(H272="Positive",IFERROR(INDEX(Contacts!$K$3:$K$502,MATCH(C272,Contacts!$B$3:$B$502,0)),"No")&lt;&gt;"Yes"),"Yes","No"))</f>
        <v/>
      </c>
    </row>
    <row r="273" customFormat="false" ht="15" hidden="false" customHeight="false" outlineLevel="0" collapsed="false">
      <c r="A273" s="28"/>
      <c r="B273" s="27"/>
      <c r="C273" s="27"/>
      <c r="D273" s="27"/>
      <c r="E273" s="27"/>
      <c r="F273" s="27"/>
      <c r="G273" s="27"/>
      <c r="H273" s="27"/>
      <c r="I273" s="32" t="str">
        <f aca="false">IF(A273="","",IF(AND(H273="Positive",IFERROR(INDEX(Contacts!$K$3:$K$502,MATCH(C273,Contacts!$B$3:$B$502,0)),"No")&lt;&gt;"Yes"),"Yes","No"))</f>
        <v/>
      </c>
    </row>
    <row r="274" customFormat="false" ht="15" hidden="false" customHeight="false" outlineLevel="0" collapsed="false">
      <c r="A274" s="28"/>
      <c r="B274" s="27"/>
      <c r="C274" s="27"/>
      <c r="D274" s="27"/>
      <c r="E274" s="27"/>
      <c r="F274" s="27"/>
      <c r="G274" s="27"/>
      <c r="H274" s="27"/>
      <c r="I274" s="32" t="str">
        <f aca="false">IF(A274="","",IF(AND(H274="Positive",IFERROR(INDEX(Contacts!$K$3:$K$502,MATCH(C274,Contacts!$B$3:$B$502,0)),"No")&lt;&gt;"Yes"),"Yes","No"))</f>
        <v/>
      </c>
    </row>
    <row r="275" customFormat="false" ht="15" hidden="false" customHeight="false" outlineLevel="0" collapsed="false">
      <c r="A275" s="28"/>
      <c r="B275" s="27"/>
      <c r="C275" s="27"/>
      <c r="D275" s="27"/>
      <c r="E275" s="27"/>
      <c r="F275" s="27"/>
      <c r="G275" s="27"/>
      <c r="H275" s="27"/>
      <c r="I275" s="32" t="str">
        <f aca="false">IF(A275="","",IF(AND(H275="Positive",IFERROR(INDEX(Contacts!$K$3:$K$502,MATCH(C275,Contacts!$B$3:$B$502,0)),"No")&lt;&gt;"Yes"),"Yes","No"))</f>
        <v/>
      </c>
    </row>
    <row r="276" customFormat="false" ht="15" hidden="false" customHeight="false" outlineLevel="0" collapsed="false">
      <c r="A276" s="28"/>
      <c r="B276" s="27"/>
      <c r="C276" s="27"/>
      <c r="D276" s="27"/>
      <c r="E276" s="27"/>
      <c r="F276" s="27"/>
      <c r="G276" s="27"/>
      <c r="H276" s="27"/>
      <c r="I276" s="32" t="str">
        <f aca="false">IF(A276="","",IF(AND(H276="Positive",IFERROR(INDEX(Contacts!$K$3:$K$502,MATCH(C276,Contacts!$B$3:$B$502,0)),"No")&lt;&gt;"Yes"),"Yes","No"))</f>
        <v/>
      </c>
    </row>
    <row r="277" customFormat="false" ht="15" hidden="false" customHeight="false" outlineLevel="0" collapsed="false">
      <c r="A277" s="28"/>
      <c r="B277" s="27"/>
      <c r="C277" s="27"/>
      <c r="D277" s="27"/>
      <c r="E277" s="27"/>
      <c r="F277" s="27"/>
      <c r="G277" s="27"/>
      <c r="H277" s="27"/>
      <c r="I277" s="32" t="str">
        <f aca="false">IF(A277="","",IF(AND(H277="Positive",IFERROR(INDEX(Contacts!$K$3:$K$502,MATCH(C277,Contacts!$B$3:$B$502,0)),"No")&lt;&gt;"Yes"),"Yes","No"))</f>
        <v/>
      </c>
    </row>
    <row r="278" customFormat="false" ht="15" hidden="false" customHeight="false" outlineLevel="0" collapsed="false">
      <c r="A278" s="28"/>
      <c r="B278" s="27"/>
      <c r="C278" s="27"/>
      <c r="D278" s="27"/>
      <c r="E278" s="27"/>
      <c r="F278" s="27"/>
      <c r="G278" s="27"/>
      <c r="H278" s="27"/>
      <c r="I278" s="32" t="str">
        <f aca="false">IF(A278="","",IF(AND(H278="Positive",IFERROR(INDEX(Contacts!$K$3:$K$502,MATCH(C278,Contacts!$B$3:$B$502,0)),"No")&lt;&gt;"Yes"),"Yes","No"))</f>
        <v/>
      </c>
    </row>
    <row r="279" customFormat="false" ht="15" hidden="false" customHeight="false" outlineLevel="0" collapsed="false">
      <c r="A279" s="28"/>
      <c r="B279" s="27"/>
      <c r="C279" s="27"/>
      <c r="D279" s="27"/>
      <c r="E279" s="27"/>
      <c r="F279" s="27"/>
      <c r="G279" s="27"/>
      <c r="H279" s="27"/>
      <c r="I279" s="32" t="str">
        <f aca="false">IF(A279="","",IF(AND(H279="Positive",IFERROR(INDEX(Contacts!$K$3:$K$502,MATCH(C279,Contacts!$B$3:$B$502,0)),"No")&lt;&gt;"Yes"),"Yes","No"))</f>
        <v/>
      </c>
    </row>
    <row r="280" customFormat="false" ht="15" hidden="false" customHeight="false" outlineLevel="0" collapsed="false">
      <c r="A280" s="28"/>
      <c r="B280" s="27"/>
      <c r="C280" s="27"/>
      <c r="D280" s="27"/>
      <c r="E280" s="27"/>
      <c r="F280" s="27"/>
      <c r="G280" s="27"/>
      <c r="H280" s="27"/>
      <c r="I280" s="32" t="str">
        <f aca="false">IF(A280="","",IF(AND(H280="Positive",IFERROR(INDEX(Contacts!$K$3:$K$502,MATCH(C280,Contacts!$B$3:$B$502,0)),"No")&lt;&gt;"Yes"),"Yes","No"))</f>
        <v/>
      </c>
    </row>
    <row r="281" customFormat="false" ht="15" hidden="false" customHeight="false" outlineLevel="0" collapsed="false">
      <c r="A281" s="28"/>
      <c r="B281" s="27"/>
      <c r="C281" s="27"/>
      <c r="D281" s="27"/>
      <c r="E281" s="27"/>
      <c r="F281" s="27"/>
      <c r="G281" s="27"/>
      <c r="H281" s="27"/>
      <c r="I281" s="32" t="str">
        <f aca="false">IF(A281="","",IF(AND(H281="Positive",IFERROR(INDEX(Contacts!$K$3:$K$502,MATCH(C281,Contacts!$B$3:$B$502,0)),"No")&lt;&gt;"Yes"),"Yes","No"))</f>
        <v/>
      </c>
    </row>
    <row r="282" customFormat="false" ht="15" hidden="false" customHeight="false" outlineLevel="0" collapsed="false">
      <c r="A282" s="28"/>
      <c r="B282" s="27"/>
      <c r="C282" s="27"/>
      <c r="D282" s="27"/>
      <c r="E282" s="27"/>
      <c r="F282" s="27"/>
      <c r="G282" s="27"/>
      <c r="H282" s="27"/>
      <c r="I282" s="32" t="str">
        <f aca="false">IF(A282="","",IF(AND(H282="Positive",IFERROR(INDEX(Contacts!$K$3:$K$502,MATCH(C282,Contacts!$B$3:$B$502,0)),"No")&lt;&gt;"Yes"),"Yes","No"))</f>
        <v/>
      </c>
    </row>
    <row r="283" customFormat="false" ht="15" hidden="false" customHeight="false" outlineLevel="0" collapsed="false">
      <c r="A283" s="28"/>
      <c r="B283" s="27"/>
      <c r="C283" s="27"/>
      <c r="D283" s="27"/>
      <c r="E283" s="27"/>
      <c r="F283" s="27"/>
      <c r="G283" s="27"/>
      <c r="H283" s="27"/>
      <c r="I283" s="32" t="str">
        <f aca="false">IF(A283="","",IF(AND(H283="Positive",IFERROR(INDEX(Contacts!$K$3:$K$502,MATCH(C283,Contacts!$B$3:$B$502,0)),"No")&lt;&gt;"Yes"),"Yes","No"))</f>
        <v/>
      </c>
    </row>
    <row r="284" customFormat="false" ht="15" hidden="false" customHeight="false" outlineLevel="0" collapsed="false">
      <c r="A284" s="28"/>
      <c r="B284" s="27"/>
      <c r="C284" s="27"/>
      <c r="D284" s="27"/>
      <c r="E284" s="27"/>
      <c r="F284" s="27"/>
      <c r="G284" s="27"/>
      <c r="H284" s="27"/>
      <c r="I284" s="32" t="str">
        <f aca="false">IF(A284="","",IF(AND(H284="Positive",IFERROR(INDEX(Contacts!$K$3:$K$502,MATCH(C284,Contacts!$B$3:$B$502,0)),"No")&lt;&gt;"Yes"),"Yes","No"))</f>
        <v/>
      </c>
    </row>
    <row r="285" customFormat="false" ht="15" hidden="false" customHeight="false" outlineLevel="0" collapsed="false">
      <c r="A285" s="28"/>
      <c r="B285" s="27"/>
      <c r="C285" s="27"/>
      <c r="D285" s="27"/>
      <c r="E285" s="27"/>
      <c r="F285" s="27"/>
      <c r="G285" s="27"/>
      <c r="H285" s="27"/>
      <c r="I285" s="32" t="str">
        <f aca="false">IF(A285="","",IF(AND(H285="Positive",IFERROR(INDEX(Contacts!$K$3:$K$502,MATCH(C285,Contacts!$B$3:$B$502,0)),"No")&lt;&gt;"Yes"),"Yes","No"))</f>
        <v/>
      </c>
    </row>
    <row r="286" customFormat="false" ht="15" hidden="false" customHeight="false" outlineLevel="0" collapsed="false">
      <c r="A286" s="28"/>
      <c r="B286" s="27"/>
      <c r="C286" s="27"/>
      <c r="D286" s="27"/>
      <c r="E286" s="27"/>
      <c r="F286" s="27"/>
      <c r="G286" s="27"/>
      <c r="H286" s="27"/>
      <c r="I286" s="32" t="str">
        <f aca="false">IF(A286="","",IF(AND(H286="Positive",IFERROR(INDEX(Contacts!$K$3:$K$502,MATCH(C286,Contacts!$B$3:$B$502,0)),"No")&lt;&gt;"Yes"),"Yes","No"))</f>
        <v/>
      </c>
    </row>
    <row r="287" customFormat="false" ht="15" hidden="false" customHeight="false" outlineLevel="0" collapsed="false">
      <c r="A287" s="28"/>
      <c r="B287" s="27"/>
      <c r="C287" s="27"/>
      <c r="D287" s="27"/>
      <c r="E287" s="27"/>
      <c r="F287" s="27"/>
      <c r="G287" s="27"/>
      <c r="H287" s="27"/>
      <c r="I287" s="32" t="str">
        <f aca="false">IF(A287="","",IF(AND(H287="Positive",IFERROR(INDEX(Contacts!$K$3:$K$502,MATCH(C287,Contacts!$B$3:$B$502,0)),"No")&lt;&gt;"Yes"),"Yes","No"))</f>
        <v/>
      </c>
    </row>
    <row r="288" customFormat="false" ht="15" hidden="false" customHeight="false" outlineLevel="0" collapsed="false">
      <c r="A288" s="28"/>
      <c r="B288" s="27"/>
      <c r="C288" s="27"/>
      <c r="D288" s="27"/>
      <c r="E288" s="27"/>
      <c r="F288" s="27"/>
      <c r="G288" s="27"/>
      <c r="H288" s="27"/>
      <c r="I288" s="32" t="str">
        <f aca="false">IF(A288="","",IF(AND(H288="Positive",IFERROR(INDEX(Contacts!$K$3:$K$502,MATCH(C288,Contacts!$B$3:$B$502,0)),"No")&lt;&gt;"Yes"),"Yes","No"))</f>
        <v/>
      </c>
    </row>
    <row r="289" customFormat="false" ht="15" hidden="false" customHeight="false" outlineLevel="0" collapsed="false">
      <c r="A289" s="28"/>
      <c r="B289" s="27"/>
      <c r="C289" s="27"/>
      <c r="D289" s="27"/>
      <c r="E289" s="27"/>
      <c r="F289" s="27"/>
      <c r="G289" s="27"/>
      <c r="H289" s="27"/>
      <c r="I289" s="32" t="str">
        <f aca="false">IF(A289="","",IF(AND(H289="Positive",IFERROR(INDEX(Contacts!$K$3:$K$502,MATCH(C289,Contacts!$B$3:$B$502,0)),"No")&lt;&gt;"Yes"),"Yes","No"))</f>
        <v/>
      </c>
    </row>
    <row r="290" customFormat="false" ht="15" hidden="false" customHeight="false" outlineLevel="0" collapsed="false">
      <c r="A290" s="28"/>
      <c r="B290" s="27"/>
      <c r="C290" s="27"/>
      <c r="D290" s="27"/>
      <c r="E290" s="27"/>
      <c r="F290" s="27"/>
      <c r="G290" s="27"/>
      <c r="H290" s="27"/>
      <c r="I290" s="32" t="str">
        <f aca="false">IF(A290="","",IF(AND(H290="Positive",IFERROR(INDEX(Contacts!$K$3:$K$502,MATCH(C290,Contacts!$B$3:$B$502,0)),"No")&lt;&gt;"Yes"),"Yes","No"))</f>
        <v/>
      </c>
    </row>
    <row r="291" customFormat="false" ht="15" hidden="false" customHeight="false" outlineLevel="0" collapsed="false">
      <c r="A291" s="28"/>
      <c r="B291" s="27"/>
      <c r="C291" s="27"/>
      <c r="D291" s="27"/>
      <c r="E291" s="27"/>
      <c r="F291" s="27"/>
      <c r="G291" s="27"/>
      <c r="H291" s="27"/>
      <c r="I291" s="32" t="str">
        <f aca="false">IF(A291="","",IF(AND(H291="Positive",IFERROR(INDEX(Contacts!$K$3:$K$502,MATCH(C291,Contacts!$B$3:$B$502,0)),"No")&lt;&gt;"Yes"),"Yes","No"))</f>
        <v/>
      </c>
    </row>
    <row r="292" customFormat="false" ht="15" hidden="false" customHeight="false" outlineLevel="0" collapsed="false">
      <c r="A292" s="28"/>
      <c r="B292" s="27"/>
      <c r="C292" s="27"/>
      <c r="D292" s="27"/>
      <c r="E292" s="27"/>
      <c r="F292" s="27"/>
      <c r="G292" s="27"/>
      <c r="H292" s="27"/>
      <c r="I292" s="32" t="str">
        <f aca="false">IF(A292="","",IF(AND(H292="Positive",IFERROR(INDEX(Contacts!$K$3:$K$502,MATCH(C292,Contacts!$B$3:$B$502,0)),"No")&lt;&gt;"Yes"),"Yes","No"))</f>
        <v/>
      </c>
    </row>
    <row r="293" customFormat="false" ht="15" hidden="false" customHeight="false" outlineLevel="0" collapsed="false">
      <c r="A293" s="28"/>
      <c r="B293" s="27"/>
      <c r="C293" s="27"/>
      <c r="D293" s="27"/>
      <c r="E293" s="27"/>
      <c r="F293" s="27"/>
      <c r="G293" s="27"/>
      <c r="H293" s="27"/>
      <c r="I293" s="32" t="str">
        <f aca="false">IF(A293="","",IF(AND(H293="Positive",IFERROR(INDEX(Contacts!$K$3:$K$502,MATCH(C293,Contacts!$B$3:$B$502,0)),"No")&lt;&gt;"Yes"),"Yes","No"))</f>
        <v/>
      </c>
    </row>
    <row r="294" customFormat="false" ht="15" hidden="false" customHeight="false" outlineLevel="0" collapsed="false">
      <c r="A294" s="28"/>
      <c r="B294" s="27"/>
      <c r="C294" s="27"/>
      <c r="D294" s="27"/>
      <c r="E294" s="27"/>
      <c r="F294" s="27"/>
      <c r="G294" s="27"/>
      <c r="H294" s="27"/>
      <c r="I294" s="32" t="str">
        <f aca="false">IF(A294="","",IF(AND(H294="Positive",IFERROR(INDEX(Contacts!$K$3:$K$502,MATCH(C294,Contacts!$B$3:$B$502,0)),"No")&lt;&gt;"Yes"),"Yes","No"))</f>
        <v/>
      </c>
    </row>
    <row r="295" customFormat="false" ht="15" hidden="false" customHeight="false" outlineLevel="0" collapsed="false">
      <c r="A295" s="28"/>
      <c r="B295" s="27"/>
      <c r="C295" s="27"/>
      <c r="D295" s="27"/>
      <c r="E295" s="27"/>
      <c r="F295" s="27"/>
      <c r="G295" s="27"/>
      <c r="H295" s="27"/>
      <c r="I295" s="32" t="str">
        <f aca="false">IF(A295="","",IF(AND(H295="Positive",IFERROR(INDEX(Contacts!$K$3:$K$502,MATCH(C295,Contacts!$B$3:$B$502,0)),"No")&lt;&gt;"Yes"),"Yes","No"))</f>
        <v/>
      </c>
    </row>
    <row r="296" customFormat="false" ht="15" hidden="false" customHeight="false" outlineLevel="0" collapsed="false">
      <c r="A296" s="28"/>
      <c r="B296" s="27"/>
      <c r="C296" s="27"/>
      <c r="D296" s="27"/>
      <c r="E296" s="27"/>
      <c r="F296" s="27"/>
      <c r="G296" s="27"/>
      <c r="H296" s="27"/>
      <c r="I296" s="32" t="str">
        <f aca="false">IF(A296="","",IF(AND(H296="Positive",IFERROR(INDEX(Contacts!$K$3:$K$502,MATCH(C296,Contacts!$B$3:$B$502,0)),"No")&lt;&gt;"Yes"),"Yes","No"))</f>
        <v/>
      </c>
    </row>
    <row r="297" customFormat="false" ht="15" hidden="false" customHeight="false" outlineLevel="0" collapsed="false">
      <c r="A297" s="28"/>
      <c r="B297" s="27"/>
      <c r="C297" s="27"/>
      <c r="D297" s="27"/>
      <c r="E297" s="27"/>
      <c r="F297" s="27"/>
      <c r="G297" s="27"/>
      <c r="H297" s="27"/>
      <c r="I297" s="32" t="str">
        <f aca="false">IF(A297="","",IF(AND(H297="Positive",IFERROR(INDEX(Contacts!$K$3:$K$502,MATCH(C297,Contacts!$B$3:$B$502,0)),"No")&lt;&gt;"Yes"),"Yes","No"))</f>
        <v/>
      </c>
    </row>
    <row r="298" customFormat="false" ht="15" hidden="false" customHeight="false" outlineLevel="0" collapsed="false">
      <c r="A298" s="28"/>
      <c r="B298" s="27"/>
      <c r="C298" s="27"/>
      <c r="D298" s="27"/>
      <c r="E298" s="27"/>
      <c r="F298" s="27"/>
      <c r="G298" s="27"/>
      <c r="H298" s="27"/>
      <c r="I298" s="32" t="str">
        <f aca="false">IF(A298="","",IF(AND(H298="Positive",IFERROR(INDEX(Contacts!$K$3:$K$502,MATCH(C298,Contacts!$B$3:$B$502,0)),"No")&lt;&gt;"Yes"),"Yes","No"))</f>
        <v/>
      </c>
    </row>
    <row r="299" customFormat="false" ht="15" hidden="false" customHeight="false" outlineLevel="0" collapsed="false">
      <c r="A299" s="28"/>
      <c r="B299" s="27"/>
      <c r="C299" s="27"/>
      <c r="D299" s="27"/>
      <c r="E299" s="27"/>
      <c r="F299" s="27"/>
      <c r="G299" s="27"/>
      <c r="H299" s="27"/>
      <c r="I299" s="32" t="str">
        <f aca="false">IF(A299="","",IF(AND(H299="Positive",IFERROR(INDEX(Contacts!$K$3:$K$502,MATCH(C299,Contacts!$B$3:$B$502,0)),"No")&lt;&gt;"Yes"),"Yes","No"))</f>
        <v/>
      </c>
    </row>
    <row r="300" customFormat="false" ht="15" hidden="false" customHeight="false" outlineLevel="0" collapsed="false">
      <c r="A300" s="28"/>
      <c r="B300" s="27"/>
      <c r="C300" s="27"/>
      <c r="D300" s="27"/>
      <c r="E300" s="27"/>
      <c r="F300" s="27"/>
      <c r="G300" s="27"/>
      <c r="H300" s="27"/>
      <c r="I300" s="32" t="str">
        <f aca="false">IF(A300="","",IF(AND(H300="Positive",IFERROR(INDEX(Contacts!$K$3:$K$502,MATCH(C300,Contacts!$B$3:$B$502,0)),"No")&lt;&gt;"Yes"),"Yes","No"))</f>
        <v/>
      </c>
    </row>
    <row r="301" customFormat="false" ht="15" hidden="false" customHeight="false" outlineLevel="0" collapsed="false">
      <c r="A301" s="28"/>
      <c r="B301" s="27"/>
      <c r="C301" s="27"/>
      <c r="D301" s="27"/>
      <c r="E301" s="27"/>
      <c r="F301" s="27"/>
      <c r="G301" s="27"/>
      <c r="H301" s="27"/>
      <c r="I301" s="32" t="str">
        <f aca="false">IF(A301="","",IF(AND(H301="Positive",IFERROR(INDEX(Contacts!$K$3:$K$502,MATCH(C301,Contacts!$B$3:$B$502,0)),"No")&lt;&gt;"Yes"),"Yes","No"))</f>
        <v/>
      </c>
    </row>
    <row r="302" customFormat="false" ht="15" hidden="false" customHeight="false" outlineLevel="0" collapsed="false">
      <c r="A302" s="28"/>
      <c r="B302" s="27"/>
      <c r="C302" s="27"/>
      <c r="D302" s="27"/>
      <c r="E302" s="27"/>
      <c r="F302" s="27"/>
      <c r="G302" s="27"/>
      <c r="H302" s="27"/>
      <c r="I302" s="32" t="str">
        <f aca="false">IF(A302="","",IF(AND(H302="Positive",IFERROR(INDEX(Contacts!$K$3:$K$502,MATCH(C302,Contacts!$B$3:$B$502,0)),"No")&lt;&gt;"Yes"),"Yes","No"))</f>
        <v/>
      </c>
    </row>
    <row r="303" customFormat="false" ht="15" hidden="false" customHeight="false" outlineLevel="0" collapsed="false">
      <c r="A303" s="28"/>
      <c r="B303" s="27"/>
      <c r="C303" s="27"/>
      <c r="D303" s="27"/>
      <c r="E303" s="27"/>
      <c r="F303" s="27"/>
      <c r="G303" s="27"/>
      <c r="H303" s="27"/>
      <c r="I303" s="32" t="str">
        <f aca="false">IF(A303="","",IF(AND(H303="Positive",IFERROR(INDEX(Contacts!$K$3:$K$502,MATCH(C303,Contacts!$B$3:$B$502,0)),"No")&lt;&gt;"Yes"),"Yes","No"))</f>
        <v/>
      </c>
    </row>
    <row r="304" customFormat="false" ht="15" hidden="false" customHeight="false" outlineLevel="0" collapsed="false">
      <c r="A304" s="28"/>
      <c r="B304" s="27"/>
      <c r="C304" s="27"/>
      <c r="D304" s="27"/>
      <c r="E304" s="27"/>
      <c r="F304" s="27"/>
      <c r="G304" s="27"/>
      <c r="H304" s="27"/>
      <c r="I304" s="32" t="str">
        <f aca="false">IF(A304="","",IF(AND(H304="Positive",IFERROR(INDEX(Contacts!$K$3:$K$502,MATCH(C304,Contacts!$B$3:$B$502,0)),"No")&lt;&gt;"Yes"),"Yes","No"))</f>
        <v/>
      </c>
    </row>
    <row r="305" customFormat="false" ht="15" hidden="false" customHeight="false" outlineLevel="0" collapsed="false">
      <c r="A305" s="28"/>
      <c r="B305" s="27"/>
      <c r="C305" s="27"/>
      <c r="D305" s="27"/>
      <c r="E305" s="27"/>
      <c r="F305" s="27"/>
      <c r="G305" s="27"/>
      <c r="H305" s="27"/>
      <c r="I305" s="32" t="str">
        <f aca="false">IF(A305="","",IF(AND(H305="Positive",IFERROR(INDEX(Contacts!$K$3:$K$502,MATCH(C305,Contacts!$B$3:$B$502,0)),"No")&lt;&gt;"Yes"),"Yes","No"))</f>
        <v/>
      </c>
    </row>
    <row r="306" customFormat="false" ht="15" hidden="false" customHeight="false" outlineLevel="0" collapsed="false">
      <c r="A306" s="28"/>
      <c r="B306" s="27"/>
      <c r="C306" s="27"/>
      <c r="D306" s="27"/>
      <c r="E306" s="27"/>
      <c r="F306" s="27"/>
      <c r="G306" s="27"/>
      <c r="H306" s="27"/>
      <c r="I306" s="32" t="str">
        <f aca="false">IF(A306="","",IF(AND(H306="Positive",IFERROR(INDEX(Contacts!$K$3:$K$502,MATCH(C306,Contacts!$B$3:$B$502,0)),"No")&lt;&gt;"Yes"),"Yes","No"))</f>
        <v/>
      </c>
    </row>
    <row r="307" customFormat="false" ht="15" hidden="false" customHeight="false" outlineLevel="0" collapsed="false">
      <c r="A307" s="28"/>
      <c r="B307" s="27"/>
      <c r="C307" s="27"/>
      <c r="D307" s="27"/>
      <c r="E307" s="27"/>
      <c r="F307" s="27"/>
      <c r="G307" s="27"/>
      <c r="H307" s="27"/>
      <c r="I307" s="32" t="str">
        <f aca="false">IF(A307="","",IF(AND(H307="Positive",IFERROR(INDEX(Contacts!$K$3:$K$502,MATCH(C307,Contacts!$B$3:$B$502,0)),"No")&lt;&gt;"Yes"),"Yes","No"))</f>
        <v/>
      </c>
    </row>
    <row r="308" customFormat="false" ht="15" hidden="false" customHeight="false" outlineLevel="0" collapsed="false">
      <c r="A308" s="28"/>
      <c r="B308" s="27"/>
      <c r="C308" s="27"/>
      <c r="D308" s="27"/>
      <c r="E308" s="27"/>
      <c r="F308" s="27"/>
      <c r="G308" s="27"/>
      <c r="H308" s="27"/>
      <c r="I308" s="32" t="str">
        <f aca="false">IF(A308="","",IF(AND(H308="Positive",IFERROR(INDEX(Contacts!$K$3:$K$502,MATCH(C308,Contacts!$B$3:$B$502,0)),"No")&lt;&gt;"Yes"),"Yes","No"))</f>
        <v/>
      </c>
    </row>
    <row r="309" customFormat="false" ht="15" hidden="false" customHeight="false" outlineLevel="0" collapsed="false">
      <c r="A309" s="28"/>
      <c r="B309" s="27"/>
      <c r="C309" s="27"/>
      <c r="D309" s="27"/>
      <c r="E309" s="27"/>
      <c r="F309" s="27"/>
      <c r="G309" s="27"/>
      <c r="H309" s="27"/>
      <c r="I309" s="32" t="str">
        <f aca="false">IF(A309="","",IF(AND(H309="Positive",IFERROR(INDEX(Contacts!$K$3:$K$502,MATCH(C309,Contacts!$B$3:$B$502,0)),"No")&lt;&gt;"Yes"),"Yes","No"))</f>
        <v/>
      </c>
    </row>
    <row r="310" customFormat="false" ht="15" hidden="false" customHeight="false" outlineLevel="0" collapsed="false">
      <c r="A310" s="28"/>
      <c r="B310" s="27"/>
      <c r="C310" s="27"/>
      <c r="D310" s="27"/>
      <c r="E310" s="27"/>
      <c r="F310" s="27"/>
      <c r="G310" s="27"/>
      <c r="H310" s="27"/>
      <c r="I310" s="32" t="str">
        <f aca="false">IF(A310="","",IF(AND(H310="Positive",IFERROR(INDEX(Contacts!$K$3:$K$502,MATCH(C310,Contacts!$B$3:$B$502,0)),"No")&lt;&gt;"Yes"),"Yes","No"))</f>
        <v/>
      </c>
    </row>
    <row r="311" customFormat="false" ht="15" hidden="false" customHeight="false" outlineLevel="0" collapsed="false">
      <c r="A311" s="28"/>
      <c r="B311" s="27"/>
      <c r="C311" s="27"/>
      <c r="D311" s="27"/>
      <c r="E311" s="27"/>
      <c r="F311" s="27"/>
      <c r="G311" s="27"/>
      <c r="H311" s="27"/>
      <c r="I311" s="32" t="str">
        <f aca="false">IF(A311="","",IF(AND(H311="Positive",IFERROR(INDEX(Contacts!$K$3:$K$502,MATCH(C311,Contacts!$B$3:$B$502,0)),"No")&lt;&gt;"Yes"),"Yes","No"))</f>
        <v/>
      </c>
    </row>
    <row r="312" customFormat="false" ht="15" hidden="false" customHeight="false" outlineLevel="0" collapsed="false">
      <c r="A312" s="28"/>
      <c r="B312" s="27"/>
      <c r="C312" s="27"/>
      <c r="D312" s="27"/>
      <c r="E312" s="27"/>
      <c r="F312" s="27"/>
      <c r="G312" s="27"/>
      <c r="H312" s="27"/>
      <c r="I312" s="32" t="str">
        <f aca="false">IF(A312="","",IF(AND(H312="Positive",IFERROR(INDEX(Contacts!$K$3:$K$502,MATCH(C312,Contacts!$B$3:$B$502,0)),"No")&lt;&gt;"Yes"),"Yes","No"))</f>
        <v/>
      </c>
    </row>
    <row r="313" customFormat="false" ht="15" hidden="false" customHeight="false" outlineLevel="0" collapsed="false">
      <c r="A313" s="28"/>
      <c r="B313" s="27"/>
      <c r="C313" s="27"/>
      <c r="D313" s="27"/>
      <c r="E313" s="27"/>
      <c r="F313" s="27"/>
      <c r="G313" s="27"/>
      <c r="H313" s="27"/>
      <c r="I313" s="32" t="str">
        <f aca="false">IF(A313="","",IF(AND(H313="Positive",IFERROR(INDEX(Contacts!$K$3:$K$502,MATCH(C313,Contacts!$B$3:$B$502,0)),"No")&lt;&gt;"Yes"),"Yes","No"))</f>
        <v/>
      </c>
    </row>
    <row r="314" customFormat="false" ht="15" hidden="false" customHeight="false" outlineLevel="0" collapsed="false">
      <c r="A314" s="28"/>
      <c r="B314" s="27"/>
      <c r="C314" s="27"/>
      <c r="D314" s="27"/>
      <c r="E314" s="27"/>
      <c r="F314" s="27"/>
      <c r="G314" s="27"/>
      <c r="H314" s="27"/>
      <c r="I314" s="32" t="str">
        <f aca="false">IF(A314="","",IF(AND(H314="Positive",IFERROR(INDEX(Contacts!$K$3:$K$502,MATCH(C314,Contacts!$B$3:$B$502,0)),"No")&lt;&gt;"Yes"),"Yes","No"))</f>
        <v/>
      </c>
    </row>
    <row r="315" customFormat="false" ht="15" hidden="false" customHeight="false" outlineLevel="0" collapsed="false">
      <c r="A315" s="28"/>
      <c r="B315" s="27"/>
      <c r="C315" s="27"/>
      <c r="D315" s="27"/>
      <c r="E315" s="27"/>
      <c r="F315" s="27"/>
      <c r="G315" s="27"/>
      <c r="H315" s="27"/>
      <c r="I315" s="32" t="str">
        <f aca="false">IF(A315="","",IF(AND(H315="Positive",IFERROR(INDEX(Contacts!$K$3:$K$502,MATCH(C315,Contacts!$B$3:$B$502,0)),"No")&lt;&gt;"Yes"),"Yes","No"))</f>
        <v/>
      </c>
    </row>
    <row r="316" customFormat="false" ht="15" hidden="false" customHeight="false" outlineLevel="0" collapsed="false">
      <c r="A316" s="28"/>
      <c r="B316" s="27"/>
      <c r="C316" s="27"/>
      <c r="D316" s="27"/>
      <c r="E316" s="27"/>
      <c r="F316" s="27"/>
      <c r="G316" s="27"/>
      <c r="H316" s="27"/>
      <c r="I316" s="32" t="str">
        <f aca="false">IF(A316="","",IF(AND(H316="Positive",IFERROR(INDEX(Contacts!$K$3:$K$502,MATCH(C316,Contacts!$B$3:$B$502,0)),"No")&lt;&gt;"Yes"),"Yes","No"))</f>
        <v/>
      </c>
    </row>
    <row r="317" customFormat="false" ht="15" hidden="false" customHeight="false" outlineLevel="0" collapsed="false">
      <c r="A317" s="28"/>
      <c r="B317" s="27"/>
      <c r="C317" s="27"/>
      <c r="D317" s="27"/>
      <c r="E317" s="27"/>
      <c r="F317" s="27"/>
      <c r="G317" s="27"/>
      <c r="H317" s="27"/>
      <c r="I317" s="32" t="str">
        <f aca="false">IF(A317="","",IF(AND(H317="Positive",IFERROR(INDEX(Contacts!$K$3:$K$502,MATCH(C317,Contacts!$B$3:$B$502,0)),"No")&lt;&gt;"Yes"),"Yes","No"))</f>
        <v/>
      </c>
    </row>
    <row r="318" customFormat="false" ht="15" hidden="false" customHeight="false" outlineLevel="0" collapsed="false">
      <c r="A318" s="28"/>
      <c r="B318" s="27"/>
      <c r="C318" s="27"/>
      <c r="D318" s="27"/>
      <c r="E318" s="27"/>
      <c r="F318" s="27"/>
      <c r="G318" s="27"/>
      <c r="H318" s="27"/>
      <c r="I318" s="32" t="str">
        <f aca="false">IF(A318="","",IF(AND(H318="Positive",IFERROR(INDEX(Contacts!$K$3:$K$502,MATCH(C318,Contacts!$B$3:$B$502,0)),"No")&lt;&gt;"Yes"),"Yes","No"))</f>
        <v/>
      </c>
    </row>
    <row r="319" customFormat="false" ht="15" hidden="false" customHeight="false" outlineLevel="0" collapsed="false">
      <c r="A319" s="28"/>
      <c r="B319" s="27"/>
      <c r="C319" s="27"/>
      <c r="D319" s="27"/>
      <c r="E319" s="27"/>
      <c r="F319" s="27"/>
      <c r="G319" s="27"/>
      <c r="H319" s="27"/>
      <c r="I319" s="32" t="str">
        <f aca="false">IF(A319="","",IF(AND(H319="Positive",IFERROR(INDEX(Contacts!$K$3:$K$502,MATCH(C319,Contacts!$B$3:$B$502,0)),"No")&lt;&gt;"Yes"),"Yes","No"))</f>
        <v/>
      </c>
    </row>
    <row r="320" customFormat="false" ht="15" hidden="false" customHeight="false" outlineLevel="0" collapsed="false">
      <c r="A320" s="28"/>
      <c r="B320" s="27"/>
      <c r="C320" s="27"/>
      <c r="D320" s="27"/>
      <c r="E320" s="27"/>
      <c r="F320" s="27"/>
      <c r="G320" s="27"/>
      <c r="H320" s="27"/>
      <c r="I320" s="32" t="str">
        <f aca="false">IF(A320="","",IF(AND(H320="Positive",IFERROR(INDEX(Contacts!$K$3:$K$502,MATCH(C320,Contacts!$B$3:$B$502,0)),"No")&lt;&gt;"Yes"),"Yes","No"))</f>
        <v/>
      </c>
    </row>
    <row r="321" customFormat="false" ht="15" hidden="false" customHeight="false" outlineLevel="0" collapsed="false">
      <c r="A321" s="28"/>
      <c r="B321" s="27"/>
      <c r="C321" s="27"/>
      <c r="D321" s="27"/>
      <c r="E321" s="27"/>
      <c r="F321" s="27"/>
      <c r="G321" s="27"/>
      <c r="H321" s="27"/>
      <c r="I321" s="32" t="str">
        <f aca="false">IF(A321="","",IF(AND(H321="Positive",IFERROR(INDEX(Contacts!$K$3:$K$502,MATCH(C321,Contacts!$B$3:$B$502,0)),"No")&lt;&gt;"Yes"),"Yes","No"))</f>
        <v/>
      </c>
    </row>
    <row r="322" customFormat="false" ht="15" hidden="false" customHeight="false" outlineLevel="0" collapsed="false">
      <c r="A322" s="28"/>
      <c r="B322" s="27"/>
      <c r="C322" s="27"/>
      <c r="D322" s="27"/>
      <c r="E322" s="27"/>
      <c r="F322" s="27"/>
      <c r="G322" s="27"/>
      <c r="H322" s="27"/>
      <c r="I322" s="32" t="str">
        <f aca="false">IF(A322="","",IF(AND(H322="Positive",IFERROR(INDEX(Contacts!$K$3:$K$502,MATCH(C322,Contacts!$B$3:$B$502,0)),"No")&lt;&gt;"Yes"),"Yes","No"))</f>
        <v/>
      </c>
    </row>
    <row r="323" customFormat="false" ht="15" hidden="false" customHeight="false" outlineLevel="0" collapsed="false">
      <c r="A323" s="28"/>
      <c r="B323" s="27"/>
      <c r="C323" s="27"/>
      <c r="D323" s="27"/>
      <c r="E323" s="27"/>
      <c r="F323" s="27"/>
      <c r="G323" s="27"/>
      <c r="H323" s="27"/>
      <c r="I323" s="32" t="str">
        <f aca="false">IF(A323="","",IF(AND(H323="Positive",IFERROR(INDEX(Contacts!$K$3:$K$502,MATCH(C323,Contacts!$B$3:$B$502,0)),"No")&lt;&gt;"Yes"),"Yes","No"))</f>
        <v/>
      </c>
    </row>
    <row r="324" customFormat="false" ht="15" hidden="false" customHeight="false" outlineLevel="0" collapsed="false">
      <c r="A324" s="28"/>
      <c r="B324" s="27"/>
      <c r="C324" s="27"/>
      <c r="D324" s="27"/>
      <c r="E324" s="27"/>
      <c r="F324" s="27"/>
      <c r="G324" s="27"/>
      <c r="H324" s="27"/>
      <c r="I324" s="32" t="str">
        <f aca="false">IF(A324="","",IF(AND(H324="Positive",IFERROR(INDEX(Contacts!$K$3:$K$502,MATCH(C324,Contacts!$B$3:$B$502,0)),"No")&lt;&gt;"Yes"),"Yes","No"))</f>
        <v/>
      </c>
    </row>
    <row r="325" customFormat="false" ht="15" hidden="false" customHeight="false" outlineLevel="0" collapsed="false">
      <c r="A325" s="28"/>
      <c r="B325" s="27"/>
      <c r="C325" s="27"/>
      <c r="D325" s="27"/>
      <c r="E325" s="27"/>
      <c r="F325" s="27"/>
      <c r="G325" s="27"/>
      <c r="H325" s="27"/>
      <c r="I325" s="32" t="str">
        <f aca="false">IF(A325="","",IF(AND(H325="Positive",IFERROR(INDEX(Contacts!$K$3:$K$502,MATCH(C325,Contacts!$B$3:$B$502,0)),"No")&lt;&gt;"Yes"),"Yes","No"))</f>
        <v/>
      </c>
    </row>
    <row r="326" customFormat="false" ht="15" hidden="false" customHeight="false" outlineLevel="0" collapsed="false">
      <c r="A326" s="28"/>
      <c r="B326" s="27"/>
      <c r="C326" s="27"/>
      <c r="D326" s="27"/>
      <c r="E326" s="27"/>
      <c r="F326" s="27"/>
      <c r="G326" s="27"/>
      <c r="H326" s="27"/>
      <c r="I326" s="32" t="str">
        <f aca="false">IF(A326="","",IF(AND(H326="Positive",IFERROR(INDEX(Contacts!$K$3:$K$502,MATCH(C326,Contacts!$B$3:$B$502,0)),"No")&lt;&gt;"Yes"),"Yes","No"))</f>
        <v/>
      </c>
    </row>
    <row r="327" customFormat="false" ht="15" hidden="false" customHeight="false" outlineLevel="0" collapsed="false">
      <c r="A327" s="28"/>
      <c r="B327" s="27"/>
      <c r="C327" s="27"/>
      <c r="D327" s="27"/>
      <c r="E327" s="27"/>
      <c r="F327" s="27"/>
      <c r="G327" s="27"/>
      <c r="H327" s="27"/>
      <c r="I327" s="32" t="str">
        <f aca="false">IF(A327="","",IF(AND(H327="Positive",IFERROR(INDEX(Contacts!$K$3:$K$502,MATCH(C327,Contacts!$B$3:$B$502,0)),"No")&lt;&gt;"Yes"),"Yes","No"))</f>
        <v/>
      </c>
    </row>
    <row r="328" customFormat="false" ht="15" hidden="false" customHeight="false" outlineLevel="0" collapsed="false">
      <c r="A328" s="28"/>
      <c r="B328" s="27"/>
      <c r="C328" s="27"/>
      <c r="D328" s="27"/>
      <c r="E328" s="27"/>
      <c r="F328" s="27"/>
      <c r="G328" s="27"/>
      <c r="H328" s="27"/>
      <c r="I328" s="32" t="str">
        <f aca="false">IF(A328="","",IF(AND(H328="Positive",IFERROR(INDEX(Contacts!$K$3:$K$502,MATCH(C328,Contacts!$B$3:$B$502,0)),"No")&lt;&gt;"Yes"),"Yes","No"))</f>
        <v/>
      </c>
    </row>
    <row r="329" customFormat="false" ht="15" hidden="false" customHeight="false" outlineLevel="0" collapsed="false">
      <c r="A329" s="28"/>
      <c r="B329" s="27"/>
      <c r="C329" s="27"/>
      <c r="D329" s="27"/>
      <c r="E329" s="27"/>
      <c r="F329" s="27"/>
      <c r="G329" s="27"/>
      <c r="H329" s="27"/>
      <c r="I329" s="32" t="str">
        <f aca="false">IF(A329="","",IF(AND(H329="Positive",IFERROR(INDEX(Contacts!$K$3:$K$502,MATCH(C329,Contacts!$B$3:$B$502,0)),"No")&lt;&gt;"Yes"),"Yes","No"))</f>
        <v/>
      </c>
    </row>
    <row r="330" customFormat="false" ht="15" hidden="false" customHeight="false" outlineLevel="0" collapsed="false">
      <c r="A330" s="28"/>
      <c r="B330" s="27"/>
      <c r="C330" s="27"/>
      <c r="D330" s="27"/>
      <c r="E330" s="27"/>
      <c r="F330" s="27"/>
      <c r="G330" s="27"/>
      <c r="H330" s="27"/>
      <c r="I330" s="32" t="str">
        <f aca="false">IF(A330="","",IF(AND(H330="Positive",IFERROR(INDEX(Contacts!$K$3:$K$502,MATCH(C330,Contacts!$B$3:$B$502,0)),"No")&lt;&gt;"Yes"),"Yes","No"))</f>
        <v/>
      </c>
    </row>
    <row r="331" customFormat="false" ht="15" hidden="false" customHeight="false" outlineLevel="0" collapsed="false">
      <c r="A331" s="28"/>
      <c r="B331" s="27"/>
      <c r="C331" s="27"/>
      <c r="D331" s="27"/>
      <c r="E331" s="27"/>
      <c r="F331" s="27"/>
      <c r="G331" s="27"/>
      <c r="H331" s="27"/>
      <c r="I331" s="32" t="str">
        <f aca="false">IF(A331="","",IF(AND(H331="Positive",IFERROR(INDEX(Contacts!$K$3:$K$502,MATCH(C331,Contacts!$B$3:$B$502,0)),"No")&lt;&gt;"Yes"),"Yes","No"))</f>
        <v/>
      </c>
    </row>
    <row r="332" customFormat="false" ht="15" hidden="false" customHeight="false" outlineLevel="0" collapsed="false">
      <c r="A332" s="28"/>
      <c r="B332" s="27"/>
      <c r="C332" s="27"/>
      <c r="D332" s="27"/>
      <c r="E332" s="27"/>
      <c r="F332" s="27"/>
      <c r="G332" s="27"/>
      <c r="H332" s="27"/>
      <c r="I332" s="32" t="str">
        <f aca="false">IF(A332="","",IF(AND(H332="Positive",IFERROR(INDEX(Contacts!$K$3:$K$502,MATCH(C332,Contacts!$B$3:$B$502,0)),"No")&lt;&gt;"Yes"),"Yes","No"))</f>
        <v/>
      </c>
    </row>
    <row r="333" customFormat="false" ht="15" hidden="false" customHeight="false" outlineLevel="0" collapsed="false">
      <c r="A333" s="28"/>
      <c r="B333" s="27"/>
      <c r="C333" s="27"/>
      <c r="D333" s="27"/>
      <c r="E333" s="27"/>
      <c r="F333" s="27"/>
      <c r="G333" s="27"/>
      <c r="H333" s="27"/>
      <c r="I333" s="32" t="str">
        <f aca="false">IF(A333="","",IF(AND(H333="Positive",IFERROR(INDEX(Contacts!$K$3:$K$502,MATCH(C333,Contacts!$B$3:$B$502,0)),"No")&lt;&gt;"Yes"),"Yes","No"))</f>
        <v/>
      </c>
    </row>
    <row r="334" customFormat="false" ht="15" hidden="false" customHeight="false" outlineLevel="0" collapsed="false">
      <c r="A334" s="28"/>
      <c r="B334" s="27"/>
      <c r="C334" s="27"/>
      <c r="D334" s="27"/>
      <c r="E334" s="27"/>
      <c r="F334" s="27"/>
      <c r="G334" s="27"/>
      <c r="H334" s="27"/>
      <c r="I334" s="32" t="str">
        <f aca="false">IF(A334="","",IF(AND(H334="Positive",IFERROR(INDEX(Contacts!$K$3:$K$502,MATCH(C334,Contacts!$B$3:$B$502,0)),"No")&lt;&gt;"Yes"),"Yes","No"))</f>
        <v/>
      </c>
    </row>
    <row r="335" customFormat="false" ht="15" hidden="false" customHeight="false" outlineLevel="0" collapsed="false">
      <c r="A335" s="28"/>
      <c r="B335" s="27"/>
      <c r="C335" s="27"/>
      <c r="D335" s="27"/>
      <c r="E335" s="27"/>
      <c r="F335" s="27"/>
      <c r="G335" s="27"/>
      <c r="H335" s="27"/>
      <c r="I335" s="32" t="str">
        <f aca="false">IF(A335="","",IF(AND(H335="Positive",IFERROR(INDEX(Contacts!$K$3:$K$502,MATCH(C335,Contacts!$B$3:$B$502,0)),"No")&lt;&gt;"Yes"),"Yes","No"))</f>
        <v/>
      </c>
    </row>
    <row r="336" customFormat="false" ht="15" hidden="false" customHeight="false" outlineLevel="0" collapsed="false">
      <c r="A336" s="28"/>
      <c r="B336" s="27"/>
      <c r="C336" s="27"/>
      <c r="D336" s="27"/>
      <c r="E336" s="27"/>
      <c r="F336" s="27"/>
      <c r="G336" s="27"/>
      <c r="H336" s="27"/>
      <c r="I336" s="32" t="str">
        <f aca="false">IF(A336="","",IF(AND(H336="Positive",IFERROR(INDEX(Contacts!$K$3:$K$502,MATCH(C336,Contacts!$B$3:$B$502,0)),"No")&lt;&gt;"Yes"),"Yes","No"))</f>
        <v/>
      </c>
    </row>
    <row r="337" customFormat="false" ht="15" hidden="false" customHeight="false" outlineLevel="0" collapsed="false">
      <c r="A337" s="28"/>
      <c r="B337" s="27"/>
      <c r="C337" s="27"/>
      <c r="D337" s="27"/>
      <c r="E337" s="27"/>
      <c r="F337" s="27"/>
      <c r="G337" s="27"/>
      <c r="H337" s="27"/>
      <c r="I337" s="32" t="str">
        <f aca="false">IF(A337="","",IF(AND(H337="Positive",IFERROR(INDEX(Contacts!$K$3:$K$502,MATCH(C337,Contacts!$B$3:$B$502,0)),"No")&lt;&gt;"Yes"),"Yes","No"))</f>
        <v/>
      </c>
    </row>
    <row r="338" customFormat="false" ht="15" hidden="false" customHeight="false" outlineLevel="0" collapsed="false">
      <c r="A338" s="28"/>
      <c r="B338" s="27"/>
      <c r="C338" s="27"/>
      <c r="D338" s="27"/>
      <c r="E338" s="27"/>
      <c r="F338" s="27"/>
      <c r="G338" s="27"/>
      <c r="H338" s="27"/>
      <c r="I338" s="32" t="str">
        <f aca="false">IF(A338="","",IF(AND(H338="Positive",IFERROR(INDEX(Contacts!$K$3:$K$502,MATCH(C338,Contacts!$B$3:$B$502,0)),"No")&lt;&gt;"Yes"),"Yes","No"))</f>
        <v/>
      </c>
    </row>
    <row r="339" customFormat="false" ht="15" hidden="false" customHeight="false" outlineLevel="0" collapsed="false">
      <c r="A339" s="28"/>
      <c r="B339" s="27"/>
      <c r="C339" s="27"/>
      <c r="D339" s="27"/>
      <c r="E339" s="27"/>
      <c r="F339" s="27"/>
      <c r="G339" s="27"/>
      <c r="H339" s="27"/>
      <c r="I339" s="32" t="str">
        <f aca="false">IF(A339="","",IF(AND(H339="Positive",IFERROR(INDEX(Contacts!$K$3:$K$502,MATCH(C339,Contacts!$B$3:$B$502,0)),"No")&lt;&gt;"Yes"),"Yes","No"))</f>
        <v/>
      </c>
    </row>
    <row r="340" customFormat="false" ht="15" hidden="false" customHeight="false" outlineLevel="0" collapsed="false">
      <c r="A340" s="28"/>
      <c r="B340" s="27"/>
      <c r="C340" s="27"/>
      <c r="D340" s="27"/>
      <c r="E340" s="27"/>
      <c r="F340" s="27"/>
      <c r="G340" s="27"/>
      <c r="H340" s="27"/>
      <c r="I340" s="32" t="str">
        <f aca="false">IF(A340="","",IF(AND(H340="Positive",IFERROR(INDEX(Contacts!$K$3:$K$502,MATCH(C340,Contacts!$B$3:$B$502,0)),"No")&lt;&gt;"Yes"),"Yes","No"))</f>
        <v/>
      </c>
    </row>
    <row r="341" customFormat="false" ht="15" hidden="false" customHeight="false" outlineLevel="0" collapsed="false">
      <c r="A341" s="28"/>
      <c r="B341" s="27"/>
      <c r="C341" s="27"/>
      <c r="D341" s="27"/>
      <c r="E341" s="27"/>
      <c r="F341" s="27"/>
      <c r="G341" s="27"/>
      <c r="H341" s="27"/>
      <c r="I341" s="32" t="str">
        <f aca="false">IF(A341="","",IF(AND(H341="Positive",IFERROR(INDEX(Contacts!$K$3:$K$502,MATCH(C341,Contacts!$B$3:$B$502,0)),"No")&lt;&gt;"Yes"),"Yes","No"))</f>
        <v/>
      </c>
    </row>
    <row r="342" customFormat="false" ht="15" hidden="false" customHeight="false" outlineLevel="0" collapsed="false">
      <c r="A342" s="28"/>
      <c r="B342" s="27"/>
      <c r="C342" s="27"/>
      <c r="D342" s="27"/>
      <c r="E342" s="27"/>
      <c r="F342" s="27"/>
      <c r="G342" s="27"/>
      <c r="H342" s="27"/>
      <c r="I342" s="32" t="str">
        <f aca="false">IF(A342="","",IF(AND(H342="Positive",IFERROR(INDEX(Contacts!$K$3:$K$502,MATCH(C342,Contacts!$B$3:$B$502,0)),"No")&lt;&gt;"Yes"),"Yes","No"))</f>
        <v/>
      </c>
    </row>
    <row r="343" customFormat="false" ht="15" hidden="false" customHeight="false" outlineLevel="0" collapsed="false">
      <c r="A343" s="28"/>
      <c r="B343" s="27"/>
      <c r="C343" s="27"/>
      <c r="D343" s="27"/>
      <c r="E343" s="27"/>
      <c r="F343" s="27"/>
      <c r="G343" s="27"/>
      <c r="H343" s="27"/>
      <c r="I343" s="32" t="str">
        <f aca="false">IF(A343="","",IF(AND(H343="Positive",IFERROR(INDEX(Contacts!$K$3:$K$502,MATCH(C343,Contacts!$B$3:$B$502,0)),"No")&lt;&gt;"Yes"),"Yes","No"))</f>
        <v/>
      </c>
    </row>
    <row r="344" customFormat="false" ht="15" hidden="false" customHeight="false" outlineLevel="0" collapsed="false">
      <c r="A344" s="28"/>
      <c r="B344" s="27"/>
      <c r="C344" s="27"/>
      <c r="D344" s="27"/>
      <c r="E344" s="27"/>
      <c r="F344" s="27"/>
      <c r="G344" s="27"/>
      <c r="H344" s="27"/>
      <c r="I344" s="32" t="str">
        <f aca="false">IF(A344="","",IF(AND(H344="Positive",IFERROR(INDEX(Contacts!$K$3:$K$502,MATCH(C344,Contacts!$B$3:$B$502,0)),"No")&lt;&gt;"Yes"),"Yes","No"))</f>
        <v/>
      </c>
    </row>
    <row r="345" customFormat="false" ht="15" hidden="false" customHeight="false" outlineLevel="0" collapsed="false">
      <c r="A345" s="28"/>
      <c r="B345" s="27"/>
      <c r="C345" s="27"/>
      <c r="D345" s="27"/>
      <c r="E345" s="27"/>
      <c r="F345" s="27"/>
      <c r="G345" s="27"/>
      <c r="H345" s="27"/>
      <c r="I345" s="32" t="str">
        <f aca="false">IF(A345="","",IF(AND(H345="Positive",IFERROR(INDEX(Contacts!$K$3:$K$502,MATCH(C345,Contacts!$B$3:$B$502,0)),"No")&lt;&gt;"Yes"),"Yes","No"))</f>
        <v/>
      </c>
    </row>
    <row r="346" customFormat="false" ht="15" hidden="false" customHeight="false" outlineLevel="0" collapsed="false">
      <c r="A346" s="28"/>
      <c r="B346" s="27"/>
      <c r="C346" s="27"/>
      <c r="D346" s="27"/>
      <c r="E346" s="27"/>
      <c r="F346" s="27"/>
      <c r="G346" s="27"/>
      <c r="H346" s="27"/>
      <c r="I346" s="32" t="str">
        <f aca="false">IF(A346="","",IF(AND(H346="Positive",IFERROR(INDEX(Contacts!$K$3:$K$502,MATCH(C346,Contacts!$B$3:$B$502,0)),"No")&lt;&gt;"Yes"),"Yes","No"))</f>
        <v/>
      </c>
    </row>
    <row r="347" customFormat="false" ht="15" hidden="false" customHeight="false" outlineLevel="0" collapsed="false">
      <c r="A347" s="28"/>
      <c r="B347" s="27"/>
      <c r="C347" s="27"/>
      <c r="D347" s="27"/>
      <c r="E347" s="27"/>
      <c r="F347" s="27"/>
      <c r="G347" s="27"/>
      <c r="H347" s="27"/>
      <c r="I347" s="32" t="str">
        <f aca="false">IF(A347="","",IF(AND(H347="Positive",IFERROR(INDEX(Contacts!$K$3:$K$502,MATCH(C347,Contacts!$B$3:$B$502,0)),"No")&lt;&gt;"Yes"),"Yes","No"))</f>
        <v/>
      </c>
    </row>
    <row r="348" customFormat="false" ht="15" hidden="false" customHeight="false" outlineLevel="0" collapsed="false">
      <c r="A348" s="28"/>
      <c r="B348" s="27"/>
      <c r="C348" s="27"/>
      <c r="D348" s="27"/>
      <c r="E348" s="27"/>
      <c r="F348" s="27"/>
      <c r="G348" s="27"/>
      <c r="H348" s="27"/>
      <c r="I348" s="32" t="str">
        <f aca="false">IF(A348="","",IF(AND(H348="Positive",IFERROR(INDEX(Contacts!$K$3:$K$502,MATCH(C348,Contacts!$B$3:$B$502,0)),"No")&lt;&gt;"Yes"),"Yes","No"))</f>
        <v/>
      </c>
    </row>
    <row r="349" customFormat="false" ht="15" hidden="false" customHeight="false" outlineLevel="0" collapsed="false">
      <c r="A349" s="28"/>
      <c r="B349" s="27"/>
      <c r="C349" s="27"/>
      <c r="D349" s="27"/>
      <c r="E349" s="27"/>
      <c r="F349" s="27"/>
      <c r="G349" s="27"/>
      <c r="H349" s="27"/>
      <c r="I349" s="32" t="str">
        <f aca="false">IF(A349="","",IF(AND(H349="Positive",IFERROR(INDEX(Contacts!$K$3:$K$502,MATCH(C349,Contacts!$B$3:$B$502,0)),"No")&lt;&gt;"Yes"),"Yes","No"))</f>
        <v/>
      </c>
    </row>
    <row r="350" customFormat="false" ht="15" hidden="false" customHeight="false" outlineLevel="0" collapsed="false">
      <c r="A350" s="28"/>
      <c r="B350" s="27"/>
      <c r="C350" s="27"/>
      <c r="D350" s="27"/>
      <c r="E350" s="27"/>
      <c r="F350" s="27"/>
      <c r="G350" s="27"/>
      <c r="H350" s="27"/>
      <c r="I350" s="32" t="str">
        <f aca="false">IF(A350="","",IF(AND(H350="Positive",IFERROR(INDEX(Contacts!$K$3:$K$502,MATCH(C350,Contacts!$B$3:$B$502,0)),"No")&lt;&gt;"Yes"),"Yes","No"))</f>
        <v/>
      </c>
    </row>
    <row r="351" customFormat="false" ht="15" hidden="false" customHeight="false" outlineLevel="0" collapsed="false">
      <c r="A351" s="28"/>
      <c r="B351" s="27"/>
      <c r="C351" s="27"/>
      <c r="D351" s="27"/>
      <c r="E351" s="27"/>
      <c r="F351" s="27"/>
      <c r="G351" s="27"/>
      <c r="H351" s="27"/>
      <c r="I351" s="32" t="str">
        <f aca="false">IF(A351="","",IF(AND(H351="Positive",IFERROR(INDEX(Contacts!$K$3:$K$502,MATCH(C351,Contacts!$B$3:$B$502,0)),"No")&lt;&gt;"Yes"),"Yes","No"))</f>
        <v/>
      </c>
    </row>
    <row r="352" customFormat="false" ht="15" hidden="false" customHeight="false" outlineLevel="0" collapsed="false">
      <c r="A352" s="28"/>
      <c r="B352" s="27"/>
      <c r="C352" s="27"/>
      <c r="D352" s="27"/>
      <c r="E352" s="27"/>
      <c r="F352" s="27"/>
      <c r="G352" s="27"/>
      <c r="H352" s="27"/>
      <c r="I352" s="32" t="str">
        <f aca="false">IF(A352="","",IF(AND(H352="Positive",IFERROR(INDEX(Contacts!$K$3:$K$502,MATCH(C352,Contacts!$B$3:$B$502,0)),"No")&lt;&gt;"Yes"),"Yes","No"))</f>
        <v/>
      </c>
    </row>
    <row r="353" customFormat="false" ht="15" hidden="false" customHeight="false" outlineLevel="0" collapsed="false">
      <c r="A353" s="28"/>
      <c r="B353" s="27"/>
      <c r="C353" s="27"/>
      <c r="D353" s="27"/>
      <c r="E353" s="27"/>
      <c r="F353" s="27"/>
      <c r="G353" s="27"/>
      <c r="H353" s="27"/>
      <c r="I353" s="32" t="str">
        <f aca="false">IF(A353="","",IF(AND(H353="Positive",IFERROR(INDEX(Contacts!$K$3:$K$502,MATCH(C353,Contacts!$B$3:$B$502,0)),"No")&lt;&gt;"Yes"),"Yes","No"))</f>
        <v/>
      </c>
    </row>
    <row r="354" customFormat="false" ht="15" hidden="false" customHeight="false" outlineLevel="0" collapsed="false">
      <c r="A354" s="28"/>
      <c r="B354" s="27"/>
      <c r="C354" s="27"/>
      <c r="D354" s="27"/>
      <c r="E354" s="27"/>
      <c r="F354" s="27"/>
      <c r="G354" s="27"/>
      <c r="H354" s="27"/>
      <c r="I354" s="32" t="str">
        <f aca="false">IF(A354="","",IF(AND(H354="Positive",IFERROR(INDEX(Contacts!$K$3:$K$502,MATCH(C354,Contacts!$B$3:$B$502,0)),"No")&lt;&gt;"Yes"),"Yes","No"))</f>
        <v/>
      </c>
    </row>
    <row r="355" customFormat="false" ht="15" hidden="false" customHeight="false" outlineLevel="0" collapsed="false">
      <c r="A355" s="28"/>
      <c r="B355" s="27"/>
      <c r="C355" s="27"/>
      <c r="D355" s="27"/>
      <c r="E355" s="27"/>
      <c r="F355" s="27"/>
      <c r="G355" s="27"/>
      <c r="H355" s="27"/>
      <c r="I355" s="32" t="str">
        <f aca="false">IF(A355="","",IF(AND(H355="Positive",IFERROR(INDEX(Contacts!$K$3:$K$502,MATCH(C355,Contacts!$B$3:$B$502,0)),"No")&lt;&gt;"Yes"),"Yes","No"))</f>
        <v/>
      </c>
    </row>
    <row r="356" customFormat="false" ht="15" hidden="false" customHeight="false" outlineLevel="0" collapsed="false">
      <c r="A356" s="28"/>
      <c r="B356" s="27"/>
      <c r="C356" s="27"/>
      <c r="D356" s="27"/>
      <c r="E356" s="27"/>
      <c r="F356" s="27"/>
      <c r="G356" s="27"/>
      <c r="H356" s="27"/>
      <c r="I356" s="32" t="str">
        <f aca="false">IF(A356="","",IF(AND(H356="Positive",IFERROR(INDEX(Contacts!$K$3:$K$502,MATCH(C356,Contacts!$B$3:$B$502,0)),"No")&lt;&gt;"Yes"),"Yes","No"))</f>
        <v/>
      </c>
    </row>
    <row r="357" customFormat="false" ht="15" hidden="false" customHeight="false" outlineLevel="0" collapsed="false">
      <c r="A357" s="28"/>
      <c r="B357" s="27"/>
      <c r="C357" s="27"/>
      <c r="D357" s="27"/>
      <c r="E357" s="27"/>
      <c r="F357" s="27"/>
      <c r="G357" s="27"/>
      <c r="H357" s="27"/>
      <c r="I357" s="32" t="str">
        <f aca="false">IF(A357="","",IF(AND(H357="Positive",IFERROR(INDEX(Contacts!$K$3:$K$502,MATCH(C357,Contacts!$B$3:$B$502,0)),"No")&lt;&gt;"Yes"),"Yes","No"))</f>
        <v/>
      </c>
    </row>
    <row r="358" customFormat="false" ht="15" hidden="false" customHeight="false" outlineLevel="0" collapsed="false">
      <c r="A358" s="28"/>
      <c r="B358" s="27"/>
      <c r="C358" s="27"/>
      <c r="D358" s="27"/>
      <c r="E358" s="27"/>
      <c r="F358" s="27"/>
      <c r="G358" s="27"/>
      <c r="H358" s="27"/>
      <c r="I358" s="32" t="str">
        <f aca="false">IF(A358="","",IF(AND(H358="Positive",IFERROR(INDEX(Contacts!$K$3:$K$502,MATCH(C358,Contacts!$B$3:$B$502,0)),"No")&lt;&gt;"Yes"),"Yes","No"))</f>
        <v/>
      </c>
    </row>
    <row r="359" customFormat="false" ht="15" hidden="false" customHeight="false" outlineLevel="0" collapsed="false">
      <c r="A359" s="28"/>
      <c r="B359" s="27"/>
      <c r="C359" s="27"/>
      <c r="D359" s="27"/>
      <c r="E359" s="27"/>
      <c r="F359" s="27"/>
      <c r="G359" s="27"/>
      <c r="H359" s="27"/>
      <c r="I359" s="32" t="str">
        <f aca="false">IF(A359="","",IF(AND(H359="Positive",IFERROR(INDEX(Contacts!$K$3:$K$502,MATCH(C359,Contacts!$B$3:$B$502,0)),"No")&lt;&gt;"Yes"),"Yes","No"))</f>
        <v/>
      </c>
    </row>
    <row r="360" customFormat="false" ht="15" hidden="false" customHeight="false" outlineLevel="0" collapsed="false">
      <c r="A360" s="28"/>
      <c r="B360" s="27"/>
      <c r="C360" s="27"/>
      <c r="D360" s="27"/>
      <c r="E360" s="27"/>
      <c r="F360" s="27"/>
      <c r="G360" s="27"/>
      <c r="H360" s="27"/>
      <c r="I360" s="32" t="str">
        <f aca="false">IF(A360="","",IF(AND(H360="Positive",IFERROR(INDEX(Contacts!$K$3:$K$502,MATCH(C360,Contacts!$B$3:$B$502,0)),"No")&lt;&gt;"Yes"),"Yes","No"))</f>
        <v/>
      </c>
    </row>
    <row r="361" customFormat="false" ht="15" hidden="false" customHeight="false" outlineLevel="0" collapsed="false">
      <c r="A361" s="28"/>
      <c r="B361" s="27"/>
      <c r="C361" s="27"/>
      <c r="D361" s="27"/>
      <c r="E361" s="27"/>
      <c r="F361" s="27"/>
      <c r="G361" s="27"/>
      <c r="H361" s="27"/>
      <c r="I361" s="32" t="str">
        <f aca="false">IF(A361="","",IF(AND(H361="Positive",IFERROR(INDEX(Contacts!$K$3:$K$502,MATCH(C361,Contacts!$B$3:$B$502,0)),"No")&lt;&gt;"Yes"),"Yes","No"))</f>
        <v/>
      </c>
    </row>
    <row r="362" customFormat="false" ht="15" hidden="false" customHeight="false" outlineLevel="0" collapsed="false">
      <c r="A362" s="28"/>
      <c r="B362" s="27"/>
      <c r="C362" s="27"/>
      <c r="D362" s="27"/>
      <c r="E362" s="27"/>
      <c r="F362" s="27"/>
      <c r="G362" s="27"/>
      <c r="H362" s="27"/>
      <c r="I362" s="32" t="str">
        <f aca="false">IF(A362="","",IF(AND(H362="Positive",IFERROR(INDEX(Contacts!$K$3:$K$502,MATCH(C362,Contacts!$B$3:$B$502,0)),"No")&lt;&gt;"Yes"),"Yes","No"))</f>
        <v/>
      </c>
    </row>
    <row r="363" customFormat="false" ht="15" hidden="false" customHeight="false" outlineLevel="0" collapsed="false">
      <c r="A363" s="28"/>
      <c r="B363" s="27"/>
      <c r="C363" s="27"/>
      <c r="D363" s="27"/>
      <c r="E363" s="27"/>
      <c r="F363" s="27"/>
      <c r="G363" s="27"/>
      <c r="H363" s="27"/>
      <c r="I363" s="32" t="str">
        <f aca="false">IF(A363="","",IF(AND(H363="Positive",IFERROR(INDEX(Contacts!$K$3:$K$502,MATCH(C363,Contacts!$B$3:$B$502,0)),"No")&lt;&gt;"Yes"),"Yes","No"))</f>
        <v/>
      </c>
    </row>
    <row r="364" customFormat="false" ht="15" hidden="false" customHeight="false" outlineLevel="0" collapsed="false">
      <c r="A364" s="28"/>
      <c r="B364" s="27"/>
      <c r="C364" s="27"/>
      <c r="D364" s="27"/>
      <c r="E364" s="27"/>
      <c r="F364" s="27"/>
      <c r="G364" s="27"/>
      <c r="H364" s="27"/>
      <c r="I364" s="32" t="str">
        <f aca="false">IF(A364="","",IF(AND(H364="Positive",IFERROR(INDEX(Contacts!$K$3:$K$502,MATCH(C364,Contacts!$B$3:$B$502,0)),"No")&lt;&gt;"Yes"),"Yes","No"))</f>
        <v/>
      </c>
    </row>
    <row r="365" customFormat="false" ht="15" hidden="false" customHeight="false" outlineLevel="0" collapsed="false">
      <c r="A365" s="28"/>
      <c r="B365" s="27"/>
      <c r="C365" s="27"/>
      <c r="D365" s="27"/>
      <c r="E365" s="27"/>
      <c r="F365" s="27"/>
      <c r="G365" s="27"/>
      <c r="H365" s="27"/>
      <c r="I365" s="32" t="str">
        <f aca="false">IF(A365="","",IF(AND(H365="Positive",IFERROR(INDEX(Contacts!$K$3:$K$502,MATCH(C365,Contacts!$B$3:$B$502,0)),"No")&lt;&gt;"Yes"),"Yes","No"))</f>
        <v/>
      </c>
    </row>
    <row r="366" customFormat="false" ht="15" hidden="false" customHeight="false" outlineLevel="0" collapsed="false">
      <c r="A366" s="28"/>
      <c r="B366" s="27"/>
      <c r="C366" s="27"/>
      <c r="D366" s="27"/>
      <c r="E366" s="27"/>
      <c r="F366" s="27"/>
      <c r="G366" s="27"/>
      <c r="H366" s="27"/>
      <c r="I366" s="32" t="str">
        <f aca="false">IF(A366="","",IF(AND(H366="Positive",IFERROR(INDEX(Contacts!$K$3:$K$502,MATCH(C366,Contacts!$B$3:$B$502,0)),"No")&lt;&gt;"Yes"),"Yes","No"))</f>
        <v/>
      </c>
    </row>
    <row r="367" customFormat="false" ht="15" hidden="false" customHeight="false" outlineLevel="0" collapsed="false">
      <c r="A367" s="28"/>
      <c r="B367" s="27"/>
      <c r="C367" s="27"/>
      <c r="D367" s="27"/>
      <c r="E367" s="27"/>
      <c r="F367" s="27"/>
      <c r="G367" s="27"/>
      <c r="H367" s="27"/>
      <c r="I367" s="32" t="str">
        <f aca="false">IF(A367="","",IF(AND(H367="Positive",IFERROR(INDEX(Contacts!$K$3:$K$502,MATCH(C367,Contacts!$B$3:$B$502,0)),"No")&lt;&gt;"Yes"),"Yes","No"))</f>
        <v/>
      </c>
    </row>
    <row r="368" customFormat="false" ht="15" hidden="false" customHeight="false" outlineLevel="0" collapsed="false">
      <c r="A368" s="28"/>
      <c r="B368" s="27"/>
      <c r="C368" s="27"/>
      <c r="D368" s="27"/>
      <c r="E368" s="27"/>
      <c r="F368" s="27"/>
      <c r="G368" s="27"/>
      <c r="H368" s="27"/>
      <c r="I368" s="32" t="str">
        <f aca="false">IF(A368="","",IF(AND(H368="Positive",IFERROR(INDEX(Contacts!$K$3:$K$502,MATCH(C368,Contacts!$B$3:$B$502,0)),"No")&lt;&gt;"Yes"),"Yes","No"))</f>
        <v/>
      </c>
    </row>
    <row r="369" customFormat="false" ht="15" hidden="false" customHeight="false" outlineLevel="0" collapsed="false">
      <c r="A369" s="28"/>
      <c r="B369" s="27"/>
      <c r="C369" s="27"/>
      <c r="D369" s="27"/>
      <c r="E369" s="27"/>
      <c r="F369" s="27"/>
      <c r="G369" s="27"/>
      <c r="H369" s="27"/>
      <c r="I369" s="32" t="str">
        <f aca="false">IF(A369="","",IF(AND(H369="Positive",IFERROR(INDEX(Contacts!$K$3:$K$502,MATCH(C369,Contacts!$B$3:$B$502,0)),"No")&lt;&gt;"Yes"),"Yes","No"))</f>
        <v/>
      </c>
    </row>
    <row r="370" customFormat="false" ht="15" hidden="false" customHeight="false" outlineLevel="0" collapsed="false">
      <c r="A370" s="28"/>
      <c r="B370" s="27"/>
      <c r="C370" s="27"/>
      <c r="D370" s="27"/>
      <c r="E370" s="27"/>
      <c r="F370" s="27"/>
      <c r="G370" s="27"/>
      <c r="H370" s="27"/>
      <c r="I370" s="32" t="str">
        <f aca="false">IF(A370="","",IF(AND(H370="Positive",IFERROR(INDEX(Contacts!$K$3:$K$502,MATCH(C370,Contacts!$B$3:$B$502,0)),"No")&lt;&gt;"Yes"),"Yes","No"))</f>
        <v/>
      </c>
    </row>
    <row r="371" customFormat="false" ht="15" hidden="false" customHeight="false" outlineLevel="0" collapsed="false">
      <c r="A371" s="28"/>
      <c r="B371" s="27"/>
      <c r="C371" s="27"/>
      <c r="D371" s="27"/>
      <c r="E371" s="27"/>
      <c r="F371" s="27"/>
      <c r="G371" s="27"/>
      <c r="H371" s="27"/>
      <c r="I371" s="32" t="str">
        <f aca="false">IF(A371="","",IF(AND(H371="Positive",IFERROR(INDEX(Contacts!$K$3:$K$502,MATCH(C371,Contacts!$B$3:$B$502,0)),"No")&lt;&gt;"Yes"),"Yes","No"))</f>
        <v/>
      </c>
    </row>
    <row r="372" customFormat="false" ht="15" hidden="false" customHeight="false" outlineLevel="0" collapsed="false">
      <c r="A372" s="28"/>
      <c r="B372" s="27"/>
      <c r="C372" s="27"/>
      <c r="D372" s="27"/>
      <c r="E372" s="27"/>
      <c r="F372" s="27"/>
      <c r="G372" s="27"/>
      <c r="H372" s="27"/>
      <c r="I372" s="32" t="str">
        <f aca="false">IF(A372="","",IF(AND(H372="Positive",IFERROR(INDEX(Contacts!$K$3:$K$502,MATCH(C372,Contacts!$B$3:$B$502,0)),"No")&lt;&gt;"Yes"),"Yes","No"))</f>
        <v/>
      </c>
    </row>
    <row r="373" customFormat="false" ht="15" hidden="false" customHeight="false" outlineLevel="0" collapsed="false">
      <c r="A373" s="28"/>
      <c r="B373" s="27"/>
      <c r="C373" s="27"/>
      <c r="D373" s="27"/>
      <c r="E373" s="27"/>
      <c r="F373" s="27"/>
      <c r="G373" s="27"/>
      <c r="H373" s="27"/>
      <c r="I373" s="32" t="str">
        <f aca="false">IF(A373="","",IF(AND(H373="Positive",IFERROR(INDEX(Contacts!$K$3:$K$502,MATCH(C373,Contacts!$B$3:$B$502,0)),"No")&lt;&gt;"Yes"),"Yes","No"))</f>
        <v/>
      </c>
    </row>
    <row r="374" customFormat="false" ht="15" hidden="false" customHeight="false" outlineLevel="0" collapsed="false">
      <c r="A374" s="28"/>
      <c r="B374" s="27"/>
      <c r="C374" s="27"/>
      <c r="D374" s="27"/>
      <c r="E374" s="27"/>
      <c r="F374" s="27"/>
      <c r="G374" s="27"/>
      <c r="H374" s="27"/>
      <c r="I374" s="32" t="str">
        <f aca="false">IF(A374="","",IF(AND(H374="Positive",IFERROR(INDEX(Contacts!$K$3:$K$502,MATCH(C374,Contacts!$B$3:$B$502,0)),"No")&lt;&gt;"Yes"),"Yes","No"))</f>
        <v/>
      </c>
    </row>
    <row r="375" customFormat="false" ht="15" hidden="false" customHeight="false" outlineLevel="0" collapsed="false">
      <c r="A375" s="28"/>
      <c r="B375" s="27"/>
      <c r="C375" s="27"/>
      <c r="D375" s="27"/>
      <c r="E375" s="27"/>
      <c r="F375" s="27"/>
      <c r="G375" s="27"/>
      <c r="H375" s="27"/>
      <c r="I375" s="32" t="str">
        <f aca="false">IF(A375="","",IF(AND(H375="Positive",IFERROR(INDEX(Contacts!$K$3:$K$502,MATCH(C375,Contacts!$B$3:$B$502,0)),"No")&lt;&gt;"Yes"),"Yes","No"))</f>
        <v/>
      </c>
    </row>
    <row r="376" customFormat="false" ht="15" hidden="false" customHeight="false" outlineLevel="0" collapsed="false">
      <c r="A376" s="28"/>
      <c r="B376" s="27"/>
      <c r="C376" s="27"/>
      <c r="D376" s="27"/>
      <c r="E376" s="27"/>
      <c r="F376" s="27"/>
      <c r="G376" s="27"/>
      <c r="H376" s="27"/>
      <c r="I376" s="32" t="str">
        <f aca="false">IF(A376="","",IF(AND(H376="Positive",IFERROR(INDEX(Contacts!$K$3:$K$502,MATCH(C376,Contacts!$B$3:$B$502,0)),"No")&lt;&gt;"Yes"),"Yes","No"))</f>
        <v/>
      </c>
    </row>
    <row r="377" customFormat="false" ht="15" hidden="false" customHeight="false" outlineLevel="0" collapsed="false">
      <c r="A377" s="28"/>
      <c r="B377" s="27"/>
      <c r="C377" s="27"/>
      <c r="D377" s="27"/>
      <c r="E377" s="27"/>
      <c r="F377" s="27"/>
      <c r="G377" s="27"/>
      <c r="H377" s="27"/>
      <c r="I377" s="32" t="str">
        <f aca="false">IF(A377="","",IF(AND(H377="Positive",IFERROR(INDEX(Contacts!$K$3:$K$502,MATCH(C377,Contacts!$B$3:$B$502,0)),"No")&lt;&gt;"Yes"),"Yes","No"))</f>
        <v/>
      </c>
    </row>
    <row r="378" customFormat="false" ht="15" hidden="false" customHeight="false" outlineLevel="0" collapsed="false">
      <c r="A378" s="28"/>
      <c r="B378" s="27"/>
      <c r="C378" s="27"/>
      <c r="D378" s="27"/>
      <c r="E378" s="27"/>
      <c r="F378" s="27"/>
      <c r="G378" s="27"/>
      <c r="H378" s="27"/>
      <c r="I378" s="32" t="str">
        <f aca="false">IF(A378="","",IF(AND(H378="Positive",IFERROR(INDEX(Contacts!$K$3:$K$502,MATCH(C378,Contacts!$B$3:$B$502,0)),"No")&lt;&gt;"Yes"),"Yes","No"))</f>
        <v/>
      </c>
    </row>
    <row r="379" customFormat="false" ht="15" hidden="false" customHeight="false" outlineLevel="0" collapsed="false">
      <c r="A379" s="28"/>
      <c r="B379" s="27"/>
      <c r="C379" s="27"/>
      <c r="D379" s="27"/>
      <c r="E379" s="27"/>
      <c r="F379" s="27"/>
      <c r="G379" s="27"/>
      <c r="H379" s="27"/>
      <c r="I379" s="32" t="str">
        <f aca="false">IF(A379="","",IF(AND(H379="Positive",IFERROR(INDEX(Contacts!$K$3:$K$502,MATCH(C379,Contacts!$B$3:$B$502,0)),"No")&lt;&gt;"Yes"),"Yes","No"))</f>
        <v/>
      </c>
    </row>
    <row r="380" customFormat="false" ht="15" hidden="false" customHeight="false" outlineLevel="0" collapsed="false">
      <c r="A380" s="28"/>
      <c r="B380" s="27"/>
      <c r="C380" s="27"/>
      <c r="D380" s="27"/>
      <c r="E380" s="27"/>
      <c r="F380" s="27"/>
      <c r="G380" s="27"/>
      <c r="H380" s="27"/>
      <c r="I380" s="32" t="str">
        <f aca="false">IF(A380="","",IF(AND(H380="Positive",IFERROR(INDEX(Contacts!$K$3:$K$502,MATCH(C380,Contacts!$B$3:$B$502,0)),"No")&lt;&gt;"Yes"),"Yes","No"))</f>
        <v/>
      </c>
    </row>
    <row r="381" customFormat="false" ht="15" hidden="false" customHeight="false" outlineLevel="0" collapsed="false">
      <c r="A381" s="28"/>
      <c r="B381" s="27"/>
      <c r="C381" s="27"/>
      <c r="D381" s="27"/>
      <c r="E381" s="27"/>
      <c r="F381" s="27"/>
      <c r="G381" s="27"/>
      <c r="H381" s="27"/>
      <c r="I381" s="32" t="str">
        <f aca="false">IF(A381="","",IF(AND(H381="Positive",IFERROR(INDEX(Contacts!$K$3:$K$502,MATCH(C381,Contacts!$B$3:$B$502,0)),"No")&lt;&gt;"Yes"),"Yes","No"))</f>
        <v/>
      </c>
    </row>
    <row r="382" customFormat="false" ht="15" hidden="false" customHeight="false" outlineLevel="0" collapsed="false">
      <c r="A382" s="28"/>
      <c r="B382" s="27"/>
      <c r="C382" s="27"/>
      <c r="D382" s="27"/>
      <c r="E382" s="27"/>
      <c r="F382" s="27"/>
      <c r="G382" s="27"/>
      <c r="H382" s="27"/>
      <c r="I382" s="32" t="str">
        <f aca="false">IF(A382="","",IF(AND(H382="Positive",IFERROR(INDEX(Contacts!$K$3:$K$502,MATCH(C382,Contacts!$B$3:$B$502,0)),"No")&lt;&gt;"Yes"),"Yes","No"))</f>
        <v/>
      </c>
    </row>
    <row r="383" customFormat="false" ht="15" hidden="false" customHeight="false" outlineLevel="0" collapsed="false">
      <c r="A383" s="28"/>
      <c r="B383" s="27"/>
      <c r="C383" s="27"/>
      <c r="D383" s="27"/>
      <c r="E383" s="27"/>
      <c r="F383" s="27"/>
      <c r="G383" s="27"/>
      <c r="H383" s="27"/>
      <c r="I383" s="32" t="str">
        <f aca="false">IF(A383="","",IF(AND(H383="Positive",IFERROR(INDEX(Contacts!$K$3:$K$502,MATCH(C383,Contacts!$B$3:$B$502,0)),"No")&lt;&gt;"Yes"),"Yes","No"))</f>
        <v/>
      </c>
    </row>
    <row r="384" customFormat="false" ht="15" hidden="false" customHeight="false" outlineLevel="0" collapsed="false">
      <c r="A384" s="28"/>
      <c r="B384" s="27"/>
      <c r="C384" s="27"/>
      <c r="D384" s="27"/>
      <c r="E384" s="27"/>
      <c r="F384" s="27"/>
      <c r="G384" s="27"/>
      <c r="H384" s="27"/>
      <c r="I384" s="32" t="str">
        <f aca="false">IF(A384="","",IF(AND(H384="Positive",IFERROR(INDEX(Contacts!$K$3:$K$502,MATCH(C384,Contacts!$B$3:$B$502,0)),"No")&lt;&gt;"Yes"),"Yes","No"))</f>
        <v/>
      </c>
    </row>
    <row r="385" customFormat="false" ht="15" hidden="false" customHeight="false" outlineLevel="0" collapsed="false">
      <c r="A385" s="28"/>
      <c r="B385" s="27"/>
      <c r="C385" s="27"/>
      <c r="D385" s="27"/>
      <c r="E385" s="27"/>
      <c r="F385" s="27"/>
      <c r="G385" s="27"/>
      <c r="H385" s="27"/>
      <c r="I385" s="32" t="str">
        <f aca="false">IF(A385="","",IF(AND(H385="Positive",IFERROR(INDEX(Contacts!$K$3:$K$502,MATCH(C385,Contacts!$B$3:$B$502,0)),"No")&lt;&gt;"Yes"),"Yes","No"))</f>
        <v/>
      </c>
    </row>
    <row r="386" customFormat="false" ht="15" hidden="false" customHeight="false" outlineLevel="0" collapsed="false">
      <c r="A386" s="28"/>
      <c r="B386" s="27"/>
      <c r="C386" s="27"/>
      <c r="D386" s="27"/>
      <c r="E386" s="27"/>
      <c r="F386" s="27"/>
      <c r="G386" s="27"/>
      <c r="H386" s="27"/>
      <c r="I386" s="32" t="str">
        <f aca="false">IF(A386="","",IF(AND(H386="Positive",IFERROR(INDEX(Contacts!$K$3:$K$502,MATCH(C386,Contacts!$B$3:$B$502,0)),"No")&lt;&gt;"Yes"),"Yes","No"))</f>
        <v/>
      </c>
    </row>
    <row r="387" customFormat="false" ht="15" hidden="false" customHeight="false" outlineLevel="0" collapsed="false">
      <c r="A387" s="28"/>
      <c r="B387" s="27"/>
      <c r="C387" s="27"/>
      <c r="D387" s="27"/>
      <c r="E387" s="27"/>
      <c r="F387" s="27"/>
      <c r="G387" s="27"/>
      <c r="H387" s="27"/>
      <c r="I387" s="32" t="str">
        <f aca="false">IF(A387="","",IF(AND(H387="Positive",IFERROR(INDEX(Contacts!$K$3:$K$502,MATCH(C387,Contacts!$B$3:$B$502,0)),"No")&lt;&gt;"Yes"),"Yes","No"))</f>
        <v/>
      </c>
    </row>
    <row r="388" customFormat="false" ht="15" hidden="false" customHeight="false" outlineLevel="0" collapsed="false">
      <c r="A388" s="28"/>
      <c r="B388" s="27"/>
      <c r="C388" s="27"/>
      <c r="D388" s="27"/>
      <c r="E388" s="27"/>
      <c r="F388" s="27"/>
      <c r="G388" s="27"/>
      <c r="H388" s="27"/>
      <c r="I388" s="32" t="str">
        <f aca="false">IF(A388="","",IF(AND(H388="Positive",IFERROR(INDEX(Contacts!$K$3:$K$502,MATCH(C388,Contacts!$B$3:$B$502,0)),"No")&lt;&gt;"Yes"),"Yes","No"))</f>
        <v/>
      </c>
    </row>
    <row r="389" customFormat="false" ht="15" hidden="false" customHeight="false" outlineLevel="0" collapsed="false">
      <c r="A389" s="28"/>
      <c r="B389" s="27"/>
      <c r="C389" s="27"/>
      <c r="D389" s="27"/>
      <c r="E389" s="27"/>
      <c r="F389" s="27"/>
      <c r="G389" s="27"/>
      <c r="H389" s="27"/>
      <c r="I389" s="32" t="str">
        <f aca="false">IF(A389="","",IF(AND(H389="Positive",IFERROR(INDEX(Contacts!$K$3:$K$502,MATCH(C389,Contacts!$B$3:$B$502,0)),"No")&lt;&gt;"Yes"),"Yes","No"))</f>
        <v/>
      </c>
    </row>
    <row r="390" customFormat="false" ht="15" hidden="false" customHeight="false" outlineLevel="0" collapsed="false">
      <c r="A390" s="28"/>
      <c r="B390" s="27"/>
      <c r="C390" s="27"/>
      <c r="D390" s="27"/>
      <c r="E390" s="27"/>
      <c r="F390" s="27"/>
      <c r="G390" s="27"/>
      <c r="H390" s="27"/>
      <c r="I390" s="32" t="str">
        <f aca="false">IF(A390="","",IF(AND(H390="Positive",IFERROR(INDEX(Contacts!$K$3:$K$502,MATCH(C390,Contacts!$B$3:$B$502,0)),"No")&lt;&gt;"Yes"),"Yes","No"))</f>
        <v/>
      </c>
    </row>
    <row r="391" customFormat="false" ht="15" hidden="false" customHeight="false" outlineLevel="0" collapsed="false">
      <c r="A391" s="28"/>
      <c r="B391" s="27"/>
      <c r="C391" s="27"/>
      <c r="D391" s="27"/>
      <c r="E391" s="27"/>
      <c r="F391" s="27"/>
      <c r="G391" s="27"/>
      <c r="H391" s="27"/>
      <c r="I391" s="32" t="str">
        <f aca="false">IF(A391="","",IF(AND(H391="Positive",IFERROR(INDEX(Contacts!$K$3:$K$502,MATCH(C391,Contacts!$B$3:$B$502,0)),"No")&lt;&gt;"Yes"),"Yes","No"))</f>
        <v/>
      </c>
    </row>
    <row r="392" customFormat="false" ht="15" hidden="false" customHeight="false" outlineLevel="0" collapsed="false">
      <c r="A392" s="28"/>
      <c r="B392" s="27"/>
      <c r="C392" s="27"/>
      <c r="D392" s="27"/>
      <c r="E392" s="27"/>
      <c r="F392" s="27"/>
      <c r="G392" s="27"/>
      <c r="H392" s="27"/>
      <c r="I392" s="32" t="str">
        <f aca="false">IF(A392="","",IF(AND(H392="Positive",IFERROR(INDEX(Contacts!$K$3:$K$502,MATCH(C392,Contacts!$B$3:$B$502,0)),"No")&lt;&gt;"Yes"),"Yes","No"))</f>
        <v/>
      </c>
    </row>
    <row r="393" customFormat="false" ht="15" hidden="false" customHeight="false" outlineLevel="0" collapsed="false">
      <c r="A393" s="28"/>
      <c r="B393" s="27"/>
      <c r="C393" s="27"/>
      <c r="D393" s="27"/>
      <c r="E393" s="27"/>
      <c r="F393" s="27"/>
      <c r="G393" s="27"/>
      <c r="H393" s="27"/>
      <c r="I393" s="32" t="str">
        <f aca="false">IF(A393="","",IF(AND(H393="Positive",IFERROR(INDEX(Contacts!$K$3:$K$502,MATCH(C393,Contacts!$B$3:$B$502,0)),"No")&lt;&gt;"Yes"),"Yes","No"))</f>
        <v/>
      </c>
    </row>
    <row r="394" customFormat="false" ht="15" hidden="false" customHeight="false" outlineLevel="0" collapsed="false">
      <c r="A394" s="28"/>
      <c r="B394" s="27"/>
      <c r="C394" s="27"/>
      <c r="D394" s="27"/>
      <c r="E394" s="27"/>
      <c r="F394" s="27"/>
      <c r="G394" s="27"/>
      <c r="H394" s="27"/>
      <c r="I394" s="32" t="str">
        <f aca="false">IF(A394="","",IF(AND(H394="Positive",IFERROR(INDEX(Contacts!$K$3:$K$502,MATCH(C394,Contacts!$B$3:$B$502,0)),"No")&lt;&gt;"Yes"),"Yes","No"))</f>
        <v/>
      </c>
    </row>
    <row r="395" customFormat="false" ht="15" hidden="false" customHeight="false" outlineLevel="0" collapsed="false">
      <c r="A395" s="28"/>
      <c r="B395" s="27"/>
      <c r="C395" s="27"/>
      <c r="D395" s="27"/>
      <c r="E395" s="27"/>
      <c r="F395" s="27"/>
      <c r="G395" s="27"/>
      <c r="H395" s="27"/>
      <c r="I395" s="32" t="str">
        <f aca="false">IF(A395="","",IF(AND(H395="Positive",IFERROR(INDEX(Contacts!$K$3:$K$502,MATCH(C395,Contacts!$B$3:$B$502,0)),"No")&lt;&gt;"Yes"),"Yes","No"))</f>
        <v/>
      </c>
    </row>
    <row r="396" customFormat="false" ht="15" hidden="false" customHeight="false" outlineLevel="0" collapsed="false">
      <c r="A396" s="28"/>
      <c r="B396" s="27"/>
      <c r="C396" s="27"/>
      <c r="D396" s="27"/>
      <c r="E396" s="27"/>
      <c r="F396" s="27"/>
      <c r="G396" s="27"/>
      <c r="H396" s="27"/>
      <c r="I396" s="32" t="str">
        <f aca="false">IF(A396="","",IF(AND(H396="Positive",IFERROR(INDEX(Contacts!$K$3:$K$502,MATCH(C396,Contacts!$B$3:$B$502,0)),"No")&lt;&gt;"Yes"),"Yes","No"))</f>
        <v/>
      </c>
    </row>
    <row r="397" customFormat="false" ht="15" hidden="false" customHeight="false" outlineLevel="0" collapsed="false">
      <c r="A397" s="28"/>
      <c r="B397" s="27"/>
      <c r="C397" s="27"/>
      <c r="D397" s="27"/>
      <c r="E397" s="27"/>
      <c r="F397" s="27"/>
      <c r="G397" s="27"/>
      <c r="H397" s="27"/>
      <c r="I397" s="32" t="str">
        <f aca="false">IF(A397="","",IF(AND(H397="Positive",IFERROR(INDEX(Contacts!$K$3:$K$502,MATCH(C397,Contacts!$B$3:$B$502,0)),"No")&lt;&gt;"Yes"),"Yes","No"))</f>
        <v/>
      </c>
    </row>
    <row r="398" customFormat="false" ht="15" hidden="false" customHeight="false" outlineLevel="0" collapsed="false">
      <c r="A398" s="28"/>
      <c r="B398" s="27"/>
      <c r="C398" s="27"/>
      <c r="D398" s="27"/>
      <c r="E398" s="27"/>
      <c r="F398" s="27"/>
      <c r="G398" s="27"/>
      <c r="H398" s="27"/>
      <c r="I398" s="32" t="str">
        <f aca="false">IF(A398="","",IF(AND(H398="Positive",IFERROR(INDEX(Contacts!$K$3:$K$502,MATCH(C398,Contacts!$B$3:$B$502,0)),"No")&lt;&gt;"Yes"),"Yes","No"))</f>
        <v/>
      </c>
    </row>
    <row r="399" customFormat="false" ht="15" hidden="false" customHeight="false" outlineLevel="0" collapsed="false">
      <c r="A399" s="28"/>
      <c r="B399" s="27"/>
      <c r="C399" s="27"/>
      <c r="D399" s="27"/>
      <c r="E399" s="27"/>
      <c r="F399" s="27"/>
      <c r="G399" s="27"/>
      <c r="H399" s="27"/>
      <c r="I399" s="32" t="str">
        <f aca="false">IF(A399="","",IF(AND(H399="Positive",IFERROR(INDEX(Contacts!$K$3:$K$502,MATCH(C399,Contacts!$B$3:$B$502,0)),"No")&lt;&gt;"Yes"),"Yes","No"))</f>
        <v/>
      </c>
    </row>
    <row r="400" customFormat="false" ht="15" hidden="false" customHeight="false" outlineLevel="0" collapsed="false">
      <c r="A400" s="28"/>
      <c r="B400" s="27"/>
      <c r="C400" s="27"/>
      <c r="D400" s="27"/>
      <c r="E400" s="27"/>
      <c r="F400" s="27"/>
      <c r="G400" s="27"/>
      <c r="H400" s="27"/>
      <c r="I400" s="32" t="str">
        <f aca="false">IF(A400="","",IF(AND(H400="Positive",IFERROR(INDEX(Contacts!$K$3:$K$502,MATCH(C400,Contacts!$B$3:$B$502,0)),"No")&lt;&gt;"Yes"),"Yes","No"))</f>
        <v/>
      </c>
    </row>
    <row r="401" customFormat="false" ht="15" hidden="false" customHeight="false" outlineLevel="0" collapsed="false">
      <c r="A401" s="28"/>
      <c r="B401" s="27"/>
      <c r="C401" s="27"/>
      <c r="D401" s="27"/>
      <c r="E401" s="27"/>
      <c r="F401" s="27"/>
      <c r="G401" s="27"/>
      <c r="H401" s="27"/>
      <c r="I401" s="32" t="str">
        <f aca="false">IF(A401="","",IF(AND(H401="Positive",IFERROR(INDEX(Contacts!$K$3:$K$502,MATCH(C401,Contacts!$B$3:$B$502,0)),"No")&lt;&gt;"Yes"),"Yes","No"))</f>
        <v/>
      </c>
    </row>
    <row r="402" customFormat="false" ht="15" hidden="false" customHeight="false" outlineLevel="0" collapsed="false">
      <c r="A402" s="28"/>
      <c r="B402" s="27"/>
      <c r="C402" s="27"/>
      <c r="D402" s="27"/>
      <c r="E402" s="27"/>
      <c r="F402" s="27"/>
      <c r="G402" s="27"/>
      <c r="H402" s="27"/>
      <c r="I402" s="32" t="str">
        <f aca="false">IF(A402="","",IF(AND(H402="Positive",IFERROR(INDEX(Contacts!$K$3:$K$502,MATCH(C402,Contacts!$B$3:$B$502,0)),"No")&lt;&gt;"Yes"),"Yes","No"))</f>
        <v/>
      </c>
    </row>
    <row r="403" customFormat="false" ht="15" hidden="false" customHeight="false" outlineLevel="0" collapsed="false">
      <c r="A403" s="28"/>
      <c r="B403" s="27"/>
      <c r="C403" s="27"/>
      <c r="D403" s="27"/>
      <c r="E403" s="27"/>
      <c r="F403" s="27"/>
      <c r="G403" s="27"/>
      <c r="H403" s="27"/>
      <c r="I403" s="32" t="str">
        <f aca="false">IF(A403="","",IF(AND(H403="Positive",IFERROR(INDEX(Contacts!$K$3:$K$502,MATCH(C403,Contacts!$B$3:$B$502,0)),"No")&lt;&gt;"Yes"),"Yes","No"))</f>
        <v/>
      </c>
    </row>
    <row r="404" customFormat="false" ht="15" hidden="false" customHeight="false" outlineLevel="0" collapsed="false">
      <c r="A404" s="28"/>
      <c r="B404" s="27"/>
      <c r="C404" s="27"/>
      <c r="D404" s="27"/>
      <c r="E404" s="27"/>
      <c r="F404" s="27"/>
      <c r="G404" s="27"/>
      <c r="H404" s="27"/>
      <c r="I404" s="32" t="str">
        <f aca="false">IF(A404="","",IF(AND(H404="Positive",IFERROR(INDEX(Contacts!$K$3:$K$502,MATCH(C404,Contacts!$B$3:$B$502,0)),"No")&lt;&gt;"Yes"),"Yes","No"))</f>
        <v/>
      </c>
    </row>
    <row r="405" customFormat="false" ht="15" hidden="false" customHeight="false" outlineLevel="0" collapsed="false">
      <c r="A405" s="28"/>
      <c r="B405" s="27"/>
      <c r="C405" s="27"/>
      <c r="D405" s="27"/>
      <c r="E405" s="27"/>
      <c r="F405" s="27"/>
      <c r="G405" s="27"/>
      <c r="H405" s="27"/>
      <c r="I405" s="32" t="str">
        <f aca="false">IF(A405="","",IF(AND(H405="Positive",IFERROR(INDEX(Contacts!$K$3:$K$502,MATCH(C405,Contacts!$B$3:$B$502,0)),"No")&lt;&gt;"Yes"),"Yes","No"))</f>
        <v/>
      </c>
    </row>
    <row r="406" customFormat="false" ht="15" hidden="false" customHeight="false" outlineLevel="0" collapsed="false">
      <c r="A406" s="28"/>
      <c r="B406" s="27"/>
      <c r="C406" s="27"/>
      <c r="D406" s="27"/>
      <c r="E406" s="27"/>
      <c r="F406" s="27"/>
      <c r="G406" s="27"/>
      <c r="H406" s="27"/>
      <c r="I406" s="32" t="str">
        <f aca="false">IF(A406="","",IF(AND(H406="Positive",IFERROR(INDEX(Contacts!$K$3:$K$502,MATCH(C406,Contacts!$B$3:$B$502,0)),"No")&lt;&gt;"Yes"),"Yes","No"))</f>
        <v/>
      </c>
    </row>
    <row r="407" customFormat="false" ht="15" hidden="false" customHeight="false" outlineLevel="0" collapsed="false">
      <c r="A407" s="28"/>
      <c r="B407" s="27"/>
      <c r="C407" s="27"/>
      <c r="D407" s="27"/>
      <c r="E407" s="27"/>
      <c r="F407" s="27"/>
      <c r="G407" s="27"/>
      <c r="H407" s="27"/>
      <c r="I407" s="32" t="str">
        <f aca="false">IF(A407="","",IF(AND(H407="Positive",IFERROR(INDEX(Contacts!$K$3:$K$502,MATCH(C407,Contacts!$B$3:$B$502,0)),"No")&lt;&gt;"Yes"),"Yes","No"))</f>
        <v/>
      </c>
    </row>
    <row r="408" customFormat="false" ht="15" hidden="false" customHeight="false" outlineLevel="0" collapsed="false">
      <c r="A408" s="28"/>
      <c r="B408" s="27"/>
      <c r="C408" s="27"/>
      <c r="D408" s="27"/>
      <c r="E408" s="27"/>
      <c r="F408" s="27"/>
      <c r="G408" s="27"/>
      <c r="H408" s="27"/>
      <c r="I408" s="32" t="str">
        <f aca="false">IF(A408="","",IF(AND(H408="Positive",IFERROR(INDEX(Contacts!$K$3:$K$502,MATCH(C408,Contacts!$B$3:$B$502,0)),"No")&lt;&gt;"Yes"),"Yes","No"))</f>
        <v/>
      </c>
    </row>
    <row r="409" customFormat="false" ht="15" hidden="false" customHeight="false" outlineLevel="0" collapsed="false">
      <c r="A409" s="28"/>
      <c r="B409" s="27"/>
      <c r="C409" s="27"/>
      <c r="D409" s="27"/>
      <c r="E409" s="27"/>
      <c r="F409" s="27"/>
      <c r="G409" s="27"/>
      <c r="H409" s="27"/>
      <c r="I409" s="32" t="str">
        <f aca="false">IF(A409="","",IF(AND(H409="Positive",IFERROR(INDEX(Contacts!$K$3:$K$502,MATCH(C409,Contacts!$B$3:$B$502,0)),"No")&lt;&gt;"Yes"),"Yes","No"))</f>
        <v/>
      </c>
    </row>
    <row r="410" customFormat="false" ht="15" hidden="false" customHeight="false" outlineLevel="0" collapsed="false">
      <c r="A410" s="28"/>
      <c r="B410" s="27"/>
      <c r="C410" s="27"/>
      <c r="D410" s="27"/>
      <c r="E410" s="27"/>
      <c r="F410" s="27"/>
      <c r="G410" s="27"/>
      <c r="H410" s="27"/>
      <c r="I410" s="32" t="str">
        <f aca="false">IF(A410="","",IF(AND(H410="Positive",IFERROR(INDEX(Contacts!$K$3:$K$502,MATCH(C410,Contacts!$B$3:$B$502,0)),"No")&lt;&gt;"Yes"),"Yes","No"))</f>
        <v/>
      </c>
    </row>
    <row r="411" customFormat="false" ht="15" hidden="false" customHeight="false" outlineLevel="0" collapsed="false">
      <c r="A411" s="28"/>
      <c r="B411" s="27"/>
      <c r="C411" s="27"/>
      <c r="D411" s="27"/>
      <c r="E411" s="27"/>
      <c r="F411" s="27"/>
      <c r="G411" s="27"/>
      <c r="H411" s="27"/>
      <c r="I411" s="32" t="str">
        <f aca="false">IF(A411="","",IF(AND(H411="Positive",IFERROR(INDEX(Contacts!$K$3:$K$502,MATCH(C411,Contacts!$B$3:$B$502,0)),"No")&lt;&gt;"Yes"),"Yes","No"))</f>
        <v/>
      </c>
    </row>
    <row r="412" customFormat="false" ht="15" hidden="false" customHeight="false" outlineLevel="0" collapsed="false">
      <c r="A412" s="28"/>
      <c r="B412" s="27"/>
      <c r="C412" s="27"/>
      <c r="D412" s="27"/>
      <c r="E412" s="27"/>
      <c r="F412" s="27"/>
      <c r="G412" s="27"/>
      <c r="H412" s="27"/>
      <c r="I412" s="32" t="str">
        <f aca="false">IF(A412="","",IF(AND(H412="Positive",IFERROR(INDEX(Contacts!$K$3:$K$502,MATCH(C412,Contacts!$B$3:$B$502,0)),"No")&lt;&gt;"Yes"),"Yes","No"))</f>
        <v/>
      </c>
    </row>
    <row r="413" customFormat="false" ht="15" hidden="false" customHeight="false" outlineLevel="0" collapsed="false">
      <c r="A413" s="28"/>
      <c r="B413" s="27"/>
      <c r="C413" s="27"/>
      <c r="D413" s="27"/>
      <c r="E413" s="27"/>
      <c r="F413" s="27"/>
      <c r="G413" s="27"/>
      <c r="H413" s="27"/>
      <c r="I413" s="32" t="str">
        <f aca="false">IF(A413="","",IF(AND(H413="Positive",IFERROR(INDEX(Contacts!$K$3:$K$502,MATCH(C413,Contacts!$B$3:$B$502,0)),"No")&lt;&gt;"Yes"),"Yes","No"))</f>
        <v/>
      </c>
    </row>
    <row r="414" customFormat="false" ht="15" hidden="false" customHeight="false" outlineLevel="0" collapsed="false">
      <c r="A414" s="28"/>
      <c r="B414" s="27"/>
      <c r="C414" s="27"/>
      <c r="D414" s="27"/>
      <c r="E414" s="27"/>
      <c r="F414" s="27"/>
      <c r="G414" s="27"/>
      <c r="H414" s="27"/>
      <c r="I414" s="32" t="str">
        <f aca="false">IF(A414="","",IF(AND(H414="Positive",IFERROR(INDEX(Contacts!$K$3:$K$502,MATCH(C414,Contacts!$B$3:$B$502,0)),"No")&lt;&gt;"Yes"),"Yes","No"))</f>
        <v/>
      </c>
    </row>
    <row r="415" customFormat="false" ht="15" hidden="false" customHeight="false" outlineLevel="0" collapsed="false">
      <c r="A415" s="28"/>
      <c r="B415" s="27"/>
      <c r="C415" s="27"/>
      <c r="D415" s="27"/>
      <c r="E415" s="27"/>
      <c r="F415" s="27"/>
      <c r="G415" s="27"/>
      <c r="H415" s="27"/>
      <c r="I415" s="32" t="str">
        <f aca="false">IF(A415="","",IF(AND(H415="Positive",IFERROR(INDEX(Contacts!$K$3:$K$502,MATCH(C415,Contacts!$B$3:$B$502,0)),"No")&lt;&gt;"Yes"),"Yes","No"))</f>
        <v/>
      </c>
    </row>
    <row r="416" customFormat="false" ht="15" hidden="false" customHeight="false" outlineLevel="0" collapsed="false">
      <c r="A416" s="28"/>
      <c r="B416" s="27"/>
      <c r="C416" s="27"/>
      <c r="D416" s="27"/>
      <c r="E416" s="27"/>
      <c r="F416" s="27"/>
      <c r="G416" s="27"/>
      <c r="H416" s="27"/>
      <c r="I416" s="32" t="str">
        <f aca="false">IF(A416="","",IF(AND(H416="Positive",IFERROR(INDEX(Contacts!$K$3:$K$502,MATCH(C416,Contacts!$B$3:$B$502,0)),"No")&lt;&gt;"Yes"),"Yes","No"))</f>
        <v/>
      </c>
    </row>
    <row r="417" customFormat="false" ht="15" hidden="false" customHeight="false" outlineLevel="0" collapsed="false">
      <c r="A417" s="28"/>
      <c r="B417" s="27"/>
      <c r="C417" s="27"/>
      <c r="D417" s="27"/>
      <c r="E417" s="27"/>
      <c r="F417" s="27"/>
      <c r="G417" s="27"/>
      <c r="H417" s="27"/>
      <c r="I417" s="32" t="str">
        <f aca="false">IF(A417="","",IF(AND(H417="Positive",IFERROR(INDEX(Contacts!$K$3:$K$502,MATCH(C417,Contacts!$B$3:$B$502,0)),"No")&lt;&gt;"Yes"),"Yes","No"))</f>
        <v/>
      </c>
    </row>
    <row r="418" customFormat="false" ht="15" hidden="false" customHeight="false" outlineLevel="0" collapsed="false">
      <c r="A418" s="28"/>
      <c r="B418" s="27"/>
      <c r="C418" s="27"/>
      <c r="D418" s="27"/>
      <c r="E418" s="27"/>
      <c r="F418" s="27"/>
      <c r="G418" s="27"/>
      <c r="H418" s="27"/>
      <c r="I418" s="32" t="str">
        <f aca="false">IF(A418="","",IF(AND(H418="Positive",IFERROR(INDEX(Contacts!$K$3:$K$502,MATCH(C418,Contacts!$B$3:$B$502,0)),"No")&lt;&gt;"Yes"),"Yes","No"))</f>
        <v/>
      </c>
    </row>
    <row r="419" customFormat="false" ht="15" hidden="false" customHeight="false" outlineLevel="0" collapsed="false">
      <c r="A419" s="28"/>
      <c r="B419" s="27"/>
      <c r="C419" s="27"/>
      <c r="D419" s="27"/>
      <c r="E419" s="27"/>
      <c r="F419" s="27"/>
      <c r="G419" s="27"/>
      <c r="H419" s="27"/>
      <c r="I419" s="32" t="str">
        <f aca="false">IF(A419="","",IF(AND(H419="Positive",IFERROR(INDEX(Contacts!$K$3:$K$502,MATCH(C419,Contacts!$B$3:$B$502,0)),"No")&lt;&gt;"Yes"),"Yes","No"))</f>
        <v/>
      </c>
    </row>
    <row r="420" customFormat="false" ht="15" hidden="false" customHeight="false" outlineLevel="0" collapsed="false">
      <c r="A420" s="28"/>
      <c r="B420" s="27"/>
      <c r="C420" s="27"/>
      <c r="D420" s="27"/>
      <c r="E420" s="27"/>
      <c r="F420" s="27"/>
      <c r="G420" s="27"/>
      <c r="H420" s="27"/>
      <c r="I420" s="32" t="str">
        <f aca="false">IF(A420="","",IF(AND(H420="Positive",IFERROR(INDEX(Contacts!$K$3:$K$502,MATCH(C420,Contacts!$B$3:$B$502,0)),"No")&lt;&gt;"Yes"),"Yes","No"))</f>
        <v/>
      </c>
    </row>
    <row r="421" customFormat="false" ht="15" hidden="false" customHeight="false" outlineLevel="0" collapsed="false">
      <c r="A421" s="28"/>
      <c r="B421" s="27"/>
      <c r="C421" s="27"/>
      <c r="D421" s="27"/>
      <c r="E421" s="27"/>
      <c r="F421" s="27"/>
      <c r="G421" s="27"/>
      <c r="H421" s="27"/>
      <c r="I421" s="32" t="str">
        <f aca="false">IF(A421="","",IF(AND(H421="Positive",IFERROR(INDEX(Contacts!$K$3:$K$502,MATCH(C421,Contacts!$B$3:$B$502,0)),"No")&lt;&gt;"Yes"),"Yes","No"))</f>
        <v/>
      </c>
    </row>
    <row r="422" customFormat="false" ht="15" hidden="false" customHeight="false" outlineLevel="0" collapsed="false">
      <c r="A422" s="28"/>
      <c r="B422" s="27"/>
      <c r="C422" s="27"/>
      <c r="D422" s="27"/>
      <c r="E422" s="27"/>
      <c r="F422" s="27"/>
      <c r="G422" s="27"/>
      <c r="H422" s="27"/>
      <c r="I422" s="32" t="str">
        <f aca="false">IF(A422="","",IF(AND(H422="Positive",IFERROR(INDEX(Contacts!$K$3:$K$502,MATCH(C422,Contacts!$B$3:$B$502,0)),"No")&lt;&gt;"Yes"),"Yes","No"))</f>
        <v/>
      </c>
    </row>
    <row r="423" customFormat="false" ht="15" hidden="false" customHeight="false" outlineLevel="0" collapsed="false">
      <c r="A423" s="28"/>
      <c r="B423" s="27"/>
      <c r="C423" s="27"/>
      <c r="D423" s="27"/>
      <c r="E423" s="27"/>
      <c r="F423" s="27"/>
      <c r="G423" s="27"/>
      <c r="H423" s="27"/>
      <c r="I423" s="32" t="str">
        <f aca="false">IF(A423="","",IF(AND(H423="Positive",IFERROR(INDEX(Contacts!$K$3:$K$502,MATCH(C423,Contacts!$B$3:$B$502,0)),"No")&lt;&gt;"Yes"),"Yes","No"))</f>
        <v/>
      </c>
    </row>
    <row r="424" customFormat="false" ht="15" hidden="false" customHeight="false" outlineLevel="0" collapsed="false">
      <c r="A424" s="28"/>
      <c r="B424" s="27"/>
      <c r="C424" s="27"/>
      <c r="D424" s="27"/>
      <c r="E424" s="27"/>
      <c r="F424" s="27"/>
      <c r="G424" s="27"/>
      <c r="H424" s="27"/>
      <c r="I424" s="32" t="str">
        <f aca="false">IF(A424="","",IF(AND(H424="Positive",IFERROR(INDEX(Contacts!$K$3:$K$502,MATCH(C424,Contacts!$B$3:$B$502,0)),"No")&lt;&gt;"Yes"),"Yes","No"))</f>
        <v/>
      </c>
    </row>
    <row r="425" customFormat="false" ht="15" hidden="false" customHeight="false" outlineLevel="0" collapsed="false">
      <c r="A425" s="28"/>
      <c r="B425" s="27"/>
      <c r="C425" s="27"/>
      <c r="D425" s="27"/>
      <c r="E425" s="27"/>
      <c r="F425" s="27"/>
      <c r="G425" s="27"/>
      <c r="H425" s="27"/>
      <c r="I425" s="32" t="str">
        <f aca="false">IF(A425="","",IF(AND(H425="Positive",IFERROR(INDEX(Contacts!$K$3:$K$502,MATCH(C425,Contacts!$B$3:$B$502,0)),"No")&lt;&gt;"Yes"),"Yes","No"))</f>
        <v/>
      </c>
    </row>
    <row r="426" customFormat="false" ht="15" hidden="false" customHeight="false" outlineLevel="0" collapsed="false">
      <c r="A426" s="28"/>
      <c r="B426" s="27"/>
      <c r="C426" s="27"/>
      <c r="D426" s="27"/>
      <c r="E426" s="27"/>
      <c r="F426" s="27"/>
      <c r="G426" s="27"/>
      <c r="H426" s="27"/>
      <c r="I426" s="32" t="str">
        <f aca="false">IF(A426="","",IF(AND(H426="Positive",IFERROR(INDEX(Contacts!$K$3:$K$502,MATCH(C426,Contacts!$B$3:$B$502,0)),"No")&lt;&gt;"Yes"),"Yes","No"))</f>
        <v/>
      </c>
    </row>
    <row r="427" customFormat="false" ht="15" hidden="false" customHeight="false" outlineLevel="0" collapsed="false">
      <c r="A427" s="28"/>
      <c r="B427" s="27"/>
      <c r="C427" s="27"/>
      <c r="D427" s="27"/>
      <c r="E427" s="27"/>
      <c r="F427" s="27"/>
      <c r="G427" s="27"/>
      <c r="H427" s="27"/>
      <c r="I427" s="32" t="str">
        <f aca="false">IF(A427="","",IF(AND(H427="Positive",IFERROR(INDEX(Contacts!$K$3:$K$502,MATCH(C427,Contacts!$B$3:$B$502,0)),"No")&lt;&gt;"Yes"),"Yes","No"))</f>
        <v/>
      </c>
    </row>
    <row r="428" customFormat="false" ht="15" hidden="false" customHeight="false" outlineLevel="0" collapsed="false">
      <c r="A428" s="28"/>
      <c r="B428" s="27"/>
      <c r="C428" s="27"/>
      <c r="D428" s="27"/>
      <c r="E428" s="27"/>
      <c r="F428" s="27"/>
      <c r="G428" s="27"/>
      <c r="H428" s="27"/>
      <c r="I428" s="32" t="str">
        <f aca="false">IF(A428="","",IF(AND(H428="Positive",IFERROR(INDEX(Contacts!$K$3:$K$502,MATCH(C428,Contacts!$B$3:$B$502,0)),"No")&lt;&gt;"Yes"),"Yes","No"))</f>
        <v/>
      </c>
    </row>
    <row r="429" customFormat="false" ht="15" hidden="false" customHeight="false" outlineLevel="0" collapsed="false">
      <c r="A429" s="28"/>
      <c r="B429" s="27"/>
      <c r="C429" s="27"/>
      <c r="D429" s="27"/>
      <c r="E429" s="27"/>
      <c r="F429" s="27"/>
      <c r="G429" s="27"/>
      <c r="H429" s="27"/>
      <c r="I429" s="32" t="str">
        <f aca="false">IF(A429="","",IF(AND(H429="Positive",IFERROR(INDEX(Contacts!$K$3:$K$502,MATCH(C429,Contacts!$B$3:$B$502,0)),"No")&lt;&gt;"Yes"),"Yes","No"))</f>
        <v/>
      </c>
    </row>
    <row r="430" customFormat="false" ht="15" hidden="false" customHeight="false" outlineLevel="0" collapsed="false">
      <c r="A430" s="28"/>
      <c r="B430" s="27"/>
      <c r="C430" s="27"/>
      <c r="D430" s="27"/>
      <c r="E430" s="27"/>
      <c r="F430" s="27"/>
      <c r="G430" s="27"/>
      <c r="H430" s="27"/>
      <c r="I430" s="32" t="str">
        <f aca="false">IF(A430="","",IF(AND(H430="Positive",IFERROR(INDEX(Contacts!$K$3:$K$502,MATCH(C430,Contacts!$B$3:$B$502,0)),"No")&lt;&gt;"Yes"),"Yes","No"))</f>
        <v/>
      </c>
    </row>
    <row r="431" customFormat="false" ht="15" hidden="false" customHeight="false" outlineLevel="0" collapsed="false">
      <c r="A431" s="28"/>
      <c r="B431" s="27"/>
      <c r="C431" s="27"/>
      <c r="D431" s="27"/>
      <c r="E431" s="27"/>
      <c r="F431" s="27"/>
      <c r="G431" s="27"/>
      <c r="H431" s="27"/>
      <c r="I431" s="32" t="str">
        <f aca="false">IF(A431="","",IF(AND(H431="Positive",IFERROR(INDEX(Contacts!$K$3:$K$502,MATCH(C431,Contacts!$B$3:$B$502,0)),"No")&lt;&gt;"Yes"),"Yes","No"))</f>
        <v/>
      </c>
    </row>
    <row r="432" customFormat="false" ht="15" hidden="false" customHeight="false" outlineLevel="0" collapsed="false">
      <c r="A432" s="28"/>
      <c r="B432" s="27"/>
      <c r="C432" s="27"/>
      <c r="D432" s="27"/>
      <c r="E432" s="27"/>
      <c r="F432" s="27"/>
      <c r="G432" s="27"/>
      <c r="H432" s="27"/>
      <c r="I432" s="32" t="str">
        <f aca="false">IF(A432="","",IF(AND(H432="Positive",IFERROR(INDEX(Contacts!$K$3:$K$502,MATCH(C432,Contacts!$B$3:$B$502,0)),"No")&lt;&gt;"Yes"),"Yes","No"))</f>
        <v/>
      </c>
    </row>
    <row r="433" customFormat="false" ht="15" hidden="false" customHeight="false" outlineLevel="0" collapsed="false">
      <c r="A433" s="28"/>
      <c r="B433" s="27"/>
      <c r="C433" s="27"/>
      <c r="D433" s="27"/>
      <c r="E433" s="27"/>
      <c r="F433" s="27"/>
      <c r="G433" s="27"/>
      <c r="H433" s="27"/>
      <c r="I433" s="32" t="str">
        <f aca="false">IF(A433="","",IF(AND(H433="Positive",IFERROR(INDEX(Contacts!$K$3:$K$502,MATCH(C433,Contacts!$B$3:$B$502,0)),"No")&lt;&gt;"Yes"),"Yes","No"))</f>
        <v/>
      </c>
    </row>
    <row r="434" customFormat="false" ht="15" hidden="false" customHeight="false" outlineLevel="0" collapsed="false">
      <c r="A434" s="28"/>
      <c r="B434" s="27"/>
      <c r="C434" s="27"/>
      <c r="D434" s="27"/>
      <c r="E434" s="27"/>
      <c r="F434" s="27"/>
      <c r="G434" s="27"/>
      <c r="H434" s="27"/>
      <c r="I434" s="32" t="str">
        <f aca="false">IF(A434="","",IF(AND(H434="Positive",IFERROR(INDEX(Contacts!$K$3:$K$502,MATCH(C434,Contacts!$B$3:$B$502,0)),"No")&lt;&gt;"Yes"),"Yes","No"))</f>
        <v/>
      </c>
    </row>
    <row r="435" customFormat="false" ht="15" hidden="false" customHeight="false" outlineLevel="0" collapsed="false">
      <c r="A435" s="28"/>
      <c r="B435" s="27"/>
      <c r="C435" s="27"/>
      <c r="D435" s="27"/>
      <c r="E435" s="27"/>
      <c r="F435" s="27"/>
      <c r="G435" s="27"/>
      <c r="H435" s="27"/>
      <c r="I435" s="32" t="str">
        <f aca="false">IF(A435="","",IF(AND(H435="Positive",IFERROR(INDEX(Contacts!$K$3:$K$502,MATCH(C435,Contacts!$B$3:$B$502,0)),"No")&lt;&gt;"Yes"),"Yes","No"))</f>
        <v/>
      </c>
    </row>
    <row r="436" customFormat="false" ht="15" hidden="false" customHeight="false" outlineLevel="0" collapsed="false">
      <c r="A436" s="28"/>
      <c r="B436" s="27"/>
      <c r="C436" s="27"/>
      <c r="D436" s="27"/>
      <c r="E436" s="27"/>
      <c r="F436" s="27"/>
      <c r="G436" s="27"/>
      <c r="H436" s="27"/>
      <c r="I436" s="32" t="str">
        <f aca="false">IF(A436="","",IF(AND(H436="Positive",IFERROR(INDEX(Contacts!$K$3:$K$502,MATCH(C436,Contacts!$B$3:$B$502,0)),"No")&lt;&gt;"Yes"),"Yes","No"))</f>
        <v/>
      </c>
    </row>
    <row r="437" customFormat="false" ht="15" hidden="false" customHeight="false" outlineLevel="0" collapsed="false">
      <c r="A437" s="28"/>
      <c r="B437" s="27"/>
      <c r="C437" s="27"/>
      <c r="D437" s="27"/>
      <c r="E437" s="27"/>
      <c r="F437" s="27"/>
      <c r="G437" s="27"/>
      <c r="H437" s="27"/>
      <c r="I437" s="32" t="str">
        <f aca="false">IF(A437="","",IF(AND(H437="Positive",IFERROR(INDEX(Contacts!$K$3:$K$502,MATCH(C437,Contacts!$B$3:$B$502,0)),"No")&lt;&gt;"Yes"),"Yes","No"))</f>
        <v/>
      </c>
    </row>
    <row r="438" customFormat="false" ht="15" hidden="false" customHeight="false" outlineLevel="0" collapsed="false">
      <c r="A438" s="28"/>
      <c r="B438" s="27"/>
      <c r="C438" s="27"/>
      <c r="D438" s="27"/>
      <c r="E438" s="27"/>
      <c r="F438" s="27"/>
      <c r="G438" s="27"/>
      <c r="H438" s="27"/>
      <c r="I438" s="32" t="str">
        <f aca="false">IF(A438="","",IF(AND(H438="Positive",IFERROR(INDEX(Contacts!$K$3:$K$502,MATCH(C438,Contacts!$B$3:$B$502,0)),"No")&lt;&gt;"Yes"),"Yes","No"))</f>
        <v/>
      </c>
    </row>
    <row r="439" customFormat="false" ht="15" hidden="false" customHeight="false" outlineLevel="0" collapsed="false">
      <c r="A439" s="28"/>
      <c r="B439" s="27"/>
      <c r="C439" s="27"/>
      <c r="D439" s="27"/>
      <c r="E439" s="27"/>
      <c r="F439" s="27"/>
      <c r="G439" s="27"/>
      <c r="H439" s="27"/>
      <c r="I439" s="32" t="str">
        <f aca="false">IF(A439="","",IF(AND(H439="Positive",IFERROR(INDEX(Contacts!$K$3:$K$502,MATCH(C439,Contacts!$B$3:$B$502,0)),"No")&lt;&gt;"Yes"),"Yes","No"))</f>
        <v/>
      </c>
    </row>
    <row r="440" customFormat="false" ht="15" hidden="false" customHeight="false" outlineLevel="0" collapsed="false">
      <c r="A440" s="28"/>
      <c r="B440" s="27"/>
      <c r="C440" s="27"/>
      <c r="D440" s="27"/>
      <c r="E440" s="27"/>
      <c r="F440" s="27"/>
      <c r="G440" s="27"/>
      <c r="H440" s="27"/>
      <c r="I440" s="32" t="str">
        <f aca="false">IF(A440="","",IF(AND(H440="Positive",IFERROR(INDEX(Contacts!$K$3:$K$502,MATCH(C440,Contacts!$B$3:$B$502,0)),"No")&lt;&gt;"Yes"),"Yes","No"))</f>
        <v/>
      </c>
    </row>
    <row r="441" customFormat="false" ht="15" hidden="false" customHeight="false" outlineLevel="0" collapsed="false">
      <c r="A441" s="28"/>
      <c r="B441" s="27"/>
      <c r="C441" s="27"/>
      <c r="D441" s="27"/>
      <c r="E441" s="27"/>
      <c r="F441" s="27"/>
      <c r="G441" s="27"/>
      <c r="H441" s="27"/>
      <c r="I441" s="32" t="str">
        <f aca="false">IF(A441="","",IF(AND(H441="Positive",IFERROR(INDEX(Contacts!$K$3:$K$502,MATCH(C441,Contacts!$B$3:$B$502,0)),"No")&lt;&gt;"Yes"),"Yes","No"))</f>
        <v/>
      </c>
    </row>
    <row r="442" customFormat="false" ht="15" hidden="false" customHeight="false" outlineLevel="0" collapsed="false">
      <c r="A442" s="28"/>
      <c r="B442" s="27"/>
      <c r="C442" s="27"/>
      <c r="D442" s="27"/>
      <c r="E442" s="27"/>
      <c r="F442" s="27"/>
      <c r="G442" s="27"/>
      <c r="H442" s="27"/>
      <c r="I442" s="32" t="str">
        <f aca="false">IF(A442="","",IF(AND(H442="Positive",IFERROR(INDEX(Contacts!$K$3:$K$502,MATCH(C442,Contacts!$B$3:$B$502,0)),"No")&lt;&gt;"Yes"),"Yes","No"))</f>
        <v/>
      </c>
    </row>
    <row r="443" customFormat="false" ht="15" hidden="false" customHeight="false" outlineLevel="0" collapsed="false">
      <c r="A443" s="28"/>
      <c r="B443" s="27"/>
      <c r="C443" s="27"/>
      <c r="D443" s="27"/>
      <c r="E443" s="27"/>
      <c r="F443" s="27"/>
      <c r="G443" s="27"/>
      <c r="H443" s="27"/>
      <c r="I443" s="32" t="str">
        <f aca="false">IF(A443="","",IF(AND(H443="Positive",IFERROR(INDEX(Contacts!$K$3:$K$502,MATCH(C443,Contacts!$B$3:$B$502,0)),"No")&lt;&gt;"Yes"),"Yes","No"))</f>
        <v/>
      </c>
    </row>
    <row r="444" customFormat="false" ht="15" hidden="false" customHeight="false" outlineLevel="0" collapsed="false">
      <c r="A444" s="28"/>
      <c r="B444" s="27"/>
      <c r="C444" s="27"/>
      <c r="D444" s="27"/>
      <c r="E444" s="27"/>
      <c r="F444" s="27"/>
      <c r="G444" s="27"/>
      <c r="H444" s="27"/>
      <c r="I444" s="32" t="str">
        <f aca="false">IF(A444="","",IF(AND(H444="Positive",IFERROR(INDEX(Contacts!$K$3:$K$502,MATCH(C444,Contacts!$B$3:$B$502,0)),"No")&lt;&gt;"Yes"),"Yes","No"))</f>
        <v/>
      </c>
    </row>
    <row r="445" customFormat="false" ht="15" hidden="false" customHeight="false" outlineLevel="0" collapsed="false">
      <c r="A445" s="28"/>
      <c r="B445" s="27"/>
      <c r="C445" s="27"/>
      <c r="D445" s="27"/>
      <c r="E445" s="27"/>
      <c r="F445" s="27"/>
      <c r="G445" s="27"/>
      <c r="H445" s="27"/>
      <c r="I445" s="32" t="str">
        <f aca="false">IF(A445="","",IF(AND(H445="Positive",IFERROR(INDEX(Contacts!$K$3:$K$502,MATCH(C445,Contacts!$B$3:$B$502,0)),"No")&lt;&gt;"Yes"),"Yes","No"))</f>
        <v/>
      </c>
    </row>
    <row r="446" customFormat="false" ht="15" hidden="false" customHeight="false" outlineLevel="0" collapsed="false">
      <c r="A446" s="28"/>
      <c r="B446" s="27"/>
      <c r="C446" s="27"/>
      <c r="D446" s="27"/>
      <c r="E446" s="27"/>
      <c r="F446" s="27"/>
      <c r="G446" s="27"/>
      <c r="H446" s="27"/>
      <c r="I446" s="32" t="str">
        <f aca="false">IF(A446="","",IF(AND(H446="Positive",IFERROR(INDEX(Contacts!$K$3:$K$502,MATCH(C446,Contacts!$B$3:$B$502,0)),"No")&lt;&gt;"Yes"),"Yes","No"))</f>
        <v/>
      </c>
    </row>
    <row r="447" customFormat="false" ht="15" hidden="false" customHeight="false" outlineLevel="0" collapsed="false">
      <c r="A447" s="28"/>
      <c r="B447" s="27"/>
      <c r="C447" s="27"/>
      <c r="D447" s="27"/>
      <c r="E447" s="27"/>
      <c r="F447" s="27"/>
      <c r="G447" s="27"/>
      <c r="H447" s="27"/>
      <c r="I447" s="32" t="str">
        <f aca="false">IF(A447="","",IF(AND(H447="Positive",IFERROR(INDEX(Contacts!$K$3:$K$502,MATCH(C447,Contacts!$B$3:$B$502,0)),"No")&lt;&gt;"Yes"),"Yes","No"))</f>
        <v/>
      </c>
    </row>
    <row r="448" customFormat="false" ht="15" hidden="false" customHeight="false" outlineLevel="0" collapsed="false">
      <c r="A448" s="28"/>
      <c r="B448" s="27"/>
      <c r="C448" s="27"/>
      <c r="D448" s="27"/>
      <c r="E448" s="27"/>
      <c r="F448" s="27"/>
      <c r="G448" s="27"/>
      <c r="H448" s="27"/>
      <c r="I448" s="32" t="str">
        <f aca="false">IF(A448="","",IF(AND(H448="Positive",IFERROR(INDEX(Contacts!$K$3:$K$502,MATCH(C448,Contacts!$B$3:$B$502,0)),"No")&lt;&gt;"Yes"),"Yes","No"))</f>
        <v/>
      </c>
    </row>
    <row r="449" customFormat="false" ht="15" hidden="false" customHeight="false" outlineLevel="0" collapsed="false">
      <c r="A449" s="28"/>
      <c r="B449" s="27"/>
      <c r="C449" s="27"/>
      <c r="D449" s="27"/>
      <c r="E449" s="27"/>
      <c r="F449" s="27"/>
      <c r="G449" s="27"/>
      <c r="H449" s="27"/>
      <c r="I449" s="32" t="str">
        <f aca="false">IF(A449="","",IF(AND(H449="Positive",IFERROR(INDEX(Contacts!$K$3:$K$502,MATCH(C449,Contacts!$B$3:$B$502,0)),"No")&lt;&gt;"Yes"),"Yes","No"))</f>
        <v/>
      </c>
    </row>
    <row r="450" customFormat="false" ht="15" hidden="false" customHeight="false" outlineLevel="0" collapsed="false">
      <c r="A450" s="28"/>
      <c r="B450" s="27"/>
      <c r="C450" s="27"/>
      <c r="D450" s="27"/>
      <c r="E450" s="27"/>
      <c r="F450" s="27"/>
      <c r="G450" s="27"/>
      <c r="H450" s="27"/>
      <c r="I450" s="32" t="str">
        <f aca="false">IF(A450="","",IF(AND(H450="Positive",IFERROR(INDEX(Contacts!$K$3:$K$502,MATCH(C450,Contacts!$B$3:$B$502,0)),"No")&lt;&gt;"Yes"),"Yes","No"))</f>
        <v/>
      </c>
    </row>
    <row r="451" customFormat="false" ht="15" hidden="false" customHeight="false" outlineLevel="0" collapsed="false">
      <c r="A451" s="28"/>
      <c r="B451" s="27"/>
      <c r="C451" s="27"/>
      <c r="D451" s="27"/>
      <c r="E451" s="27"/>
      <c r="F451" s="27"/>
      <c r="G451" s="27"/>
      <c r="H451" s="27"/>
      <c r="I451" s="32" t="str">
        <f aca="false">IF(A451="","",IF(AND(H451="Positive",IFERROR(INDEX(Contacts!$K$3:$K$502,MATCH(C451,Contacts!$B$3:$B$502,0)),"No")&lt;&gt;"Yes"),"Yes","No"))</f>
        <v/>
      </c>
    </row>
    <row r="452" customFormat="false" ht="15" hidden="false" customHeight="false" outlineLevel="0" collapsed="false">
      <c r="A452" s="28"/>
      <c r="B452" s="27"/>
      <c r="C452" s="27"/>
      <c r="D452" s="27"/>
      <c r="E452" s="27"/>
      <c r="F452" s="27"/>
      <c r="G452" s="27"/>
      <c r="H452" s="27"/>
      <c r="I452" s="32" t="str">
        <f aca="false">IF(A452="","",IF(AND(H452="Positive",IFERROR(INDEX(Contacts!$K$3:$K$502,MATCH(C452,Contacts!$B$3:$B$502,0)),"No")&lt;&gt;"Yes"),"Yes","No"))</f>
        <v/>
      </c>
    </row>
    <row r="453" customFormat="false" ht="15" hidden="false" customHeight="false" outlineLevel="0" collapsed="false">
      <c r="A453" s="28"/>
      <c r="B453" s="27"/>
      <c r="C453" s="27"/>
      <c r="D453" s="27"/>
      <c r="E453" s="27"/>
      <c r="F453" s="27"/>
      <c r="G453" s="27"/>
      <c r="H453" s="27"/>
      <c r="I453" s="32" t="str">
        <f aca="false">IF(A453="","",IF(AND(H453="Positive",IFERROR(INDEX(Contacts!$K$3:$K$502,MATCH(C453,Contacts!$B$3:$B$502,0)),"No")&lt;&gt;"Yes"),"Yes","No"))</f>
        <v/>
      </c>
    </row>
    <row r="454" customFormat="false" ht="15" hidden="false" customHeight="false" outlineLevel="0" collapsed="false">
      <c r="A454" s="28"/>
      <c r="B454" s="27"/>
      <c r="C454" s="27"/>
      <c r="D454" s="27"/>
      <c r="E454" s="27"/>
      <c r="F454" s="27"/>
      <c r="G454" s="27"/>
      <c r="H454" s="27"/>
      <c r="I454" s="32" t="str">
        <f aca="false">IF(A454="","",IF(AND(H454="Positive",IFERROR(INDEX(Contacts!$K$3:$K$502,MATCH(C454,Contacts!$B$3:$B$502,0)),"No")&lt;&gt;"Yes"),"Yes","No"))</f>
        <v/>
      </c>
    </row>
    <row r="455" customFormat="false" ht="15" hidden="false" customHeight="false" outlineLevel="0" collapsed="false">
      <c r="A455" s="28"/>
      <c r="B455" s="27"/>
      <c r="C455" s="27"/>
      <c r="D455" s="27"/>
      <c r="E455" s="27"/>
      <c r="F455" s="27"/>
      <c r="G455" s="27"/>
      <c r="H455" s="27"/>
      <c r="I455" s="32" t="str">
        <f aca="false">IF(A455="","",IF(AND(H455="Positive",IFERROR(INDEX(Contacts!$K$3:$K$502,MATCH(C455,Contacts!$B$3:$B$502,0)),"No")&lt;&gt;"Yes"),"Yes","No"))</f>
        <v/>
      </c>
    </row>
    <row r="456" customFormat="false" ht="15" hidden="false" customHeight="false" outlineLevel="0" collapsed="false">
      <c r="A456" s="28"/>
      <c r="B456" s="27"/>
      <c r="C456" s="27"/>
      <c r="D456" s="27"/>
      <c r="E456" s="27"/>
      <c r="F456" s="27"/>
      <c r="G456" s="27"/>
      <c r="H456" s="27"/>
      <c r="I456" s="32" t="str">
        <f aca="false">IF(A456="","",IF(AND(H456="Positive",IFERROR(INDEX(Contacts!$K$3:$K$502,MATCH(C456,Contacts!$B$3:$B$502,0)),"No")&lt;&gt;"Yes"),"Yes","No"))</f>
        <v/>
      </c>
    </row>
    <row r="457" customFormat="false" ht="15" hidden="false" customHeight="false" outlineLevel="0" collapsed="false">
      <c r="A457" s="28"/>
      <c r="B457" s="27"/>
      <c r="C457" s="27"/>
      <c r="D457" s="27"/>
      <c r="E457" s="27"/>
      <c r="F457" s="27"/>
      <c r="G457" s="27"/>
      <c r="H457" s="27"/>
      <c r="I457" s="32" t="str">
        <f aca="false">IF(A457="","",IF(AND(H457="Positive",IFERROR(INDEX(Contacts!$K$3:$K$502,MATCH(C457,Contacts!$B$3:$B$502,0)),"No")&lt;&gt;"Yes"),"Yes","No"))</f>
        <v/>
      </c>
    </row>
    <row r="458" customFormat="false" ht="15" hidden="false" customHeight="false" outlineLevel="0" collapsed="false">
      <c r="A458" s="28"/>
      <c r="B458" s="27"/>
      <c r="C458" s="27"/>
      <c r="D458" s="27"/>
      <c r="E458" s="27"/>
      <c r="F458" s="27"/>
      <c r="G458" s="27"/>
      <c r="H458" s="27"/>
      <c r="I458" s="32" t="str">
        <f aca="false">IF(A458="","",IF(AND(H458="Positive",IFERROR(INDEX(Contacts!$K$3:$K$502,MATCH(C458,Contacts!$B$3:$B$502,0)),"No")&lt;&gt;"Yes"),"Yes","No"))</f>
        <v/>
      </c>
    </row>
    <row r="459" customFormat="false" ht="15" hidden="false" customHeight="false" outlineLevel="0" collapsed="false">
      <c r="A459" s="28"/>
      <c r="B459" s="27"/>
      <c r="C459" s="27"/>
      <c r="D459" s="27"/>
      <c r="E459" s="27"/>
      <c r="F459" s="27"/>
      <c r="G459" s="27"/>
      <c r="H459" s="27"/>
      <c r="I459" s="32" t="str">
        <f aca="false">IF(A459="","",IF(AND(H459="Positive",IFERROR(INDEX(Contacts!$K$3:$K$502,MATCH(C459,Contacts!$B$3:$B$502,0)),"No")&lt;&gt;"Yes"),"Yes","No"))</f>
        <v/>
      </c>
    </row>
    <row r="460" customFormat="false" ht="15" hidden="false" customHeight="false" outlineLevel="0" collapsed="false">
      <c r="A460" s="28"/>
      <c r="B460" s="27"/>
      <c r="C460" s="27"/>
      <c r="D460" s="27"/>
      <c r="E460" s="27"/>
      <c r="F460" s="27"/>
      <c r="G460" s="27"/>
      <c r="H460" s="27"/>
      <c r="I460" s="32" t="str">
        <f aca="false">IF(A460="","",IF(AND(H460="Positive",IFERROR(INDEX(Contacts!$K$3:$K$502,MATCH(C460,Contacts!$B$3:$B$502,0)),"No")&lt;&gt;"Yes"),"Yes","No"))</f>
        <v/>
      </c>
    </row>
    <row r="461" customFormat="false" ht="15" hidden="false" customHeight="false" outlineLevel="0" collapsed="false">
      <c r="A461" s="28"/>
      <c r="B461" s="27"/>
      <c r="C461" s="27"/>
      <c r="D461" s="27"/>
      <c r="E461" s="27"/>
      <c r="F461" s="27"/>
      <c r="G461" s="27"/>
      <c r="H461" s="27"/>
      <c r="I461" s="32" t="str">
        <f aca="false">IF(A461="","",IF(AND(H461="Positive",IFERROR(INDEX(Contacts!$K$3:$K$502,MATCH(C461,Contacts!$B$3:$B$502,0)),"No")&lt;&gt;"Yes"),"Yes","No"))</f>
        <v/>
      </c>
    </row>
    <row r="462" customFormat="false" ht="15" hidden="false" customHeight="false" outlineLevel="0" collapsed="false">
      <c r="A462" s="28"/>
      <c r="B462" s="27"/>
      <c r="C462" s="27"/>
      <c r="D462" s="27"/>
      <c r="E462" s="27"/>
      <c r="F462" s="27"/>
      <c r="G462" s="27"/>
      <c r="H462" s="27"/>
      <c r="I462" s="32" t="str">
        <f aca="false">IF(A462="","",IF(AND(H462="Positive",IFERROR(INDEX(Contacts!$K$3:$K$502,MATCH(C462,Contacts!$B$3:$B$502,0)),"No")&lt;&gt;"Yes"),"Yes","No"))</f>
        <v/>
      </c>
    </row>
    <row r="463" customFormat="false" ht="15" hidden="false" customHeight="false" outlineLevel="0" collapsed="false">
      <c r="A463" s="28"/>
      <c r="B463" s="27"/>
      <c r="C463" s="27"/>
      <c r="D463" s="27"/>
      <c r="E463" s="27"/>
      <c r="F463" s="27"/>
      <c r="G463" s="27"/>
      <c r="H463" s="27"/>
      <c r="I463" s="32" t="str">
        <f aca="false">IF(A463="","",IF(AND(H463="Positive",IFERROR(INDEX(Contacts!$K$3:$K$502,MATCH(C463,Contacts!$B$3:$B$502,0)),"No")&lt;&gt;"Yes"),"Yes","No"))</f>
        <v/>
      </c>
    </row>
    <row r="464" customFormat="false" ht="15" hidden="false" customHeight="false" outlineLevel="0" collapsed="false">
      <c r="A464" s="28"/>
      <c r="B464" s="27"/>
      <c r="C464" s="27"/>
      <c r="D464" s="27"/>
      <c r="E464" s="27"/>
      <c r="F464" s="27"/>
      <c r="G464" s="27"/>
      <c r="H464" s="27"/>
      <c r="I464" s="32" t="str">
        <f aca="false">IF(A464="","",IF(AND(H464="Positive",IFERROR(INDEX(Contacts!$K$3:$K$502,MATCH(C464,Contacts!$B$3:$B$502,0)),"No")&lt;&gt;"Yes"),"Yes","No"))</f>
        <v/>
      </c>
    </row>
    <row r="465" customFormat="false" ht="15" hidden="false" customHeight="false" outlineLevel="0" collapsed="false">
      <c r="A465" s="28"/>
      <c r="B465" s="27"/>
      <c r="C465" s="27"/>
      <c r="D465" s="27"/>
      <c r="E465" s="27"/>
      <c r="F465" s="27"/>
      <c r="G465" s="27"/>
      <c r="H465" s="27"/>
      <c r="I465" s="32" t="str">
        <f aca="false">IF(A465="","",IF(AND(H465="Positive",IFERROR(INDEX(Contacts!$K$3:$K$502,MATCH(C465,Contacts!$B$3:$B$502,0)),"No")&lt;&gt;"Yes"),"Yes","No"))</f>
        <v/>
      </c>
    </row>
    <row r="466" customFormat="false" ht="15" hidden="false" customHeight="false" outlineLevel="0" collapsed="false">
      <c r="A466" s="28"/>
      <c r="B466" s="27"/>
      <c r="C466" s="27"/>
      <c r="D466" s="27"/>
      <c r="E466" s="27"/>
      <c r="F466" s="27"/>
      <c r="G466" s="27"/>
      <c r="H466" s="27"/>
      <c r="I466" s="32" t="str">
        <f aca="false">IF(A466="","",IF(AND(H466="Positive",IFERROR(INDEX(Contacts!$K$3:$K$502,MATCH(C466,Contacts!$B$3:$B$502,0)),"No")&lt;&gt;"Yes"),"Yes","No"))</f>
        <v/>
      </c>
    </row>
    <row r="467" customFormat="false" ht="15" hidden="false" customHeight="false" outlineLevel="0" collapsed="false">
      <c r="A467" s="28"/>
      <c r="B467" s="27"/>
      <c r="C467" s="27"/>
      <c r="D467" s="27"/>
      <c r="E467" s="27"/>
      <c r="F467" s="27"/>
      <c r="G467" s="27"/>
      <c r="H467" s="27"/>
      <c r="I467" s="32" t="str">
        <f aca="false">IF(A467="","",IF(AND(H467="Positive",IFERROR(INDEX(Contacts!$K$3:$K$502,MATCH(C467,Contacts!$B$3:$B$502,0)),"No")&lt;&gt;"Yes"),"Yes","No"))</f>
        <v/>
      </c>
    </row>
    <row r="468" customFormat="false" ht="15" hidden="false" customHeight="false" outlineLevel="0" collapsed="false">
      <c r="A468" s="28"/>
      <c r="B468" s="27"/>
      <c r="C468" s="27"/>
      <c r="D468" s="27"/>
      <c r="E468" s="27"/>
      <c r="F468" s="27"/>
      <c r="G468" s="27"/>
      <c r="H468" s="27"/>
      <c r="I468" s="32" t="str">
        <f aca="false">IF(A468="","",IF(AND(H468="Positive",IFERROR(INDEX(Contacts!$K$3:$K$502,MATCH(C468,Contacts!$B$3:$B$502,0)),"No")&lt;&gt;"Yes"),"Yes","No"))</f>
        <v/>
      </c>
    </row>
    <row r="469" customFormat="false" ht="15" hidden="false" customHeight="false" outlineLevel="0" collapsed="false">
      <c r="A469" s="28"/>
      <c r="B469" s="27"/>
      <c r="C469" s="27"/>
      <c r="D469" s="27"/>
      <c r="E469" s="27"/>
      <c r="F469" s="27"/>
      <c r="G469" s="27"/>
      <c r="H469" s="27"/>
      <c r="I469" s="32" t="str">
        <f aca="false">IF(A469="","",IF(AND(H469="Positive",IFERROR(INDEX(Contacts!$K$3:$K$502,MATCH(C469,Contacts!$B$3:$B$502,0)),"No")&lt;&gt;"Yes"),"Yes","No"))</f>
        <v/>
      </c>
    </row>
    <row r="470" customFormat="false" ht="15" hidden="false" customHeight="false" outlineLevel="0" collapsed="false">
      <c r="A470" s="28"/>
      <c r="B470" s="27"/>
      <c r="C470" s="27"/>
      <c r="D470" s="27"/>
      <c r="E470" s="27"/>
      <c r="F470" s="27"/>
      <c r="G470" s="27"/>
      <c r="H470" s="27"/>
      <c r="I470" s="32" t="str">
        <f aca="false">IF(A470="","",IF(AND(H470="Positive",IFERROR(INDEX(Contacts!$K$3:$K$502,MATCH(C470,Contacts!$B$3:$B$502,0)),"No")&lt;&gt;"Yes"),"Yes","No"))</f>
        <v/>
      </c>
    </row>
    <row r="471" customFormat="false" ht="15" hidden="false" customHeight="false" outlineLevel="0" collapsed="false">
      <c r="A471" s="28"/>
      <c r="B471" s="27"/>
      <c r="C471" s="27"/>
      <c r="D471" s="27"/>
      <c r="E471" s="27"/>
      <c r="F471" s="27"/>
      <c r="G471" s="27"/>
      <c r="H471" s="27"/>
      <c r="I471" s="32" t="str">
        <f aca="false">IF(A471="","",IF(AND(H471="Positive",IFERROR(INDEX(Contacts!$K$3:$K$502,MATCH(C471,Contacts!$B$3:$B$502,0)),"No")&lt;&gt;"Yes"),"Yes","No"))</f>
        <v/>
      </c>
    </row>
    <row r="472" customFormat="false" ht="15" hidden="false" customHeight="false" outlineLevel="0" collapsed="false">
      <c r="A472" s="28"/>
      <c r="B472" s="27"/>
      <c r="C472" s="27"/>
      <c r="D472" s="27"/>
      <c r="E472" s="27"/>
      <c r="F472" s="27"/>
      <c r="G472" s="27"/>
      <c r="H472" s="27"/>
      <c r="I472" s="32" t="str">
        <f aca="false">IF(A472="","",IF(AND(H472="Positive",IFERROR(INDEX(Contacts!$K$3:$K$502,MATCH(C472,Contacts!$B$3:$B$502,0)),"No")&lt;&gt;"Yes"),"Yes","No"))</f>
        <v/>
      </c>
    </row>
    <row r="473" customFormat="false" ht="15" hidden="false" customHeight="false" outlineLevel="0" collapsed="false">
      <c r="A473" s="28"/>
      <c r="B473" s="27"/>
      <c r="C473" s="27"/>
      <c r="D473" s="27"/>
      <c r="E473" s="27"/>
      <c r="F473" s="27"/>
      <c r="G473" s="27"/>
      <c r="H473" s="27"/>
      <c r="I473" s="32" t="str">
        <f aca="false">IF(A473="","",IF(AND(H473="Positive",IFERROR(INDEX(Contacts!$K$3:$K$502,MATCH(C473,Contacts!$B$3:$B$502,0)),"No")&lt;&gt;"Yes"),"Yes","No"))</f>
        <v/>
      </c>
    </row>
    <row r="474" customFormat="false" ht="15" hidden="false" customHeight="false" outlineLevel="0" collapsed="false">
      <c r="A474" s="28"/>
      <c r="B474" s="27"/>
      <c r="C474" s="27"/>
      <c r="D474" s="27"/>
      <c r="E474" s="27"/>
      <c r="F474" s="27"/>
      <c r="G474" s="27"/>
      <c r="H474" s="27"/>
      <c r="I474" s="32" t="str">
        <f aca="false">IF(A474="","",IF(AND(H474="Positive",IFERROR(INDEX(Contacts!$K$3:$K$502,MATCH(C474,Contacts!$B$3:$B$502,0)),"No")&lt;&gt;"Yes"),"Yes","No"))</f>
        <v/>
      </c>
    </row>
    <row r="475" customFormat="false" ht="15" hidden="false" customHeight="false" outlineLevel="0" collapsed="false">
      <c r="A475" s="28"/>
      <c r="B475" s="27"/>
      <c r="C475" s="27"/>
      <c r="D475" s="27"/>
      <c r="E475" s="27"/>
      <c r="F475" s="27"/>
      <c r="G475" s="27"/>
      <c r="H475" s="27"/>
      <c r="I475" s="32" t="str">
        <f aca="false">IF(A475="","",IF(AND(H475="Positive",IFERROR(INDEX(Contacts!$K$3:$K$502,MATCH(C475,Contacts!$B$3:$B$502,0)),"No")&lt;&gt;"Yes"),"Yes","No"))</f>
        <v/>
      </c>
    </row>
    <row r="476" customFormat="false" ht="15" hidden="false" customHeight="false" outlineLevel="0" collapsed="false">
      <c r="A476" s="28"/>
      <c r="B476" s="27"/>
      <c r="C476" s="27"/>
      <c r="D476" s="27"/>
      <c r="E476" s="27"/>
      <c r="F476" s="27"/>
      <c r="G476" s="27"/>
      <c r="H476" s="27"/>
      <c r="I476" s="32" t="str">
        <f aca="false">IF(A476="","",IF(AND(H476="Positive",IFERROR(INDEX(Contacts!$K$3:$K$502,MATCH(C476,Contacts!$B$3:$B$502,0)),"No")&lt;&gt;"Yes"),"Yes","No"))</f>
        <v/>
      </c>
    </row>
    <row r="477" customFormat="false" ht="15" hidden="false" customHeight="false" outlineLevel="0" collapsed="false">
      <c r="A477" s="28"/>
      <c r="B477" s="27"/>
      <c r="C477" s="27"/>
      <c r="D477" s="27"/>
      <c r="E477" s="27"/>
      <c r="F477" s="27"/>
      <c r="G477" s="27"/>
      <c r="H477" s="27"/>
      <c r="I477" s="32" t="str">
        <f aca="false">IF(A477="","",IF(AND(H477="Positive",IFERROR(INDEX(Contacts!$K$3:$K$502,MATCH(C477,Contacts!$B$3:$B$502,0)),"No")&lt;&gt;"Yes"),"Yes","No"))</f>
        <v/>
      </c>
    </row>
    <row r="478" customFormat="false" ht="15" hidden="false" customHeight="false" outlineLevel="0" collapsed="false">
      <c r="A478" s="28"/>
      <c r="B478" s="27"/>
      <c r="C478" s="27"/>
      <c r="D478" s="27"/>
      <c r="E478" s="27"/>
      <c r="F478" s="27"/>
      <c r="G478" s="27"/>
      <c r="H478" s="27"/>
      <c r="I478" s="32" t="str">
        <f aca="false">IF(A478="","",IF(AND(H478="Positive",IFERROR(INDEX(Contacts!$K$3:$K$502,MATCH(C478,Contacts!$B$3:$B$502,0)),"No")&lt;&gt;"Yes"),"Yes","No"))</f>
        <v/>
      </c>
    </row>
    <row r="479" customFormat="false" ht="15" hidden="false" customHeight="false" outlineLevel="0" collapsed="false">
      <c r="A479" s="28"/>
      <c r="B479" s="27"/>
      <c r="C479" s="27"/>
      <c r="D479" s="27"/>
      <c r="E479" s="27"/>
      <c r="F479" s="27"/>
      <c r="G479" s="27"/>
      <c r="H479" s="27"/>
      <c r="I479" s="32" t="str">
        <f aca="false">IF(A479="","",IF(AND(H479="Positive",IFERROR(INDEX(Contacts!$K$3:$K$502,MATCH(C479,Contacts!$B$3:$B$502,0)),"No")&lt;&gt;"Yes"),"Yes","No"))</f>
        <v/>
      </c>
    </row>
    <row r="480" customFormat="false" ht="15" hidden="false" customHeight="false" outlineLevel="0" collapsed="false">
      <c r="A480" s="28"/>
      <c r="B480" s="27"/>
      <c r="C480" s="27"/>
      <c r="D480" s="27"/>
      <c r="E480" s="27"/>
      <c r="F480" s="27"/>
      <c r="G480" s="27"/>
      <c r="H480" s="27"/>
      <c r="I480" s="32" t="str">
        <f aca="false">IF(A480="","",IF(AND(H480="Positive",IFERROR(INDEX(Contacts!$K$3:$K$502,MATCH(C480,Contacts!$B$3:$B$502,0)),"No")&lt;&gt;"Yes"),"Yes","No"))</f>
        <v/>
      </c>
    </row>
    <row r="481" customFormat="false" ht="15" hidden="false" customHeight="false" outlineLevel="0" collapsed="false">
      <c r="A481" s="28"/>
      <c r="B481" s="27"/>
      <c r="C481" s="27"/>
      <c r="D481" s="27"/>
      <c r="E481" s="27"/>
      <c r="F481" s="27"/>
      <c r="G481" s="27"/>
      <c r="H481" s="27"/>
      <c r="I481" s="32" t="str">
        <f aca="false">IF(A481="","",IF(AND(H481="Positive",IFERROR(INDEX(Contacts!$K$3:$K$502,MATCH(C481,Contacts!$B$3:$B$502,0)),"No")&lt;&gt;"Yes"),"Yes","No"))</f>
        <v/>
      </c>
    </row>
    <row r="482" customFormat="false" ht="15" hidden="false" customHeight="false" outlineLevel="0" collapsed="false">
      <c r="A482" s="28"/>
      <c r="B482" s="27"/>
      <c r="C482" s="27"/>
      <c r="D482" s="27"/>
      <c r="E482" s="27"/>
      <c r="F482" s="27"/>
      <c r="G482" s="27"/>
      <c r="H482" s="27"/>
      <c r="I482" s="32" t="str">
        <f aca="false">IF(A482="","",IF(AND(H482="Positive",IFERROR(INDEX(Contacts!$K$3:$K$502,MATCH(C482,Contacts!$B$3:$B$502,0)),"No")&lt;&gt;"Yes"),"Yes","No"))</f>
        <v/>
      </c>
    </row>
    <row r="483" customFormat="false" ht="15" hidden="false" customHeight="false" outlineLevel="0" collapsed="false">
      <c r="A483" s="28"/>
      <c r="B483" s="27"/>
      <c r="C483" s="27"/>
      <c r="D483" s="27"/>
      <c r="E483" s="27"/>
      <c r="F483" s="27"/>
      <c r="G483" s="27"/>
      <c r="H483" s="27"/>
      <c r="I483" s="32" t="str">
        <f aca="false">IF(A483="","",IF(AND(H483="Positive",IFERROR(INDEX(Contacts!$K$3:$K$502,MATCH(C483,Contacts!$B$3:$B$502,0)),"No")&lt;&gt;"Yes"),"Yes","No"))</f>
        <v/>
      </c>
    </row>
    <row r="484" customFormat="false" ht="15" hidden="false" customHeight="false" outlineLevel="0" collapsed="false">
      <c r="A484" s="28"/>
      <c r="B484" s="27"/>
      <c r="C484" s="27"/>
      <c r="D484" s="27"/>
      <c r="E484" s="27"/>
      <c r="F484" s="27"/>
      <c r="G484" s="27"/>
      <c r="H484" s="27"/>
      <c r="I484" s="32" t="str">
        <f aca="false">IF(A484="","",IF(AND(H484="Positive",IFERROR(INDEX(Contacts!$K$3:$K$502,MATCH(C484,Contacts!$B$3:$B$502,0)),"No")&lt;&gt;"Yes"),"Yes","No"))</f>
        <v/>
      </c>
    </row>
    <row r="485" customFormat="false" ht="15" hidden="false" customHeight="false" outlineLevel="0" collapsed="false">
      <c r="A485" s="28"/>
      <c r="B485" s="27"/>
      <c r="C485" s="27"/>
      <c r="D485" s="27"/>
      <c r="E485" s="27"/>
      <c r="F485" s="27"/>
      <c r="G485" s="27"/>
      <c r="H485" s="27"/>
      <c r="I485" s="32" t="str">
        <f aca="false">IF(A485="","",IF(AND(H485="Positive",IFERROR(INDEX(Contacts!$K$3:$K$502,MATCH(C485,Contacts!$B$3:$B$502,0)),"No")&lt;&gt;"Yes"),"Yes","No"))</f>
        <v/>
      </c>
    </row>
    <row r="486" customFormat="false" ht="15" hidden="false" customHeight="false" outlineLevel="0" collapsed="false">
      <c r="A486" s="28"/>
      <c r="B486" s="27"/>
      <c r="C486" s="27"/>
      <c r="D486" s="27"/>
      <c r="E486" s="27"/>
      <c r="F486" s="27"/>
      <c r="G486" s="27"/>
      <c r="H486" s="27"/>
      <c r="I486" s="32" t="str">
        <f aca="false">IF(A486="","",IF(AND(H486="Positive",IFERROR(INDEX(Contacts!$K$3:$K$502,MATCH(C486,Contacts!$B$3:$B$502,0)),"No")&lt;&gt;"Yes"),"Yes","No"))</f>
        <v/>
      </c>
    </row>
    <row r="487" customFormat="false" ht="15" hidden="false" customHeight="false" outlineLevel="0" collapsed="false">
      <c r="A487" s="28"/>
      <c r="B487" s="27"/>
      <c r="C487" s="27"/>
      <c r="D487" s="27"/>
      <c r="E487" s="27"/>
      <c r="F487" s="27"/>
      <c r="G487" s="27"/>
      <c r="H487" s="27"/>
      <c r="I487" s="32" t="str">
        <f aca="false">IF(A487="","",IF(AND(H487="Positive",IFERROR(INDEX(Contacts!$K$3:$K$502,MATCH(C487,Contacts!$B$3:$B$502,0)),"No")&lt;&gt;"Yes"),"Yes","No"))</f>
        <v/>
      </c>
    </row>
    <row r="488" customFormat="false" ht="15" hidden="false" customHeight="false" outlineLevel="0" collapsed="false">
      <c r="A488" s="28"/>
      <c r="B488" s="27"/>
      <c r="C488" s="27"/>
      <c r="D488" s="27"/>
      <c r="E488" s="27"/>
      <c r="F488" s="27"/>
      <c r="G488" s="27"/>
      <c r="H488" s="27"/>
      <c r="I488" s="32" t="str">
        <f aca="false">IF(A488="","",IF(AND(H488="Positive",IFERROR(INDEX(Contacts!$K$3:$K$502,MATCH(C488,Contacts!$B$3:$B$502,0)),"No")&lt;&gt;"Yes"),"Yes","No"))</f>
        <v/>
      </c>
    </row>
    <row r="489" customFormat="false" ht="15" hidden="false" customHeight="false" outlineLevel="0" collapsed="false">
      <c r="A489" s="28"/>
      <c r="B489" s="27"/>
      <c r="C489" s="27"/>
      <c r="D489" s="27"/>
      <c r="E489" s="27"/>
      <c r="F489" s="27"/>
      <c r="G489" s="27"/>
      <c r="H489" s="27"/>
      <c r="I489" s="32" t="str">
        <f aca="false">IF(A489="","",IF(AND(H489="Positive",IFERROR(INDEX(Contacts!$K$3:$K$502,MATCH(C489,Contacts!$B$3:$B$502,0)),"No")&lt;&gt;"Yes"),"Yes","No"))</f>
        <v/>
      </c>
    </row>
    <row r="490" customFormat="false" ht="15" hidden="false" customHeight="false" outlineLevel="0" collapsed="false">
      <c r="A490" s="28"/>
      <c r="B490" s="27"/>
      <c r="C490" s="27"/>
      <c r="D490" s="27"/>
      <c r="E490" s="27"/>
      <c r="F490" s="27"/>
      <c r="G490" s="27"/>
      <c r="H490" s="27"/>
      <c r="I490" s="32" t="str">
        <f aca="false">IF(A490="","",IF(AND(H490="Positive",IFERROR(INDEX(Contacts!$K$3:$K$502,MATCH(C490,Contacts!$B$3:$B$502,0)),"No")&lt;&gt;"Yes"),"Yes","No"))</f>
        <v/>
      </c>
    </row>
    <row r="491" customFormat="false" ht="15" hidden="false" customHeight="false" outlineLevel="0" collapsed="false">
      <c r="A491" s="28"/>
      <c r="B491" s="27"/>
      <c r="C491" s="27"/>
      <c r="D491" s="27"/>
      <c r="E491" s="27"/>
      <c r="F491" s="27"/>
      <c r="G491" s="27"/>
      <c r="H491" s="27"/>
      <c r="I491" s="32" t="str">
        <f aca="false">IF(A491="","",IF(AND(H491="Positive",IFERROR(INDEX(Contacts!$K$3:$K$502,MATCH(C491,Contacts!$B$3:$B$502,0)),"No")&lt;&gt;"Yes"),"Yes","No"))</f>
        <v/>
      </c>
    </row>
    <row r="492" customFormat="false" ht="15" hidden="false" customHeight="false" outlineLevel="0" collapsed="false">
      <c r="A492" s="28"/>
      <c r="B492" s="27"/>
      <c r="C492" s="27"/>
      <c r="D492" s="27"/>
      <c r="E492" s="27"/>
      <c r="F492" s="27"/>
      <c r="G492" s="27"/>
      <c r="H492" s="27"/>
      <c r="I492" s="32" t="str">
        <f aca="false">IF(A492="","",IF(AND(H492="Positive",IFERROR(INDEX(Contacts!$K$3:$K$502,MATCH(C492,Contacts!$B$3:$B$502,0)),"No")&lt;&gt;"Yes"),"Yes","No"))</f>
        <v/>
      </c>
    </row>
    <row r="493" customFormat="false" ht="15" hidden="false" customHeight="false" outlineLevel="0" collapsed="false">
      <c r="A493" s="28"/>
      <c r="B493" s="27"/>
      <c r="C493" s="27"/>
      <c r="D493" s="27"/>
      <c r="E493" s="27"/>
      <c r="F493" s="27"/>
      <c r="G493" s="27"/>
      <c r="H493" s="27"/>
      <c r="I493" s="32" t="str">
        <f aca="false">IF(A493="","",IF(AND(H493="Positive",IFERROR(INDEX(Contacts!$K$3:$K$502,MATCH(C493,Contacts!$B$3:$B$502,0)),"No")&lt;&gt;"Yes"),"Yes","No"))</f>
        <v/>
      </c>
    </row>
    <row r="494" customFormat="false" ht="15" hidden="false" customHeight="false" outlineLevel="0" collapsed="false">
      <c r="A494" s="28"/>
      <c r="B494" s="27"/>
      <c r="C494" s="27"/>
      <c r="D494" s="27"/>
      <c r="E494" s="27"/>
      <c r="F494" s="27"/>
      <c r="G494" s="27"/>
      <c r="H494" s="27"/>
      <c r="I494" s="32" t="str">
        <f aca="false">IF(A494="","",IF(AND(H494="Positive",IFERROR(INDEX(Contacts!$K$3:$K$502,MATCH(C494,Contacts!$B$3:$B$502,0)),"No")&lt;&gt;"Yes"),"Yes","No"))</f>
        <v/>
      </c>
    </row>
    <row r="495" customFormat="false" ht="15" hidden="false" customHeight="false" outlineLevel="0" collapsed="false">
      <c r="A495" s="28"/>
      <c r="B495" s="27"/>
      <c r="C495" s="27"/>
      <c r="D495" s="27"/>
      <c r="E495" s="27"/>
      <c r="F495" s="27"/>
      <c r="G495" s="27"/>
      <c r="H495" s="27"/>
      <c r="I495" s="32" t="str">
        <f aca="false">IF(A495="","",IF(AND(H495="Positive",IFERROR(INDEX(Contacts!$K$3:$K$502,MATCH(C495,Contacts!$B$3:$B$502,0)),"No")&lt;&gt;"Yes"),"Yes","No"))</f>
        <v/>
      </c>
    </row>
    <row r="496" customFormat="false" ht="15" hidden="false" customHeight="false" outlineLevel="0" collapsed="false">
      <c r="A496" s="28"/>
      <c r="B496" s="27"/>
      <c r="C496" s="27"/>
      <c r="D496" s="27"/>
      <c r="E496" s="27"/>
      <c r="F496" s="27"/>
      <c r="G496" s="27"/>
      <c r="H496" s="27"/>
      <c r="I496" s="32" t="str">
        <f aca="false">IF(A496="","",IF(AND(H496="Positive",IFERROR(INDEX(Contacts!$K$3:$K$502,MATCH(C496,Contacts!$B$3:$B$502,0)),"No")&lt;&gt;"Yes"),"Yes","No"))</f>
        <v/>
      </c>
    </row>
    <row r="497" customFormat="false" ht="15" hidden="false" customHeight="false" outlineLevel="0" collapsed="false">
      <c r="A497" s="28"/>
      <c r="B497" s="27"/>
      <c r="C497" s="27"/>
      <c r="D497" s="27"/>
      <c r="E497" s="27"/>
      <c r="F497" s="27"/>
      <c r="G497" s="27"/>
      <c r="H497" s="27"/>
      <c r="I497" s="32" t="str">
        <f aca="false">IF(A497="","",IF(AND(H497="Positive",IFERROR(INDEX(Contacts!$K$3:$K$502,MATCH(C497,Contacts!$B$3:$B$502,0)),"No")&lt;&gt;"Yes"),"Yes","No"))</f>
        <v/>
      </c>
    </row>
    <row r="498" customFormat="false" ht="15" hidden="false" customHeight="false" outlineLevel="0" collapsed="false">
      <c r="A498" s="28"/>
      <c r="B498" s="27"/>
      <c r="C498" s="27"/>
      <c r="D498" s="27"/>
      <c r="E498" s="27"/>
      <c r="F498" s="27"/>
      <c r="G498" s="27"/>
      <c r="H498" s="27"/>
      <c r="I498" s="32" t="str">
        <f aca="false">IF(A498="","",IF(AND(H498="Positive",IFERROR(INDEX(Contacts!$K$3:$K$502,MATCH(C498,Contacts!$B$3:$B$502,0)),"No")&lt;&gt;"Yes"),"Yes","No"))</f>
        <v/>
      </c>
    </row>
    <row r="499" customFormat="false" ht="15" hidden="false" customHeight="false" outlineLevel="0" collapsed="false">
      <c r="A499" s="28"/>
      <c r="B499" s="27"/>
      <c r="C499" s="27"/>
      <c r="D499" s="27"/>
      <c r="E499" s="27"/>
      <c r="F499" s="27"/>
      <c r="G499" s="27"/>
      <c r="H499" s="27"/>
      <c r="I499" s="32" t="str">
        <f aca="false">IF(A499="","",IF(AND(H499="Positive",IFERROR(INDEX(Contacts!$K$3:$K$502,MATCH(C499,Contacts!$B$3:$B$502,0)),"No")&lt;&gt;"Yes"),"Yes","No"))</f>
        <v/>
      </c>
    </row>
    <row r="500" customFormat="false" ht="15" hidden="false" customHeight="false" outlineLevel="0" collapsed="false">
      <c r="A500" s="28"/>
      <c r="B500" s="27"/>
      <c r="C500" s="27"/>
      <c r="D500" s="27"/>
      <c r="E500" s="27"/>
      <c r="F500" s="27"/>
      <c r="G500" s="27"/>
      <c r="H500" s="27"/>
      <c r="I500" s="32" t="str">
        <f aca="false">IF(A500="","",IF(AND(H500="Positive",IFERROR(INDEX(Contacts!$K$3:$K$502,MATCH(C500,Contacts!$B$3:$B$502,0)),"No")&lt;&gt;"Yes"),"Yes","No"))</f>
        <v/>
      </c>
    </row>
    <row r="501" customFormat="false" ht="15" hidden="false" customHeight="false" outlineLevel="0" collapsed="false">
      <c r="A501" s="28"/>
      <c r="B501" s="27"/>
      <c r="C501" s="27"/>
      <c r="D501" s="27"/>
      <c r="E501" s="27"/>
      <c r="F501" s="27"/>
      <c r="G501" s="27"/>
      <c r="H501" s="27"/>
      <c r="I501" s="32" t="str">
        <f aca="false">IF(A501="","",IF(AND(H501="Positive",IFERROR(INDEX(Contacts!$K$3:$K$502,MATCH(C501,Contacts!$B$3:$B$502,0)),"No")&lt;&gt;"Yes"),"Yes","No"))</f>
        <v/>
      </c>
    </row>
    <row r="502" customFormat="false" ht="15" hidden="false" customHeight="false" outlineLevel="0" collapsed="false">
      <c r="A502" s="28"/>
      <c r="B502" s="27"/>
      <c r="C502" s="27"/>
      <c r="D502" s="27"/>
      <c r="E502" s="27"/>
      <c r="F502" s="27"/>
      <c r="G502" s="27"/>
      <c r="H502" s="27"/>
      <c r="I502" s="32" t="str">
        <f aca="false">IF(A502="","",IF(AND(H502="Positive",IFERROR(INDEX(Contacts!$K$3:$K$502,MATCH(C502,Contacts!$B$3:$B$502,0)),"No")&lt;&gt;"Yes"),"Yes","No"))</f>
        <v/>
      </c>
    </row>
  </sheetData>
  <mergeCells count="1">
    <mergeCell ref="A1:I1"/>
  </mergeCells>
  <dataValidations count="6">
    <dataValidation allowBlank="true" error="Choose a value from the list." errorStyle="stop" errorTitle="Not in the list" operator="between" showDropDown="false" showErrorMessage="false" showInputMessage="false" sqref="B3:B502" type="list">
      <formula1>R_Company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C3:C502" type="list">
      <formula1>R_ContactName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D3:D502" type="list">
      <formula1>R_TeamName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E3:E502" type="list">
      <formula1>L_Channel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F3:F502" type="list">
      <formula1>L_Direction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H3:H502" type="list">
      <formula1>L_Outcome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73"/>
    <pageSetUpPr fitToPage="false"/>
  </sheetPr>
  <dimension ref="A1:J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25" t="s">
        <v>358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31.5" hidden="false" customHeight="true" outlineLevel="0" collapsed="false">
      <c r="A2" s="26" t="s">
        <v>26</v>
      </c>
      <c r="B2" s="26" t="s">
        <v>359</v>
      </c>
      <c r="C2" s="26" t="s">
        <v>360</v>
      </c>
      <c r="D2" s="26" t="s">
        <v>361</v>
      </c>
      <c r="E2" s="26" t="s">
        <v>362</v>
      </c>
      <c r="F2" s="26" t="s">
        <v>253</v>
      </c>
      <c r="G2" s="26" t="s">
        <v>363</v>
      </c>
      <c r="H2" s="26" t="s">
        <v>364</v>
      </c>
      <c r="I2" s="26" t="s">
        <v>365</v>
      </c>
      <c r="J2" s="31" t="s">
        <v>366</v>
      </c>
    </row>
    <row r="3" customFormat="false" ht="15" hidden="false" customHeight="false" outlineLevel="0" collapsed="false">
      <c r="A3" s="27" t="s">
        <v>212</v>
      </c>
      <c r="B3" s="27" t="s">
        <v>171</v>
      </c>
      <c r="C3" s="27" t="s">
        <v>367</v>
      </c>
      <c r="D3" s="27" t="s">
        <v>368</v>
      </c>
      <c r="E3" s="27"/>
      <c r="F3" s="27" t="s">
        <v>369</v>
      </c>
      <c r="G3" s="27" t="s">
        <v>132</v>
      </c>
      <c r="H3" s="27" t="s">
        <v>124</v>
      </c>
      <c r="I3" s="28" t="n">
        <f aca="true">TODAY()-15</f>
        <v>46292</v>
      </c>
      <c r="J3" s="32" t="str">
        <f aca="false">IF(C3="","",IF(AND(G3="Yes",H3=""),"Unchecked AI draft: do not use",IF(AND(D3&lt;&gt;"Unknown",F3=""),"Needs source",IF(AND(D3="Source-backed inference",E3=""),"Needs reasoning",IF(D3="","Choose a label","OK")))))</f>
        <v>OK</v>
      </c>
    </row>
    <row r="4" customFormat="false" ht="15" hidden="false" customHeight="false" outlineLevel="0" collapsed="false">
      <c r="A4" s="27" t="s">
        <v>212</v>
      </c>
      <c r="B4" s="27" t="s">
        <v>174</v>
      </c>
      <c r="C4" s="27" t="s">
        <v>370</v>
      </c>
      <c r="D4" s="27" t="s">
        <v>371</v>
      </c>
      <c r="E4" s="27" t="s">
        <v>372</v>
      </c>
      <c r="F4" s="27" t="s">
        <v>373</v>
      </c>
      <c r="G4" s="27" t="s">
        <v>132</v>
      </c>
      <c r="H4" s="27" t="s">
        <v>124</v>
      </c>
      <c r="I4" s="28" t="n">
        <f aca="true">TODAY()-15</f>
        <v>46292</v>
      </c>
      <c r="J4" s="32" t="str">
        <f aca="false">IF(C4="","",IF(AND(G4="Yes",H4=""),"Unchecked AI draft: do not use",IF(AND(D4&lt;&gt;"Unknown",F4=""),"Needs source",IF(AND(D4="Source-backed inference",E4=""),"Needs reasoning",IF(D4="","Choose a label","OK")))))</f>
        <v>OK</v>
      </c>
    </row>
    <row r="5" customFormat="false" ht="15" hidden="false" customHeight="false" outlineLevel="0" collapsed="false">
      <c r="A5" s="27" t="s">
        <v>212</v>
      </c>
      <c r="B5" s="27" t="s">
        <v>374</v>
      </c>
      <c r="C5" s="27" t="s">
        <v>375</v>
      </c>
      <c r="D5" s="27" t="s">
        <v>292</v>
      </c>
      <c r="E5" s="27"/>
      <c r="F5" s="27"/>
      <c r="G5" s="27" t="s">
        <v>132</v>
      </c>
      <c r="H5" s="27"/>
      <c r="I5" s="28"/>
      <c r="J5" s="32" t="str">
        <f aca="false">IF(C5="","",IF(AND(G5="Yes",H5=""),"Unchecked AI draft: do not use",IF(AND(D5&lt;&gt;"Unknown",F5=""),"Needs source",IF(AND(D5="Source-backed inference",E5=""),"Needs reasoning",IF(D5="","Choose a label","OK")))))</f>
        <v>OK</v>
      </c>
    </row>
    <row r="6" customFormat="false" ht="15" hidden="false" customHeight="false" outlineLevel="0" collapsed="false">
      <c r="A6" s="27" t="s">
        <v>203</v>
      </c>
      <c r="B6" s="27" t="s">
        <v>168</v>
      </c>
      <c r="C6" s="27" t="s">
        <v>376</v>
      </c>
      <c r="D6" s="27" t="s">
        <v>368</v>
      </c>
      <c r="E6" s="27"/>
      <c r="F6" s="27" t="s">
        <v>377</v>
      </c>
      <c r="G6" s="27" t="s">
        <v>126</v>
      </c>
      <c r="H6" s="27"/>
      <c r="I6" s="28"/>
      <c r="J6" s="32" t="str">
        <f aca="false">IF(C6="","",IF(AND(G6="Yes",H6=""),"Unchecked AI draft: do not use",IF(AND(D6&lt;&gt;"Unknown",F6=""),"Needs source",IF(AND(D6="Source-backed inference",E6=""),"Needs reasoning",IF(D6="","Choose a label","OK")))))</f>
        <v>Unchecked AI draft: do not use</v>
      </c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8"/>
      <c r="J7" s="32" t="str">
        <f aca="false">IF(C7="","",IF(AND(G7="Yes",H7=""),"Unchecked AI draft: do not use",IF(AND(D7&lt;&gt;"Unknown",F7=""),"Needs source",IF(AND(D7="Source-backed inference",E7=""),"Needs reasoning",IF(D7="","Choose a label","OK")))))</f>
        <v/>
      </c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8"/>
      <c r="J8" s="32" t="str">
        <f aca="false">IF(C8="","",IF(AND(G8="Yes",H8=""),"Unchecked AI draft: do not use",IF(AND(D8&lt;&gt;"Unknown",F8=""),"Needs source",IF(AND(D8="Source-backed inference",E8=""),"Needs reasoning",IF(D8="","Choose a label","OK")))))</f>
        <v/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8"/>
      <c r="J9" s="32" t="str">
        <f aca="false">IF(C9="","",IF(AND(G9="Yes",H9=""),"Unchecked AI draft: do not use",IF(AND(D9&lt;&gt;"Unknown",F9=""),"Needs source",IF(AND(D9="Source-backed inference",E9=""),"Needs reasoning",IF(D9="","Choose a label","OK")))))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8"/>
      <c r="J10" s="32" t="str">
        <f aca="false">IF(C10="","",IF(AND(G10="Yes",H10=""),"Unchecked AI draft: do not use",IF(AND(D10&lt;&gt;"Unknown",F10=""),"Needs source",IF(AND(D10="Source-backed inference",E10=""),"Needs reasoning",IF(D10="","Choose a label","OK")))))</f>
        <v/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8"/>
      <c r="J11" s="32" t="str">
        <f aca="false">IF(C11="","",IF(AND(G11="Yes",H11=""),"Unchecked AI draft: do not use",IF(AND(D11&lt;&gt;"Unknown",F11=""),"Needs source",IF(AND(D11="Source-backed inference",E11=""),"Needs reasoning",IF(D11="","Choose a label","OK")))))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8"/>
      <c r="J12" s="32" t="str">
        <f aca="false">IF(C12="","",IF(AND(G12="Yes",H12=""),"Unchecked AI draft: do not use",IF(AND(D12&lt;&gt;"Unknown",F12=""),"Needs source",IF(AND(D12="Source-backed inference",E12=""),"Needs reasoning",IF(D12="","Choose a label","OK")))))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8"/>
      <c r="J13" s="32" t="str">
        <f aca="false">IF(C13="","",IF(AND(G13="Yes",H13=""),"Unchecked AI draft: do not use",IF(AND(D13&lt;&gt;"Unknown",F13=""),"Needs source",IF(AND(D13="Source-backed inference",E13=""),"Needs reasoning",IF(D13="","Choose a label","OK")))))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8"/>
      <c r="J14" s="32" t="str">
        <f aca="false">IF(C14="","",IF(AND(G14="Yes",H14=""),"Unchecked AI draft: do not use",IF(AND(D14&lt;&gt;"Unknown",F14=""),"Needs source",IF(AND(D14="Source-backed inference",E14=""),"Needs reasoning",IF(D14="","Choose a label","OK")))))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8"/>
      <c r="J15" s="32" t="str">
        <f aca="false">IF(C15="","",IF(AND(G15="Yes",H15=""),"Unchecked AI draft: do not use",IF(AND(D15&lt;&gt;"Unknown",F15=""),"Needs source",IF(AND(D15="Source-backed inference",E15=""),"Needs reasoning",IF(D15="","Choose a label","OK")))))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8"/>
      <c r="J16" s="32" t="str">
        <f aca="false">IF(C16="","",IF(AND(G16="Yes",H16=""),"Unchecked AI draft: do not use",IF(AND(D16&lt;&gt;"Unknown",F16=""),"Needs source",IF(AND(D16="Source-backed inference",E16=""),"Needs reasoning",IF(D16="","Choose a label","OK")))))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8"/>
      <c r="J17" s="32" t="str">
        <f aca="false">IF(C17="","",IF(AND(G17="Yes",H17=""),"Unchecked AI draft: do not use",IF(AND(D17&lt;&gt;"Unknown",F17=""),"Needs source",IF(AND(D17="Source-backed inference",E17=""),"Needs reasoning",IF(D17="","Choose a label","OK")))))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8"/>
      <c r="J18" s="32" t="str">
        <f aca="false">IF(C18="","",IF(AND(G18="Yes",H18=""),"Unchecked AI draft: do not use",IF(AND(D18&lt;&gt;"Unknown",F18=""),"Needs source",IF(AND(D18="Source-backed inference",E18=""),"Needs reasoning",IF(D18="","Choose a label","OK")))))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8"/>
      <c r="J19" s="32" t="str">
        <f aca="false">IF(C19="","",IF(AND(G19="Yes",H19=""),"Unchecked AI draft: do not use",IF(AND(D19&lt;&gt;"Unknown",F19=""),"Needs source",IF(AND(D19="Source-backed inference",E19=""),"Needs reasoning",IF(D19="","Choose a label","OK")))))</f>
        <v/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8"/>
      <c r="J20" s="32" t="str">
        <f aca="false">IF(C20="","",IF(AND(G20="Yes",H20=""),"Unchecked AI draft: do not use",IF(AND(D20&lt;&gt;"Unknown",F20=""),"Needs source",IF(AND(D20="Source-backed inference",E20=""),"Needs reasoning",IF(D20="","Choose a label","OK")))))</f>
        <v/>
      </c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8"/>
      <c r="J21" s="32" t="str">
        <f aca="false">IF(C21="","",IF(AND(G21="Yes",H21=""),"Unchecked AI draft: do not use",IF(AND(D21&lt;&gt;"Unknown",F21=""),"Needs source",IF(AND(D21="Source-backed inference",E21=""),"Needs reasoning",IF(D21="","Choose a label","OK")))))</f>
        <v/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8"/>
      <c r="J22" s="32" t="str">
        <f aca="false">IF(C22="","",IF(AND(G22="Yes",H22=""),"Unchecked AI draft: do not use",IF(AND(D22&lt;&gt;"Unknown",F22=""),"Needs source",IF(AND(D22="Source-backed inference",E22=""),"Needs reasoning",IF(D22="","Choose a label","OK")))))</f>
        <v/>
      </c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8"/>
      <c r="J23" s="32" t="str">
        <f aca="false">IF(C23="","",IF(AND(G23="Yes",H23=""),"Unchecked AI draft: do not use",IF(AND(D23&lt;&gt;"Unknown",F23=""),"Needs source",IF(AND(D23="Source-backed inference",E23=""),"Needs reasoning",IF(D23="","Choose a label","OK")))))</f>
        <v/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8"/>
      <c r="J24" s="32" t="str">
        <f aca="false">IF(C24="","",IF(AND(G24="Yes",H24=""),"Unchecked AI draft: do not use",IF(AND(D24&lt;&gt;"Unknown",F24=""),"Needs source",IF(AND(D24="Source-backed inference",E24=""),"Needs reasoning",IF(D24="","Choose a label","OK")))))</f>
        <v/>
      </c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8"/>
      <c r="J25" s="32" t="str">
        <f aca="false">IF(C25="","",IF(AND(G25="Yes",H25=""),"Unchecked AI draft: do not use",IF(AND(D25&lt;&gt;"Unknown",F25=""),"Needs source",IF(AND(D25="Source-backed inference",E25=""),"Needs reasoning",IF(D25="","Choose a label","OK")))))</f>
        <v/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8"/>
      <c r="J26" s="32" t="str">
        <f aca="false">IF(C26="","",IF(AND(G26="Yes",H26=""),"Unchecked AI draft: do not use",IF(AND(D26&lt;&gt;"Unknown",F26=""),"Needs source",IF(AND(D26="Source-backed inference",E26=""),"Needs reasoning",IF(D26="","Choose a label","OK")))))</f>
        <v/>
      </c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8"/>
      <c r="J27" s="32" t="str">
        <f aca="false">IF(C27="","",IF(AND(G27="Yes",H27=""),"Unchecked AI draft: do not use",IF(AND(D27&lt;&gt;"Unknown",F27=""),"Needs source",IF(AND(D27="Source-backed inference",E27=""),"Needs reasoning",IF(D27="","Choose a label","OK")))))</f>
        <v/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8"/>
      <c r="J28" s="32" t="str">
        <f aca="false">IF(C28="","",IF(AND(G28="Yes",H28=""),"Unchecked AI draft: do not use",IF(AND(D28&lt;&gt;"Unknown",F28=""),"Needs source",IF(AND(D28="Source-backed inference",E28=""),"Needs reasoning",IF(D28="","Choose a label","OK")))))</f>
        <v/>
      </c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8"/>
      <c r="J29" s="32" t="str">
        <f aca="false">IF(C29="","",IF(AND(G29="Yes",H29=""),"Unchecked AI draft: do not use",IF(AND(D29&lt;&gt;"Unknown",F29=""),"Needs source",IF(AND(D29="Source-backed inference",E29=""),"Needs reasoning",IF(D29="","Choose a label","OK")))))</f>
        <v/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8"/>
      <c r="J30" s="32" t="str">
        <f aca="false">IF(C30="","",IF(AND(G30="Yes",H30=""),"Unchecked AI draft: do not use",IF(AND(D30&lt;&gt;"Unknown",F30=""),"Needs source",IF(AND(D30="Source-backed inference",E30=""),"Needs reasoning",IF(D30="","Choose a label","OK")))))</f>
        <v/>
      </c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8"/>
      <c r="J31" s="32" t="str">
        <f aca="false">IF(C31="","",IF(AND(G31="Yes",H31=""),"Unchecked AI draft: do not use",IF(AND(D31&lt;&gt;"Unknown",F31=""),"Needs source",IF(AND(D31="Source-backed inference",E31=""),"Needs reasoning",IF(D31="","Choose a label","OK")))))</f>
        <v/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8"/>
      <c r="J32" s="32" t="str">
        <f aca="false">IF(C32="","",IF(AND(G32="Yes",H32=""),"Unchecked AI draft: do not use",IF(AND(D32&lt;&gt;"Unknown",F32=""),"Needs source",IF(AND(D32="Source-backed inference",E32=""),"Needs reasoning",IF(D32="","Choose a label","OK")))))</f>
        <v/>
      </c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8"/>
      <c r="J33" s="32" t="str">
        <f aca="false">IF(C33="","",IF(AND(G33="Yes",H33=""),"Unchecked AI draft: do not use",IF(AND(D33&lt;&gt;"Unknown",F33=""),"Needs source",IF(AND(D33="Source-backed inference",E33=""),"Needs reasoning",IF(D33="","Choose a label","OK")))))</f>
        <v/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8"/>
      <c r="J34" s="32" t="str">
        <f aca="false">IF(C34="","",IF(AND(G34="Yes",H34=""),"Unchecked AI draft: do not use",IF(AND(D34&lt;&gt;"Unknown",F34=""),"Needs source",IF(AND(D34="Source-backed inference",E34=""),"Needs reasoning",IF(D34="","Choose a label","OK")))))</f>
        <v/>
      </c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8"/>
      <c r="J35" s="32" t="str">
        <f aca="false">IF(C35="","",IF(AND(G35="Yes",H35=""),"Unchecked AI draft: do not use",IF(AND(D35&lt;&gt;"Unknown",F35=""),"Needs source",IF(AND(D35="Source-backed inference",E35=""),"Needs reasoning",IF(D35="","Choose a label","OK")))))</f>
        <v/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8"/>
      <c r="J36" s="32" t="str">
        <f aca="false">IF(C36="","",IF(AND(G36="Yes",H36=""),"Unchecked AI draft: do not use",IF(AND(D36&lt;&gt;"Unknown",F36=""),"Needs source",IF(AND(D36="Source-backed inference",E36=""),"Needs reasoning",IF(D36="","Choose a label","OK")))))</f>
        <v/>
      </c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8"/>
      <c r="J37" s="32" t="str">
        <f aca="false">IF(C37="","",IF(AND(G37="Yes",H37=""),"Unchecked AI draft: do not use",IF(AND(D37&lt;&gt;"Unknown",F37=""),"Needs source",IF(AND(D37="Source-backed inference",E37=""),"Needs reasoning",IF(D37="","Choose a label","OK")))))</f>
        <v/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8"/>
      <c r="J38" s="32" t="str">
        <f aca="false">IF(C38="","",IF(AND(G38="Yes",H38=""),"Unchecked AI draft: do not use",IF(AND(D38&lt;&gt;"Unknown",F38=""),"Needs source",IF(AND(D38="Source-backed inference",E38=""),"Needs reasoning",IF(D38="","Choose a label","OK")))))</f>
        <v/>
      </c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8"/>
      <c r="J39" s="32" t="str">
        <f aca="false">IF(C39="","",IF(AND(G39="Yes",H39=""),"Unchecked AI draft: do not use",IF(AND(D39&lt;&gt;"Unknown",F39=""),"Needs source",IF(AND(D39="Source-backed inference",E39=""),"Needs reasoning",IF(D39="","Choose a label","OK")))))</f>
        <v/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8"/>
      <c r="J40" s="32" t="str">
        <f aca="false">IF(C40="","",IF(AND(G40="Yes",H40=""),"Unchecked AI draft: do not use",IF(AND(D40&lt;&gt;"Unknown",F40=""),"Needs source",IF(AND(D40="Source-backed inference",E40=""),"Needs reasoning",IF(D40="","Choose a label","OK")))))</f>
        <v/>
      </c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8"/>
      <c r="J41" s="32" t="str">
        <f aca="false">IF(C41="","",IF(AND(G41="Yes",H41=""),"Unchecked AI draft: do not use",IF(AND(D41&lt;&gt;"Unknown",F41=""),"Needs source",IF(AND(D41="Source-backed inference",E41=""),"Needs reasoning",IF(D41="","Choose a label","OK")))))</f>
        <v/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8"/>
      <c r="J42" s="32" t="str">
        <f aca="false">IF(C42="","",IF(AND(G42="Yes",H42=""),"Unchecked AI draft: do not use",IF(AND(D42&lt;&gt;"Unknown",F42=""),"Needs source",IF(AND(D42="Source-backed inference",E42=""),"Needs reasoning",IF(D42="","Choose a label","OK")))))</f>
        <v/>
      </c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8"/>
      <c r="J43" s="32" t="str">
        <f aca="false">IF(C43="","",IF(AND(G43="Yes",H43=""),"Unchecked AI draft: do not use",IF(AND(D43&lt;&gt;"Unknown",F43=""),"Needs source",IF(AND(D43="Source-backed inference",E43=""),"Needs reasoning",IF(D43="","Choose a label","OK")))))</f>
        <v/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8"/>
      <c r="J44" s="32" t="str">
        <f aca="false">IF(C44="","",IF(AND(G44="Yes",H44=""),"Unchecked AI draft: do not use",IF(AND(D44&lt;&gt;"Unknown",F44=""),"Needs source",IF(AND(D44="Source-backed inference",E44=""),"Needs reasoning",IF(D44="","Choose a label","OK")))))</f>
        <v/>
      </c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8"/>
      <c r="J45" s="32" t="str">
        <f aca="false">IF(C45="","",IF(AND(G45="Yes",H45=""),"Unchecked AI draft: do not use",IF(AND(D45&lt;&gt;"Unknown",F45=""),"Needs source",IF(AND(D45="Source-backed inference",E45=""),"Needs reasoning",IF(D45="","Choose a label","OK")))))</f>
        <v/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8"/>
      <c r="J46" s="32" t="str">
        <f aca="false">IF(C46="","",IF(AND(G46="Yes",H46=""),"Unchecked AI draft: do not use",IF(AND(D46&lt;&gt;"Unknown",F46=""),"Needs source",IF(AND(D46="Source-backed inference",E46=""),"Needs reasoning",IF(D46="","Choose a label","OK")))))</f>
        <v/>
      </c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8"/>
      <c r="J47" s="32" t="str">
        <f aca="false">IF(C47="","",IF(AND(G47="Yes",H47=""),"Unchecked AI draft: do not use",IF(AND(D47&lt;&gt;"Unknown",F47=""),"Needs source",IF(AND(D47="Source-backed inference",E47=""),"Needs reasoning",IF(D47="","Choose a label","OK")))))</f>
        <v/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8"/>
      <c r="J48" s="32" t="str">
        <f aca="false">IF(C48="","",IF(AND(G48="Yes",H48=""),"Unchecked AI draft: do not use",IF(AND(D48&lt;&gt;"Unknown",F48=""),"Needs source",IF(AND(D48="Source-backed inference",E48=""),"Needs reasoning",IF(D48="","Choose a label","OK")))))</f>
        <v/>
      </c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8"/>
      <c r="J49" s="32" t="str">
        <f aca="false">IF(C49="","",IF(AND(G49="Yes",H49=""),"Unchecked AI draft: do not use",IF(AND(D49&lt;&gt;"Unknown",F49=""),"Needs source",IF(AND(D49="Source-backed inference",E49=""),"Needs reasoning",IF(D49="","Choose a label","OK")))))</f>
        <v/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8"/>
      <c r="J50" s="32" t="str">
        <f aca="false">IF(C50="","",IF(AND(G50="Yes",H50=""),"Unchecked AI draft: do not use",IF(AND(D50&lt;&gt;"Unknown",F50=""),"Needs source",IF(AND(D50="Source-backed inference",E50=""),"Needs reasoning",IF(D50="","Choose a label","OK")))))</f>
        <v/>
      </c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8"/>
      <c r="J51" s="32" t="str">
        <f aca="false">IF(C51="","",IF(AND(G51="Yes",H51=""),"Unchecked AI draft: do not use",IF(AND(D51&lt;&gt;"Unknown",F51=""),"Needs source",IF(AND(D51="Source-backed inference",E51=""),"Needs reasoning",IF(D51="","Choose a label","OK")))))</f>
        <v/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8"/>
      <c r="J52" s="32" t="str">
        <f aca="false">IF(C52="","",IF(AND(G52="Yes",H52=""),"Unchecked AI draft: do not use",IF(AND(D52&lt;&gt;"Unknown",F52=""),"Needs source",IF(AND(D52="Source-backed inference",E52=""),"Needs reasoning",IF(D52="","Choose a label","OK")))))</f>
        <v/>
      </c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8"/>
      <c r="J53" s="32" t="str">
        <f aca="false">IF(C53="","",IF(AND(G53="Yes",H53=""),"Unchecked AI draft: do not use",IF(AND(D53&lt;&gt;"Unknown",F53=""),"Needs source",IF(AND(D53="Source-backed inference",E53=""),"Needs reasoning",IF(D53="","Choose a label","OK")))))</f>
        <v/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8"/>
      <c r="J54" s="32" t="str">
        <f aca="false">IF(C54="","",IF(AND(G54="Yes",H54=""),"Unchecked AI draft: do not use",IF(AND(D54&lt;&gt;"Unknown",F54=""),"Needs source",IF(AND(D54="Source-backed inference",E54=""),"Needs reasoning",IF(D54="","Choose a label","OK")))))</f>
        <v/>
      </c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8"/>
      <c r="J55" s="32" t="str">
        <f aca="false">IF(C55="","",IF(AND(G55="Yes",H55=""),"Unchecked AI draft: do not use",IF(AND(D55&lt;&gt;"Unknown",F55=""),"Needs source",IF(AND(D55="Source-backed inference",E55=""),"Needs reasoning",IF(D55="","Choose a label","OK")))))</f>
        <v/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8"/>
      <c r="J56" s="32" t="str">
        <f aca="false">IF(C56="","",IF(AND(G56="Yes",H56=""),"Unchecked AI draft: do not use",IF(AND(D56&lt;&gt;"Unknown",F56=""),"Needs source",IF(AND(D56="Source-backed inference",E56=""),"Needs reasoning",IF(D56="","Choose a label","OK")))))</f>
        <v/>
      </c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8"/>
      <c r="J57" s="32" t="str">
        <f aca="false">IF(C57="","",IF(AND(G57="Yes",H57=""),"Unchecked AI draft: do not use",IF(AND(D57&lt;&gt;"Unknown",F57=""),"Needs source",IF(AND(D57="Source-backed inference",E57=""),"Needs reasoning",IF(D57="","Choose a label","OK")))))</f>
        <v/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8"/>
      <c r="J58" s="32" t="str">
        <f aca="false">IF(C58="","",IF(AND(G58="Yes",H58=""),"Unchecked AI draft: do not use",IF(AND(D58&lt;&gt;"Unknown",F58=""),"Needs source",IF(AND(D58="Source-backed inference",E58=""),"Needs reasoning",IF(D58="","Choose a label","OK")))))</f>
        <v/>
      </c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8"/>
      <c r="J59" s="32" t="str">
        <f aca="false">IF(C59="","",IF(AND(G59="Yes",H59=""),"Unchecked AI draft: do not use",IF(AND(D59&lt;&gt;"Unknown",F59=""),"Needs source",IF(AND(D59="Source-backed inference",E59=""),"Needs reasoning",IF(D59="","Choose a label","OK")))))</f>
        <v/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8"/>
      <c r="J60" s="32" t="str">
        <f aca="false">IF(C60="","",IF(AND(G60="Yes",H60=""),"Unchecked AI draft: do not use",IF(AND(D60&lt;&gt;"Unknown",F60=""),"Needs source",IF(AND(D60="Source-backed inference",E60=""),"Needs reasoning",IF(D60="","Choose a label","OK")))))</f>
        <v/>
      </c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8"/>
      <c r="J61" s="32" t="str">
        <f aca="false">IF(C61="","",IF(AND(G61="Yes",H61=""),"Unchecked AI draft: do not use",IF(AND(D61&lt;&gt;"Unknown",F61=""),"Needs source",IF(AND(D61="Source-backed inference",E61=""),"Needs reasoning",IF(D61="","Choose a label","OK")))))</f>
        <v/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8"/>
      <c r="J62" s="32" t="str">
        <f aca="false">IF(C62="","",IF(AND(G62="Yes",H62=""),"Unchecked AI draft: do not use",IF(AND(D62&lt;&gt;"Unknown",F62=""),"Needs source",IF(AND(D62="Source-backed inference",E62=""),"Needs reasoning",IF(D62="","Choose a label","OK")))))</f>
        <v/>
      </c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8"/>
      <c r="J63" s="32" t="str">
        <f aca="false">IF(C63="","",IF(AND(G63="Yes",H63=""),"Unchecked AI draft: do not use",IF(AND(D63&lt;&gt;"Unknown",F63=""),"Needs source",IF(AND(D63="Source-backed inference",E63=""),"Needs reasoning",IF(D63="","Choose a label","OK")))))</f>
        <v/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8"/>
      <c r="J64" s="32" t="str">
        <f aca="false">IF(C64="","",IF(AND(G64="Yes",H64=""),"Unchecked AI draft: do not use",IF(AND(D64&lt;&gt;"Unknown",F64=""),"Needs source",IF(AND(D64="Source-backed inference",E64=""),"Needs reasoning",IF(D64="","Choose a label","OK")))))</f>
        <v/>
      </c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8"/>
      <c r="J65" s="32" t="str">
        <f aca="false">IF(C65="","",IF(AND(G65="Yes",H65=""),"Unchecked AI draft: do not use",IF(AND(D65&lt;&gt;"Unknown",F65=""),"Needs source",IF(AND(D65="Source-backed inference",E65=""),"Needs reasoning",IF(D65="","Choose a label","OK")))))</f>
        <v/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8"/>
      <c r="J66" s="32" t="str">
        <f aca="false">IF(C66="","",IF(AND(G66="Yes",H66=""),"Unchecked AI draft: do not use",IF(AND(D66&lt;&gt;"Unknown",F66=""),"Needs source",IF(AND(D66="Source-backed inference",E66=""),"Needs reasoning",IF(D66="","Choose a label","OK")))))</f>
        <v/>
      </c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8"/>
      <c r="J67" s="32" t="str">
        <f aca="false">IF(C67="","",IF(AND(G67="Yes",H67=""),"Unchecked AI draft: do not use",IF(AND(D67&lt;&gt;"Unknown",F67=""),"Needs source",IF(AND(D67="Source-backed inference",E67=""),"Needs reasoning",IF(D67="","Choose a label","OK")))))</f>
        <v/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8"/>
      <c r="J68" s="32" t="str">
        <f aca="false">IF(C68="","",IF(AND(G68="Yes",H68=""),"Unchecked AI draft: do not use",IF(AND(D68&lt;&gt;"Unknown",F68=""),"Needs source",IF(AND(D68="Source-backed inference",E68=""),"Needs reasoning",IF(D68="","Choose a label","OK")))))</f>
        <v/>
      </c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8"/>
      <c r="J69" s="32" t="str">
        <f aca="false">IF(C69="","",IF(AND(G69="Yes",H69=""),"Unchecked AI draft: do not use",IF(AND(D69&lt;&gt;"Unknown",F69=""),"Needs source",IF(AND(D69="Source-backed inference",E69=""),"Needs reasoning",IF(D69="","Choose a label","OK")))))</f>
        <v/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8"/>
      <c r="J70" s="32" t="str">
        <f aca="false">IF(C70="","",IF(AND(G70="Yes",H70=""),"Unchecked AI draft: do not use",IF(AND(D70&lt;&gt;"Unknown",F70=""),"Needs source",IF(AND(D70="Source-backed inference",E70=""),"Needs reasoning",IF(D70="","Choose a label","OK")))))</f>
        <v/>
      </c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8"/>
      <c r="J71" s="32" t="str">
        <f aca="false">IF(C71="","",IF(AND(G71="Yes",H71=""),"Unchecked AI draft: do not use",IF(AND(D71&lt;&gt;"Unknown",F71=""),"Needs source",IF(AND(D71="Source-backed inference",E71=""),"Needs reasoning",IF(D71="","Choose a label","OK")))))</f>
        <v/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8"/>
      <c r="J72" s="32" t="str">
        <f aca="false">IF(C72="","",IF(AND(G72="Yes",H72=""),"Unchecked AI draft: do not use",IF(AND(D72&lt;&gt;"Unknown",F72=""),"Needs source",IF(AND(D72="Source-backed inference",E72=""),"Needs reasoning",IF(D72="","Choose a label","OK")))))</f>
        <v/>
      </c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8"/>
      <c r="J73" s="32" t="str">
        <f aca="false">IF(C73="","",IF(AND(G73="Yes",H73=""),"Unchecked AI draft: do not use",IF(AND(D73&lt;&gt;"Unknown",F73=""),"Needs source",IF(AND(D73="Source-backed inference",E73=""),"Needs reasoning",IF(D73="","Choose a label","OK")))))</f>
        <v/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8"/>
      <c r="J74" s="32" t="str">
        <f aca="false">IF(C74="","",IF(AND(G74="Yes",H74=""),"Unchecked AI draft: do not use",IF(AND(D74&lt;&gt;"Unknown",F74=""),"Needs source",IF(AND(D74="Source-backed inference",E74=""),"Needs reasoning",IF(D74="","Choose a label","OK")))))</f>
        <v/>
      </c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8"/>
      <c r="J75" s="32" t="str">
        <f aca="false">IF(C75="","",IF(AND(G75="Yes",H75=""),"Unchecked AI draft: do not use",IF(AND(D75&lt;&gt;"Unknown",F75=""),"Needs source",IF(AND(D75="Source-backed inference",E75=""),"Needs reasoning",IF(D75="","Choose a label","OK")))))</f>
        <v/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8"/>
      <c r="J76" s="32" t="str">
        <f aca="false">IF(C76="","",IF(AND(G76="Yes",H76=""),"Unchecked AI draft: do not use",IF(AND(D76&lt;&gt;"Unknown",F76=""),"Needs source",IF(AND(D76="Source-backed inference",E76=""),"Needs reasoning",IF(D76="","Choose a label","OK")))))</f>
        <v/>
      </c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8"/>
      <c r="J77" s="32" t="str">
        <f aca="false">IF(C77="","",IF(AND(G77="Yes",H77=""),"Unchecked AI draft: do not use",IF(AND(D77&lt;&gt;"Unknown",F77=""),"Needs source",IF(AND(D77="Source-backed inference",E77=""),"Needs reasoning",IF(D77="","Choose a label","OK")))))</f>
        <v/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8"/>
      <c r="J78" s="32" t="str">
        <f aca="false">IF(C78="","",IF(AND(G78="Yes",H78=""),"Unchecked AI draft: do not use",IF(AND(D78&lt;&gt;"Unknown",F78=""),"Needs source",IF(AND(D78="Source-backed inference",E78=""),"Needs reasoning",IF(D78="","Choose a label","OK")))))</f>
        <v/>
      </c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8"/>
      <c r="J79" s="32" t="str">
        <f aca="false">IF(C79="","",IF(AND(G79="Yes",H79=""),"Unchecked AI draft: do not use",IF(AND(D79&lt;&gt;"Unknown",F79=""),"Needs source",IF(AND(D79="Source-backed inference",E79=""),"Needs reasoning",IF(D79="","Choose a label","OK")))))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8"/>
      <c r="J80" s="32" t="str">
        <f aca="false">IF(C80="","",IF(AND(G80="Yes",H80=""),"Unchecked AI draft: do not use",IF(AND(D80&lt;&gt;"Unknown",F80=""),"Needs source",IF(AND(D80="Source-backed inference",E80=""),"Needs reasoning",IF(D80="","Choose a label","OK")))))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8"/>
      <c r="J81" s="32" t="str">
        <f aca="false">IF(C81="","",IF(AND(G81="Yes",H81=""),"Unchecked AI draft: do not use",IF(AND(D81&lt;&gt;"Unknown",F81=""),"Needs source",IF(AND(D81="Source-backed inference",E81=""),"Needs reasoning",IF(D81="","Choose a label","OK")))))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8"/>
      <c r="J82" s="32" t="str">
        <f aca="false">IF(C82="","",IF(AND(G82="Yes",H82=""),"Unchecked AI draft: do not use",IF(AND(D82&lt;&gt;"Unknown",F82=""),"Needs source",IF(AND(D82="Source-backed inference",E82=""),"Needs reasoning",IF(D82="","Choose a label","OK")))))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8"/>
      <c r="J83" s="32" t="str">
        <f aca="false">IF(C83="","",IF(AND(G83="Yes",H83=""),"Unchecked AI draft: do not use",IF(AND(D83&lt;&gt;"Unknown",F83=""),"Needs source",IF(AND(D83="Source-backed inference",E83=""),"Needs reasoning",IF(D83="","Choose a label","OK")))))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8"/>
      <c r="J84" s="32" t="str">
        <f aca="false">IF(C84="","",IF(AND(G84="Yes",H84=""),"Unchecked AI draft: do not use",IF(AND(D84&lt;&gt;"Unknown",F84=""),"Needs source",IF(AND(D84="Source-backed inference",E84=""),"Needs reasoning",IF(D84="","Choose a label","OK")))))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8"/>
      <c r="J85" s="32" t="str">
        <f aca="false">IF(C85="","",IF(AND(G85="Yes",H85=""),"Unchecked AI draft: do not use",IF(AND(D85&lt;&gt;"Unknown",F85=""),"Needs source",IF(AND(D85="Source-backed inference",E85=""),"Needs reasoning",IF(D85="","Choose a label","OK")))))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8"/>
      <c r="J86" s="32" t="str">
        <f aca="false">IF(C86="","",IF(AND(G86="Yes",H86=""),"Unchecked AI draft: do not use",IF(AND(D86&lt;&gt;"Unknown",F86=""),"Needs source",IF(AND(D86="Source-backed inference",E86=""),"Needs reasoning",IF(D86="","Choose a label","OK")))))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8"/>
      <c r="J87" s="32" t="str">
        <f aca="false">IF(C87="","",IF(AND(G87="Yes",H87=""),"Unchecked AI draft: do not use",IF(AND(D87&lt;&gt;"Unknown",F87=""),"Needs source",IF(AND(D87="Source-backed inference",E87=""),"Needs reasoning",IF(D87="","Choose a label","OK")))))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8"/>
      <c r="J88" s="32" t="str">
        <f aca="false">IF(C88="","",IF(AND(G88="Yes",H88=""),"Unchecked AI draft: do not use",IF(AND(D88&lt;&gt;"Unknown",F88=""),"Needs source",IF(AND(D88="Source-backed inference",E88=""),"Needs reasoning",IF(D88="","Choose a label","OK")))))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8"/>
      <c r="J89" s="32" t="str">
        <f aca="false">IF(C89="","",IF(AND(G89="Yes",H89=""),"Unchecked AI draft: do not use",IF(AND(D89&lt;&gt;"Unknown",F89=""),"Needs source",IF(AND(D89="Source-backed inference",E89=""),"Needs reasoning",IF(D89="","Choose a label","OK")))))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8"/>
      <c r="J90" s="32" t="str">
        <f aca="false">IF(C90="","",IF(AND(G90="Yes",H90=""),"Unchecked AI draft: do not use",IF(AND(D90&lt;&gt;"Unknown",F90=""),"Needs source",IF(AND(D90="Source-backed inference",E90=""),"Needs reasoning",IF(D90="","Choose a label","OK")))))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8"/>
      <c r="J91" s="32" t="str">
        <f aca="false">IF(C91="","",IF(AND(G91="Yes",H91=""),"Unchecked AI draft: do not use",IF(AND(D91&lt;&gt;"Unknown",F91=""),"Needs source",IF(AND(D91="Source-backed inference",E91=""),"Needs reasoning",IF(D91="","Choose a label","OK")))))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8"/>
      <c r="J92" s="32" t="str">
        <f aca="false">IF(C92="","",IF(AND(G92="Yes",H92=""),"Unchecked AI draft: do not use",IF(AND(D92&lt;&gt;"Unknown",F92=""),"Needs source",IF(AND(D92="Source-backed inference",E92=""),"Needs reasoning",IF(D92="","Choose a label","OK")))))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8"/>
      <c r="J93" s="32" t="str">
        <f aca="false">IF(C93="","",IF(AND(G93="Yes",H93=""),"Unchecked AI draft: do not use",IF(AND(D93&lt;&gt;"Unknown",F93=""),"Needs source",IF(AND(D93="Source-backed inference",E93=""),"Needs reasoning",IF(D93="","Choose a label","OK")))))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8"/>
      <c r="J94" s="32" t="str">
        <f aca="false">IF(C94="","",IF(AND(G94="Yes",H94=""),"Unchecked AI draft: do not use",IF(AND(D94&lt;&gt;"Unknown",F94=""),"Needs source",IF(AND(D94="Source-backed inference",E94=""),"Needs reasoning",IF(D94="","Choose a label","OK")))))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8"/>
      <c r="J95" s="32" t="str">
        <f aca="false">IF(C95="","",IF(AND(G95="Yes",H95=""),"Unchecked AI draft: do not use",IF(AND(D95&lt;&gt;"Unknown",F95=""),"Needs source",IF(AND(D95="Source-backed inference",E95=""),"Needs reasoning",IF(D95="","Choose a label","OK")))))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8"/>
      <c r="J96" s="32" t="str">
        <f aca="false">IF(C96="","",IF(AND(G96="Yes",H96=""),"Unchecked AI draft: do not use",IF(AND(D96&lt;&gt;"Unknown",F96=""),"Needs source",IF(AND(D96="Source-backed inference",E96=""),"Needs reasoning",IF(D96="","Choose a label","OK")))))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8"/>
      <c r="J97" s="32" t="str">
        <f aca="false">IF(C97="","",IF(AND(G97="Yes",H97=""),"Unchecked AI draft: do not use",IF(AND(D97&lt;&gt;"Unknown",F97=""),"Needs source",IF(AND(D97="Source-backed inference",E97=""),"Needs reasoning",IF(D97="","Choose a label","OK")))))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8"/>
      <c r="J98" s="32" t="str">
        <f aca="false">IF(C98="","",IF(AND(G98="Yes",H98=""),"Unchecked AI draft: do not use",IF(AND(D98&lt;&gt;"Unknown",F98=""),"Needs source",IF(AND(D98="Source-backed inference",E98=""),"Needs reasoning",IF(D98="","Choose a label","OK")))))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8"/>
      <c r="J99" s="32" t="str">
        <f aca="false">IF(C99="","",IF(AND(G99="Yes",H99=""),"Unchecked AI draft: do not use",IF(AND(D99&lt;&gt;"Unknown",F99=""),"Needs source",IF(AND(D99="Source-backed inference",E99=""),"Needs reasoning",IF(D99="","Choose a label","OK")))))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8"/>
      <c r="J100" s="32" t="str">
        <f aca="false">IF(C100="","",IF(AND(G100="Yes",H100=""),"Unchecked AI draft: do not use",IF(AND(D100&lt;&gt;"Unknown",F100=""),"Needs source",IF(AND(D100="Source-backed inference",E100=""),"Needs reasoning",IF(D100="","Choose a label","OK")))))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8"/>
      <c r="J101" s="32" t="str">
        <f aca="false">IF(C101="","",IF(AND(G101="Yes",H101=""),"Unchecked AI draft: do not use",IF(AND(D101&lt;&gt;"Unknown",F101=""),"Needs source",IF(AND(D101="Source-backed inference",E101=""),"Needs reasoning",IF(D101="","Choose a label","OK")))))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8"/>
      <c r="J102" s="32" t="str">
        <f aca="false">IF(C102="","",IF(AND(G102="Yes",H102=""),"Unchecked AI draft: do not use",IF(AND(D102&lt;&gt;"Unknown",F102=""),"Needs source",IF(AND(D102="Source-backed inference",E102=""),"Needs reasoning",IF(D102="","Choose a label","OK")))))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8"/>
      <c r="J103" s="32" t="str">
        <f aca="false">IF(C103="","",IF(AND(G103="Yes",H103=""),"Unchecked AI draft: do not use",IF(AND(D103&lt;&gt;"Unknown",F103=""),"Needs source",IF(AND(D103="Source-backed inference",E103=""),"Needs reasoning",IF(D103="","Choose a label","OK")))))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8"/>
      <c r="J104" s="32" t="str">
        <f aca="false">IF(C104="","",IF(AND(G104="Yes",H104=""),"Unchecked AI draft: do not use",IF(AND(D104&lt;&gt;"Unknown",F104=""),"Needs source",IF(AND(D104="Source-backed inference",E104=""),"Needs reasoning",IF(D104="","Choose a label","OK")))))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8"/>
      <c r="J105" s="32" t="str">
        <f aca="false">IF(C105="","",IF(AND(G105="Yes",H105=""),"Unchecked AI draft: do not use",IF(AND(D105&lt;&gt;"Unknown",F105=""),"Needs source",IF(AND(D105="Source-backed inference",E105=""),"Needs reasoning",IF(D105="","Choose a label","OK")))))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8"/>
      <c r="J106" s="32" t="str">
        <f aca="false">IF(C106="","",IF(AND(G106="Yes",H106=""),"Unchecked AI draft: do not use",IF(AND(D106&lt;&gt;"Unknown",F106=""),"Needs source",IF(AND(D106="Source-backed inference",E106=""),"Needs reasoning",IF(D106="","Choose a label","OK")))))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8"/>
      <c r="J107" s="32" t="str">
        <f aca="false">IF(C107="","",IF(AND(G107="Yes",H107=""),"Unchecked AI draft: do not use",IF(AND(D107&lt;&gt;"Unknown",F107=""),"Needs source",IF(AND(D107="Source-backed inference",E107=""),"Needs reasoning",IF(D107="","Choose a label","OK")))))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8"/>
      <c r="J108" s="32" t="str">
        <f aca="false">IF(C108="","",IF(AND(G108="Yes",H108=""),"Unchecked AI draft: do not use",IF(AND(D108&lt;&gt;"Unknown",F108=""),"Needs source",IF(AND(D108="Source-backed inference",E108=""),"Needs reasoning",IF(D108="","Choose a label","OK")))))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8"/>
      <c r="J109" s="32" t="str">
        <f aca="false">IF(C109="","",IF(AND(G109="Yes",H109=""),"Unchecked AI draft: do not use",IF(AND(D109&lt;&gt;"Unknown",F109=""),"Needs source",IF(AND(D109="Source-backed inference",E109=""),"Needs reasoning",IF(D109="","Choose a label","OK")))))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8"/>
      <c r="J110" s="32" t="str">
        <f aca="false">IF(C110="","",IF(AND(G110="Yes",H110=""),"Unchecked AI draft: do not use",IF(AND(D110&lt;&gt;"Unknown",F110=""),"Needs source",IF(AND(D110="Source-backed inference",E110=""),"Needs reasoning",IF(D110="","Choose a label","OK")))))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8"/>
      <c r="J111" s="32" t="str">
        <f aca="false">IF(C111="","",IF(AND(G111="Yes",H111=""),"Unchecked AI draft: do not use",IF(AND(D111&lt;&gt;"Unknown",F111=""),"Needs source",IF(AND(D111="Source-backed inference",E111=""),"Needs reasoning",IF(D111="","Choose a label","OK")))))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8"/>
      <c r="J112" s="32" t="str">
        <f aca="false">IF(C112="","",IF(AND(G112="Yes",H112=""),"Unchecked AI draft: do not use",IF(AND(D112&lt;&gt;"Unknown",F112=""),"Needs source",IF(AND(D112="Source-backed inference",E112=""),"Needs reasoning",IF(D112="","Choose a label","OK")))))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8"/>
      <c r="J113" s="32" t="str">
        <f aca="false">IF(C113="","",IF(AND(G113="Yes",H113=""),"Unchecked AI draft: do not use",IF(AND(D113&lt;&gt;"Unknown",F113=""),"Needs source",IF(AND(D113="Source-backed inference",E113=""),"Needs reasoning",IF(D113="","Choose a label","OK")))))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8"/>
      <c r="J114" s="32" t="str">
        <f aca="false">IF(C114="","",IF(AND(G114="Yes",H114=""),"Unchecked AI draft: do not use",IF(AND(D114&lt;&gt;"Unknown",F114=""),"Needs source",IF(AND(D114="Source-backed inference",E114=""),"Needs reasoning",IF(D114="","Choose a label","OK")))))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8"/>
      <c r="J115" s="32" t="str">
        <f aca="false">IF(C115="","",IF(AND(G115="Yes",H115=""),"Unchecked AI draft: do not use",IF(AND(D115&lt;&gt;"Unknown",F115=""),"Needs source",IF(AND(D115="Source-backed inference",E115=""),"Needs reasoning",IF(D115="","Choose a label","OK")))))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8"/>
      <c r="J116" s="32" t="str">
        <f aca="false">IF(C116="","",IF(AND(G116="Yes",H116=""),"Unchecked AI draft: do not use",IF(AND(D116&lt;&gt;"Unknown",F116=""),"Needs source",IF(AND(D116="Source-backed inference",E116=""),"Needs reasoning",IF(D116="","Choose a label","OK")))))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8"/>
      <c r="J117" s="32" t="str">
        <f aca="false">IF(C117="","",IF(AND(G117="Yes",H117=""),"Unchecked AI draft: do not use",IF(AND(D117&lt;&gt;"Unknown",F117=""),"Needs source",IF(AND(D117="Source-backed inference",E117=""),"Needs reasoning",IF(D117="","Choose a label","OK")))))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8"/>
      <c r="J118" s="32" t="str">
        <f aca="false">IF(C118="","",IF(AND(G118="Yes",H118=""),"Unchecked AI draft: do not use",IF(AND(D118&lt;&gt;"Unknown",F118=""),"Needs source",IF(AND(D118="Source-backed inference",E118=""),"Needs reasoning",IF(D118="","Choose a label","OK")))))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8"/>
      <c r="J119" s="32" t="str">
        <f aca="false">IF(C119="","",IF(AND(G119="Yes",H119=""),"Unchecked AI draft: do not use",IF(AND(D119&lt;&gt;"Unknown",F119=""),"Needs source",IF(AND(D119="Source-backed inference",E119=""),"Needs reasoning",IF(D119="","Choose a label","OK")))))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8"/>
      <c r="J120" s="32" t="str">
        <f aca="false">IF(C120="","",IF(AND(G120="Yes",H120=""),"Unchecked AI draft: do not use",IF(AND(D120&lt;&gt;"Unknown",F120=""),"Needs source",IF(AND(D120="Source-backed inference",E120=""),"Needs reasoning",IF(D120="","Choose a label","OK")))))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8"/>
      <c r="J121" s="32" t="str">
        <f aca="false">IF(C121="","",IF(AND(G121="Yes",H121=""),"Unchecked AI draft: do not use",IF(AND(D121&lt;&gt;"Unknown",F121=""),"Needs source",IF(AND(D121="Source-backed inference",E121=""),"Needs reasoning",IF(D121="","Choose a label","OK")))))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8"/>
      <c r="J122" s="32" t="str">
        <f aca="false">IF(C122="","",IF(AND(G122="Yes",H122=""),"Unchecked AI draft: do not use",IF(AND(D122&lt;&gt;"Unknown",F122=""),"Needs source",IF(AND(D122="Source-backed inference",E122=""),"Needs reasoning",IF(D122="","Choose a label","OK")))))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8"/>
      <c r="J123" s="32" t="str">
        <f aca="false">IF(C123="","",IF(AND(G123="Yes",H123=""),"Unchecked AI draft: do not use",IF(AND(D123&lt;&gt;"Unknown",F123=""),"Needs source",IF(AND(D123="Source-backed inference",E123=""),"Needs reasoning",IF(D123="","Choose a label","OK")))))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8"/>
      <c r="J124" s="32" t="str">
        <f aca="false">IF(C124="","",IF(AND(G124="Yes",H124=""),"Unchecked AI draft: do not use",IF(AND(D124&lt;&gt;"Unknown",F124=""),"Needs source",IF(AND(D124="Source-backed inference",E124=""),"Needs reasoning",IF(D124="","Choose a label","OK")))))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8"/>
      <c r="J125" s="32" t="str">
        <f aca="false">IF(C125="","",IF(AND(G125="Yes",H125=""),"Unchecked AI draft: do not use",IF(AND(D125&lt;&gt;"Unknown",F125=""),"Needs source",IF(AND(D125="Source-backed inference",E125=""),"Needs reasoning",IF(D125="","Choose a label","OK")))))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8"/>
      <c r="J126" s="32" t="str">
        <f aca="false">IF(C126="","",IF(AND(G126="Yes",H126=""),"Unchecked AI draft: do not use",IF(AND(D126&lt;&gt;"Unknown",F126=""),"Needs source",IF(AND(D126="Source-backed inference",E126=""),"Needs reasoning",IF(D126="","Choose a label","OK")))))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8"/>
      <c r="J127" s="32" t="str">
        <f aca="false">IF(C127="","",IF(AND(G127="Yes",H127=""),"Unchecked AI draft: do not use",IF(AND(D127&lt;&gt;"Unknown",F127=""),"Needs source",IF(AND(D127="Source-backed inference",E127=""),"Needs reasoning",IF(D127="","Choose a label","OK")))))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8"/>
      <c r="J128" s="32" t="str">
        <f aca="false">IF(C128="","",IF(AND(G128="Yes",H128=""),"Unchecked AI draft: do not use",IF(AND(D128&lt;&gt;"Unknown",F128=""),"Needs source",IF(AND(D128="Source-backed inference",E128=""),"Needs reasoning",IF(D128="","Choose a label","OK")))))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8"/>
      <c r="J129" s="32" t="str">
        <f aca="false">IF(C129="","",IF(AND(G129="Yes",H129=""),"Unchecked AI draft: do not use",IF(AND(D129&lt;&gt;"Unknown",F129=""),"Needs source",IF(AND(D129="Source-backed inference",E129=""),"Needs reasoning",IF(D129="","Choose a label","OK")))))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8"/>
      <c r="J130" s="32" t="str">
        <f aca="false">IF(C130="","",IF(AND(G130="Yes",H130=""),"Unchecked AI draft: do not use",IF(AND(D130&lt;&gt;"Unknown",F130=""),"Needs source",IF(AND(D130="Source-backed inference",E130=""),"Needs reasoning",IF(D130="","Choose a label","OK")))))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8"/>
      <c r="J131" s="32" t="str">
        <f aca="false">IF(C131="","",IF(AND(G131="Yes",H131=""),"Unchecked AI draft: do not use",IF(AND(D131&lt;&gt;"Unknown",F131=""),"Needs source",IF(AND(D131="Source-backed inference",E131=""),"Needs reasoning",IF(D131="","Choose a label","OK")))))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8"/>
      <c r="J132" s="32" t="str">
        <f aca="false">IF(C132="","",IF(AND(G132="Yes",H132=""),"Unchecked AI draft: do not use",IF(AND(D132&lt;&gt;"Unknown",F132=""),"Needs source",IF(AND(D132="Source-backed inference",E132=""),"Needs reasoning",IF(D132="","Choose a label","OK")))))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8"/>
      <c r="J133" s="32" t="str">
        <f aca="false">IF(C133="","",IF(AND(G133="Yes",H133=""),"Unchecked AI draft: do not use",IF(AND(D133&lt;&gt;"Unknown",F133=""),"Needs source",IF(AND(D133="Source-backed inference",E133=""),"Needs reasoning",IF(D133="","Choose a label","OK")))))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8"/>
      <c r="J134" s="32" t="str">
        <f aca="false">IF(C134="","",IF(AND(G134="Yes",H134=""),"Unchecked AI draft: do not use",IF(AND(D134&lt;&gt;"Unknown",F134=""),"Needs source",IF(AND(D134="Source-backed inference",E134=""),"Needs reasoning",IF(D134="","Choose a label","OK")))))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8"/>
      <c r="J135" s="32" t="str">
        <f aca="false">IF(C135="","",IF(AND(G135="Yes",H135=""),"Unchecked AI draft: do not use",IF(AND(D135&lt;&gt;"Unknown",F135=""),"Needs source",IF(AND(D135="Source-backed inference",E135=""),"Needs reasoning",IF(D135="","Choose a label","OK")))))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8"/>
      <c r="J136" s="32" t="str">
        <f aca="false">IF(C136="","",IF(AND(G136="Yes",H136=""),"Unchecked AI draft: do not use",IF(AND(D136&lt;&gt;"Unknown",F136=""),"Needs source",IF(AND(D136="Source-backed inference",E136=""),"Needs reasoning",IF(D136="","Choose a label","OK")))))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8"/>
      <c r="J137" s="32" t="str">
        <f aca="false">IF(C137="","",IF(AND(G137="Yes",H137=""),"Unchecked AI draft: do not use",IF(AND(D137&lt;&gt;"Unknown",F137=""),"Needs source",IF(AND(D137="Source-backed inference",E137=""),"Needs reasoning",IF(D137="","Choose a label","OK")))))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8"/>
      <c r="J138" s="32" t="str">
        <f aca="false">IF(C138="","",IF(AND(G138="Yes",H138=""),"Unchecked AI draft: do not use",IF(AND(D138&lt;&gt;"Unknown",F138=""),"Needs source",IF(AND(D138="Source-backed inference",E138=""),"Needs reasoning",IF(D138="","Choose a label","OK")))))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8"/>
      <c r="J139" s="32" t="str">
        <f aca="false">IF(C139="","",IF(AND(G139="Yes",H139=""),"Unchecked AI draft: do not use",IF(AND(D139&lt;&gt;"Unknown",F139=""),"Needs source",IF(AND(D139="Source-backed inference",E139=""),"Needs reasoning",IF(D139="","Choose a label","OK")))))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8"/>
      <c r="J140" s="32" t="str">
        <f aca="false">IF(C140="","",IF(AND(G140="Yes",H140=""),"Unchecked AI draft: do not use",IF(AND(D140&lt;&gt;"Unknown",F140=""),"Needs source",IF(AND(D140="Source-backed inference",E140=""),"Needs reasoning",IF(D140="","Choose a label","OK")))))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8"/>
      <c r="J141" s="32" t="str">
        <f aca="false">IF(C141="","",IF(AND(G141="Yes",H141=""),"Unchecked AI draft: do not use",IF(AND(D141&lt;&gt;"Unknown",F141=""),"Needs source",IF(AND(D141="Source-backed inference",E141=""),"Needs reasoning",IF(D141="","Choose a label","OK")))))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8"/>
      <c r="J142" s="32" t="str">
        <f aca="false">IF(C142="","",IF(AND(G142="Yes",H142=""),"Unchecked AI draft: do not use",IF(AND(D142&lt;&gt;"Unknown",F142=""),"Needs source",IF(AND(D142="Source-backed inference",E142=""),"Needs reasoning",IF(D142="","Choose a label","OK")))))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8"/>
      <c r="J143" s="32" t="str">
        <f aca="false">IF(C143="","",IF(AND(G143="Yes",H143=""),"Unchecked AI draft: do not use",IF(AND(D143&lt;&gt;"Unknown",F143=""),"Needs source",IF(AND(D143="Source-backed inference",E143=""),"Needs reasoning",IF(D143="","Choose a label","OK")))))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8"/>
      <c r="J144" s="32" t="str">
        <f aca="false">IF(C144="","",IF(AND(G144="Yes",H144=""),"Unchecked AI draft: do not use",IF(AND(D144&lt;&gt;"Unknown",F144=""),"Needs source",IF(AND(D144="Source-backed inference",E144=""),"Needs reasoning",IF(D144="","Choose a label","OK")))))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8"/>
      <c r="J145" s="32" t="str">
        <f aca="false">IF(C145="","",IF(AND(G145="Yes",H145=""),"Unchecked AI draft: do not use",IF(AND(D145&lt;&gt;"Unknown",F145=""),"Needs source",IF(AND(D145="Source-backed inference",E145=""),"Needs reasoning",IF(D145="","Choose a label","OK")))))</f>
        <v/>
      </c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8"/>
      <c r="J146" s="32" t="str">
        <f aca="false">IF(C146="","",IF(AND(G146="Yes",H146=""),"Unchecked AI draft: do not use",IF(AND(D146&lt;&gt;"Unknown",F146=""),"Needs source",IF(AND(D146="Source-backed inference",E146=""),"Needs reasoning",IF(D146="","Choose a label","OK")))))</f>
        <v/>
      </c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8"/>
      <c r="J147" s="32" t="str">
        <f aca="false">IF(C147="","",IF(AND(G147="Yes",H147=""),"Unchecked AI draft: do not use",IF(AND(D147&lt;&gt;"Unknown",F147=""),"Needs source",IF(AND(D147="Source-backed inference",E147=""),"Needs reasoning",IF(D147="","Choose a label","OK")))))</f>
        <v/>
      </c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8"/>
      <c r="J148" s="32" t="str">
        <f aca="false">IF(C148="","",IF(AND(G148="Yes",H148=""),"Unchecked AI draft: do not use",IF(AND(D148&lt;&gt;"Unknown",F148=""),"Needs source",IF(AND(D148="Source-backed inference",E148=""),"Needs reasoning",IF(D148="","Choose a label","OK")))))</f>
        <v/>
      </c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8"/>
      <c r="J149" s="32" t="str">
        <f aca="false">IF(C149="","",IF(AND(G149="Yes",H149=""),"Unchecked AI draft: do not use",IF(AND(D149&lt;&gt;"Unknown",F149=""),"Needs source",IF(AND(D149="Source-backed inference",E149=""),"Needs reasoning",IF(D149="","Choose a label","OK")))))</f>
        <v/>
      </c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8"/>
      <c r="J150" s="32" t="str">
        <f aca="false">IF(C150="","",IF(AND(G150="Yes",H150=""),"Unchecked AI draft: do not use",IF(AND(D150&lt;&gt;"Unknown",F150=""),"Needs source",IF(AND(D150="Source-backed inference",E150=""),"Needs reasoning",IF(D150="","Choose a label","OK")))))</f>
        <v/>
      </c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8"/>
      <c r="J151" s="32" t="str">
        <f aca="false">IF(C151="","",IF(AND(G151="Yes",H151=""),"Unchecked AI draft: do not use",IF(AND(D151&lt;&gt;"Unknown",F151=""),"Needs source",IF(AND(D151="Source-backed inference",E151=""),"Needs reasoning",IF(D151="","Choose a label","OK")))))</f>
        <v/>
      </c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8"/>
      <c r="J152" s="32" t="str">
        <f aca="false">IF(C152="","",IF(AND(G152="Yes",H152=""),"Unchecked AI draft: do not use",IF(AND(D152&lt;&gt;"Unknown",F152=""),"Needs source",IF(AND(D152="Source-backed inference",E152=""),"Needs reasoning",IF(D152="","Choose a label","OK")))))</f>
        <v/>
      </c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8"/>
      <c r="J153" s="32" t="str">
        <f aca="false">IF(C153="","",IF(AND(G153="Yes",H153=""),"Unchecked AI draft: do not use",IF(AND(D153&lt;&gt;"Unknown",F153=""),"Needs source",IF(AND(D153="Source-backed inference",E153=""),"Needs reasoning",IF(D153="","Choose a label","OK")))))</f>
        <v/>
      </c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8"/>
      <c r="J154" s="32" t="str">
        <f aca="false">IF(C154="","",IF(AND(G154="Yes",H154=""),"Unchecked AI draft: do not use",IF(AND(D154&lt;&gt;"Unknown",F154=""),"Needs source",IF(AND(D154="Source-backed inference",E154=""),"Needs reasoning",IF(D154="","Choose a label","OK")))))</f>
        <v/>
      </c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8"/>
      <c r="J155" s="32" t="str">
        <f aca="false">IF(C155="","",IF(AND(G155="Yes",H155=""),"Unchecked AI draft: do not use",IF(AND(D155&lt;&gt;"Unknown",F155=""),"Needs source",IF(AND(D155="Source-backed inference",E155=""),"Needs reasoning",IF(D155="","Choose a label","OK")))))</f>
        <v/>
      </c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8"/>
      <c r="J156" s="32" t="str">
        <f aca="false">IF(C156="","",IF(AND(G156="Yes",H156=""),"Unchecked AI draft: do not use",IF(AND(D156&lt;&gt;"Unknown",F156=""),"Needs source",IF(AND(D156="Source-backed inference",E156=""),"Needs reasoning",IF(D156="","Choose a label","OK")))))</f>
        <v/>
      </c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8"/>
      <c r="J157" s="32" t="str">
        <f aca="false">IF(C157="","",IF(AND(G157="Yes",H157=""),"Unchecked AI draft: do not use",IF(AND(D157&lt;&gt;"Unknown",F157=""),"Needs source",IF(AND(D157="Source-backed inference",E157=""),"Needs reasoning",IF(D157="","Choose a label","OK")))))</f>
        <v/>
      </c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8"/>
      <c r="J158" s="32" t="str">
        <f aca="false">IF(C158="","",IF(AND(G158="Yes",H158=""),"Unchecked AI draft: do not use",IF(AND(D158&lt;&gt;"Unknown",F158=""),"Needs source",IF(AND(D158="Source-backed inference",E158=""),"Needs reasoning",IF(D158="","Choose a label","OK")))))</f>
        <v/>
      </c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8"/>
      <c r="J159" s="32" t="str">
        <f aca="false">IF(C159="","",IF(AND(G159="Yes",H159=""),"Unchecked AI draft: do not use",IF(AND(D159&lt;&gt;"Unknown",F159=""),"Needs source",IF(AND(D159="Source-backed inference",E159=""),"Needs reasoning",IF(D159="","Choose a label","OK")))))</f>
        <v/>
      </c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8"/>
      <c r="J160" s="32" t="str">
        <f aca="false">IF(C160="","",IF(AND(G160="Yes",H160=""),"Unchecked AI draft: do not use",IF(AND(D160&lt;&gt;"Unknown",F160=""),"Needs source",IF(AND(D160="Source-backed inference",E160=""),"Needs reasoning",IF(D160="","Choose a label","OK")))))</f>
        <v/>
      </c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8"/>
      <c r="J161" s="32" t="str">
        <f aca="false">IF(C161="","",IF(AND(G161="Yes",H161=""),"Unchecked AI draft: do not use",IF(AND(D161&lt;&gt;"Unknown",F161=""),"Needs source",IF(AND(D161="Source-backed inference",E161=""),"Needs reasoning",IF(D161="","Choose a label","OK")))))</f>
        <v/>
      </c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8"/>
      <c r="J162" s="32" t="str">
        <f aca="false">IF(C162="","",IF(AND(G162="Yes",H162=""),"Unchecked AI draft: do not use",IF(AND(D162&lt;&gt;"Unknown",F162=""),"Needs source",IF(AND(D162="Source-backed inference",E162=""),"Needs reasoning",IF(D162="","Choose a label","OK")))))</f>
        <v/>
      </c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8"/>
      <c r="J163" s="32" t="str">
        <f aca="false">IF(C163="","",IF(AND(G163="Yes",H163=""),"Unchecked AI draft: do not use",IF(AND(D163&lt;&gt;"Unknown",F163=""),"Needs source",IF(AND(D163="Source-backed inference",E163=""),"Needs reasoning",IF(D163="","Choose a label","OK")))))</f>
        <v/>
      </c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8"/>
      <c r="J164" s="32" t="str">
        <f aca="false">IF(C164="","",IF(AND(G164="Yes",H164=""),"Unchecked AI draft: do not use",IF(AND(D164&lt;&gt;"Unknown",F164=""),"Needs source",IF(AND(D164="Source-backed inference",E164=""),"Needs reasoning",IF(D164="","Choose a label","OK")))))</f>
        <v/>
      </c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8"/>
      <c r="J165" s="32" t="str">
        <f aca="false">IF(C165="","",IF(AND(G165="Yes",H165=""),"Unchecked AI draft: do not use",IF(AND(D165&lt;&gt;"Unknown",F165=""),"Needs source",IF(AND(D165="Source-backed inference",E165=""),"Needs reasoning",IF(D165="","Choose a label","OK")))))</f>
        <v/>
      </c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8"/>
      <c r="J166" s="32" t="str">
        <f aca="false">IF(C166="","",IF(AND(G166="Yes",H166=""),"Unchecked AI draft: do not use",IF(AND(D166&lt;&gt;"Unknown",F166=""),"Needs source",IF(AND(D166="Source-backed inference",E166=""),"Needs reasoning",IF(D166="","Choose a label","OK")))))</f>
        <v/>
      </c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8"/>
      <c r="J167" s="32" t="str">
        <f aca="false">IF(C167="","",IF(AND(G167="Yes",H167=""),"Unchecked AI draft: do not use",IF(AND(D167&lt;&gt;"Unknown",F167=""),"Needs source",IF(AND(D167="Source-backed inference",E167=""),"Needs reasoning",IF(D167="","Choose a label","OK")))))</f>
        <v/>
      </c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8"/>
      <c r="J168" s="32" t="str">
        <f aca="false">IF(C168="","",IF(AND(G168="Yes",H168=""),"Unchecked AI draft: do not use",IF(AND(D168&lt;&gt;"Unknown",F168=""),"Needs source",IF(AND(D168="Source-backed inference",E168=""),"Needs reasoning",IF(D168="","Choose a label","OK")))))</f>
        <v/>
      </c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8"/>
      <c r="J169" s="32" t="str">
        <f aca="false">IF(C169="","",IF(AND(G169="Yes",H169=""),"Unchecked AI draft: do not use",IF(AND(D169&lt;&gt;"Unknown",F169=""),"Needs source",IF(AND(D169="Source-backed inference",E169=""),"Needs reasoning",IF(D169="","Choose a label","OK")))))</f>
        <v/>
      </c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8"/>
      <c r="J170" s="32" t="str">
        <f aca="false">IF(C170="","",IF(AND(G170="Yes",H170=""),"Unchecked AI draft: do not use",IF(AND(D170&lt;&gt;"Unknown",F170=""),"Needs source",IF(AND(D170="Source-backed inference",E170=""),"Needs reasoning",IF(D170="","Choose a label","OK")))))</f>
        <v/>
      </c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8"/>
      <c r="J171" s="32" t="str">
        <f aca="false">IF(C171="","",IF(AND(G171="Yes",H171=""),"Unchecked AI draft: do not use",IF(AND(D171&lt;&gt;"Unknown",F171=""),"Needs source",IF(AND(D171="Source-backed inference",E171=""),"Needs reasoning",IF(D171="","Choose a label","OK")))))</f>
        <v/>
      </c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8"/>
      <c r="J172" s="32" t="str">
        <f aca="false">IF(C172="","",IF(AND(G172="Yes",H172=""),"Unchecked AI draft: do not use",IF(AND(D172&lt;&gt;"Unknown",F172=""),"Needs source",IF(AND(D172="Source-backed inference",E172=""),"Needs reasoning",IF(D172="","Choose a label","OK")))))</f>
        <v/>
      </c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8"/>
      <c r="J173" s="32" t="str">
        <f aca="false">IF(C173="","",IF(AND(G173="Yes",H173=""),"Unchecked AI draft: do not use",IF(AND(D173&lt;&gt;"Unknown",F173=""),"Needs source",IF(AND(D173="Source-backed inference",E173=""),"Needs reasoning",IF(D173="","Choose a label","OK")))))</f>
        <v/>
      </c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8"/>
      <c r="J174" s="32" t="str">
        <f aca="false">IF(C174="","",IF(AND(G174="Yes",H174=""),"Unchecked AI draft: do not use",IF(AND(D174&lt;&gt;"Unknown",F174=""),"Needs source",IF(AND(D174="Source-backed inference",E174=""),"Needs reasoning",IF(D174="","Choose a label","OK")))))</f>
        <v/>
      </c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8"/>
      <c r="J175" s="32" t="str">
        <f aca="false">IF(C175="","",IF(AND(G175="Yes",H175=""),"Unchecked AI draft: do not use",IF(AND(D175&lt;&gt;"Unknown",F175=""),"Needs source",IF(AND(D175="Source-backed inference",E175=""),"Needs reasoning",IF(D175="","Choose a label","OK")))))</f>
        <v/>
      </c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8"/>
      <c r="J176" s="32" t="str">
        <f aca="false">IF(C176="","",IF(AND(G176="Yes",H176=""),"Unchecked AI draft: do not use",IF(AND(D176&lt;&gt;"Unknown",F176=""),"Needs source",IF(AND(D176="Source-backed inference",E176=""),"Needs reasoning",IF(D176="","Choose a label","OK")))))</f>
        <v/>
      </c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8"/>
      <c r="J177" s="32" t="str">
        <f aca="false">IF(C177="","",IF(AND(G177="Yes",H177=""),"Unchecked AI draft: do not use",IF(AND(D177&lt;&gt;"Unknown",F177=""),"Needs source",IF(AND(D177="Source-backed inference",E177=""),"Needs reasoning",IF(D177="","Choose a label","OK")))))</f>
        <v/>
      </c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8"/>
      <c r="J178" s="32" t="str">
        <f aca="false">IF(C178="","",IF(AND(G178="Yes",H178=""),"Unchecked AI draft: do not use",IF(AND(D178&lt;&gt;"Unknown",F178=""),"Needs source",IF(AND(D178="Source-backed inference",E178=""),"Needs reasoning",IF(D178="","Choose a label","OK")))))</f>
        <v/>
      </c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8"/>
      <c r="J179" s="32" t="str">
        <f aca="false">IF(C179="","",IF(AND(G179="Yes",H179=""),"Unchecked AI draft: do not use",IF(AND(D179&lt;&gt;"Unknown",F179=""),"Needs source",IF(AND(D179="Source-backed inference",E179=""),"Needs reasoning",IF(D179="","Choose a label","OK")))))</f>
        <v/>
      </c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8"/>
      <c r="J180" s="32" t="str">
        <f aca="false">IF(C180="","",IF(AND(G180="Yes",H180=""),"Unchecked AI draft: do not use",IF(AND(D180&lt;&gt;"Unknown",F180=""),"Needs source",IF(AND(D180="Source-backed inference",E180=""),"Needs reasoning",IF(D180="","Choose a label","OK")))))</f>
        <v/>
      </c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8"/>
      <c r="J181" s="32" t="str">
        <f aca="false">IF(C181="","",IF(AND(G181="Yes",H181=""),"Unchecked AI draft: do not use",IF(AND(D181&lt;&gt;"Unknown",F181=""),"Needs source",IF(AND(D181="Source-backed inference",E181=""),"Needs reasoning",IF(D181="","Choose a label","OK")))))</f>
        <v/>
      </c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8"/>
      <c r="J182" s="32" t="str">
        <f aca="false">IF(C182="","",IF(AND(G182="Yes",H182=""),"Unchecked AI draft: do not use",IF(AND(D182&lt;&gt;"Unknown",F182=""),"Needs source",IF(AND(D182="Source-backed inference",E182=""),"Needs reasoning",IF(D182="","Choose a label","OK")))))</f>
        <v/>
      </c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8"/>
      <c r="J183" s="32" t="str">
        <f aca="false">IF(C183="","",IF(AND(G183="Yes",H183=""),"Unchecked AI draft: do not use",IF(AND(D183&lt;&gt;"Unknown",F183=""),"Needs source",IF(AND(D183="Source-backed inference",E183=""),"Needs reasoning",IF(D183="","Choose a label","OK")))))</f>
        <v/>
      </c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8"/>
      <c r="J184" s="32" t="str">
        <f aca="false">IF(C184="","",IF(AND(G184="Yes",H184=""),"Unchecked AI draft: do not use",IF(AND(D184&lt;&gt;"Unknown",F184=""),"Needs source",IF(AND(D184="Source-backed inference",E184=""),"Needs reasoning",IF(D184="","Choose a label","OK")))))</f>
        <v/>
      </c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8"/>
      <c r="J185" s="32" t="str">
        <f aca="false">IF(C185="","",IF(AND(G185="Yes",H185=""),"Unchecked AI draft: do not use",IF(AND(D185&lt;&gt;"Unknown",F185=""),"Needs source",IF(AND(D185="Source-backed inference",E185=""),"Needs reasoning",IF(D185="","Choose a label","OK")))))</f>
        <v/>
      </c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8"/>
      <c r="J186" s="32" t="str">
        <f aca="false">IF(C186="","",IF(AND(G186="Yes",H186=""),"Unchecked AI draft: do not use",IF(AND(D186&lt;&gt;"Unknown",F186=""),"Needs source",IF(AND(D186="Source-backed inference",E186=""),"Needs reasoning",IF(D186="","Choose a label","OK")))))</f>
        <v/>
      </c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8"/>
      <c r="J187" s="32" t="str">
        <f aca="false">IF(C187="","",IF(AND(G187="Yes",H187=""),"Unchecked AI draft: do not use",IF(AND(D187&lt;&gt;"Unknown",F187=""),"Needs source",IF(AND(D187="Source-backed inference",E187=""),"Needs reasoning",IF(D187="","Choose a label","OK")))))</f>
        <v/>
      </c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8"/>
      <c r="J188" s="32" t="str">
        <f aca="false">IF(C188="","",IF(AND(G188="Yes",H188=""),"Unchecked AI draft: do not use",IF(AND(D188&lt;&gt;"Unknown",F188=""),"Needs source",IF(AND(D188="Source-backed inference",E188=""),"Needs reasoning",IF(D188="","Choose a label","OK")))))</f>
        <v/>
      </c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8"/>
      <c r="J189" s="32" t="str">
        <f aca="false">IF(C189="","",IF(AND(G189="Yes",H189=""),"Unchecked AI draft: do not use",IF(AND(D189&lt;&gt;"Unknown",F189=""),"Needs source",IF(AND(D189="Source-backed inference",E189=""),"Needs reasoning",IF(D189="","Choose a label","OK")))))</f>
        <v/>
      </c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8"/>
      <c r="J190" s="32" t="str">
        <f aca="false">IF(C190="","",IF(AND(G190="Yes",H190=""),"Unchecked AI draft: do not use",IF(AND(D190&lt;&gt;"Unknown",F190=""),"Needs source",IF(AND(D190="Source-backed inference",E190=""),"Needs reasoning",IF(D190="","Choose a label","OK")))))</f>
        <v/>
      </c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8"/>
      <c r="J191" s="32" t="str">
        <f aca="false">IF(C191="","",IF(AND(G191="Yes",H191=""),"Unchecked AI draft: do not use",IF(AND(D191&lt;&gt;"Unknown",F191=""),"Needs source",IF(AND(D191="Source-backed inference",E191=""),"Needs reasoning",IF(D191="","Choose a label","OK")))))</f>
        <v/>
      </c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8"/>
      <c r="J192" s="32" t="str">
        <f aca="false">IF(C192="","",IF(AND(G192="Yes",H192=""),"Unchecked AI draft: do not use",IF(AND(D192&lt;&gt;"Unknown",F192=""),"Needs source",IF(AND(D192="Source-backed inference",E192=""),"Needs reasoning",IF(D192="","Choose a label","OK")))))</f>
        <v/>
      </c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8"/>
      <c r="J193" s="32" t="str">
        <f aca="false">IF(C193="","",IF(AND(G193="Yes",H193=""),"Unchecked AI draft: do not use",IF(AND(D193&lt;&gt;"Unknown",F193=""),"Needs source",IF(AND(D193="Source-backed inference",E193=""),"Needs reasoning",IF(D193="","Choose a label","OK")))))</f>
        <v/>
      </c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8"/>
      <c r="J194" s="32" t="str">
        <f aca="false">IF(C194="","",IF(AND(G194="Yes",H194=""),"Unchecked AI draft: do not use",IF(AND(D194&lt;&gt;"Unknown",F194=""),"Needs source",IF(AND(D194="Source-backed inference",E194=""),"Needs reasoning",IF(D194="","Choose a label","OK")))))</f>
        <v/>
      </c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8"/>
      <c r="J195" s="32" t="str">
        <f aca="false">IF(C195="","",IF(AND(G195="Yes",H195=""),"Unchecked AI draft: do not use",IF(AND(D195&lt;&gt;"Unknown",F195=""),"Needs source",IF(AND(D195="Source-backed inference",E195=""),"Needs reasoning",IF(D195="","Choose a label","OK")))))</f>
        <v/>
      </c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8"/>
      <c r="J196" s="32" t="str">
        <f aca="false">IF(C196="","",IF(AND(G196="Yes",H196=""),"Unchecked AI draft: do not use",IF(AND(D196&lt;&gt;"Unknown",F196=""),"Needs source",IF(AND(D196="Source-backed inference",E196=""),"Needs reasoning",IF(D196="","Choose a label","OK")))))</f>
        <v/>
      </c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8"/>
      <c r="J197" s="32" t="str">
        <f aca="false">IF(C197="","",IF(AND(G197="Yes",H197=""),"Unchecked AI draft: do not use",IF(AND(D197&lt;&gt;"Unknown",F197=""),"Needs source",IF(AND(D197="Source-backed inference",E197=""),"Needs reasoning",IF(D197="","Choose a label","OK")))))</f>
        <v/>
      </c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8"/>
      <c r="J198" s="32" t="str">
        <f aca="false">IF(C198="","",IF(AND(G198="Yes",H198=""),"Unchecked AI draft: do not use",IF(AND(D198&lt;&gt;"Unknown",F198=""),"Needs source",IF(AND(D198="Source-backed inference",E198=""),"Needs reasoning",IF(D198="","Choose a label","OK")))))</f>
        <v/>
      </c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8"/>
      <c r="J199" s="32" t="str">
        <f aca="false">IF(C199="","",IF(AND(G199="Yes",H199=""),"Unchecked AI draft: do not use",IF(AND(D199&lt;&gt;"Unknown",F199=""),"Needs source",IF(AND(D199="Source-backed inference",E199=""),"Needs reasoning",IF(D199="","Choose a label","OK")))))</f>
        <v/>
      </c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8"/>
      <c r="J200" s="32" t="str">
        <f aca="false">IF(C200="","",IF(AND(G200="Yes",H200=""),"Unchecked AI draft: do not use",IF(AND(D200&lt;&gt;"Unknown",F200=""),"Needs source",IF(AND(D200="Source-backed inference",E200=""),"Needs reasoning",IF(D200="","Choose a label","OK")))))</f>
        <v/>
      </c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8"/>
      <c r="J201" s="32" t="str">
        <f aca="false">IF(C201="","",IF(AND(G201="Yes",H201=""),"Unchecked AI draft: do not use",IF(AND(D201&lt;&gt;"Unknown",F201=""),"Needs source",IF(AND(D201="Source-backed inference",E201=""),"Needs reasoning",IF(D201="","Choose a label","OK")))))</f>
        <v/>
      </c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8"/>
      <c r="J202" s="32" t="str">
        <f aca="false">IF(C202="","",IF(AND(G202="Yes",H202=""),"Unchecked AI draft: do not use",IF(AND(D202&lt;&gt;"Unknown",F202=""),"Needs source",IF(AND(D202="Source-backed inference",E202=""),"Needs reasoning",IF(D202="","Choose a label","OK")))))</f>
        <v/>
      </c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8"/>
      <c r="J203" s="32" t="str">
        <f aca="false">IF(C203="","",IF(AND(G203="Yes",H203=""),"Unchecked AI draft: do not use",IF(AND(D203&lt;&gt;"Unknown",F203=""),"Needs source",IF(AND(D203="Source-backed inference",E203=""),"Needs reasoning",IF(D203="","Choose a label","OK")))))</f>
        <v/>
      </c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8"/>
      <c r="J204" s="32" t="str">
        <f aca="false">IF(C204="","",IF(AND(G204="Yes",H204=""),"Unchecked AI draft: do not use",IF(AND(D204&lt;&gt;"Unknown",F204=""),"Needs source",IF(AND(D204="Source-backed inference",E204=""),"Needs reasoning",IF(D204="","Choose a label","OK")))))</f>
        <v/>
      </c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8"/>
      <c r="J205" s="32" t="str">
        <f aca="false">IF(C205="","",IF(AND(G205="Yes",H205=""),"Unchecked AI draft: do not use",IF(AND(D205&lt;&gt;"Unknown",F205=""),"Needs source",IF(AND(D205="Source-backed inference",E205=""),"Needs reasoning",IF(D205="","Choose a label","OK")))))</f>
        <v/>
      </c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8"/>
      <c r="J206" s="32" t="str">
        <f aca="false">IF(C206="","",IF(AND(G206="Yes",H206=""),"Unchecked AI draft: do not use",IF(AND(D206&lt;&gt;"Unknown",F206=""),"Needs source",IF(AND(D206="Source-backed inference",E206=""),"Needs reasoning",IF(D206="","Choose a label","OK")))))</f>
        <v/>
      </c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8"/>
      <c r="J207" s="32" t="str">
        <f aca="false">IF(C207="","",IF(AND(G207="Yes",H207=""),"Unchecked AI draft: do not use",IF(AND(D207&lt;&gt;"Unknown",F207=""),"Needs source",IF(AND(D207="Source-backed inference",E207=""),"Needs reasoning",IF(D207="","Choose a label","OK")))))</f>
        <v/>
      </c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8"/>
      <c r="J208" s="32" t="str">
        <f aca="false">IF(C208="","",IF(AND(G208="Yes",H208=""),"Unchecked AI draft: do not use",IF(AND(D208&lt;&gt;"Unknown",F208=""),"Needs source",IF(AND(D208="Source-backed inference",E208=""),"Needs reasoning",IF(D208="","Choose a label","OK")))))</f>
        <v/>
      </c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8"/>
      <c r="J209" s="32" t="str">
        <f aca="false">IF(C209="","",IF(AND(G209="Yes",H209=""),"Unchecked AI draft: do not use",IF(AND(D209&lt;&gt;"Unknown",F209=""),"Needs source",IF(AND(D209="Source-backed inference",E209=""),"Needs reasoning",IF(D209="","Choose a label","OK")))))</f>
        <v/>
      </c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8"/>
      <c r="J210" s="32" t="str">
        <f aca="false">IF(C210="","",IF(AND(G210="Yes",H210=""),"Unchecked AI draft: do not use",IF(AND(D210&lt;&gt;"Unknown",F210=""),"Needs source",IF(AND(D210="Source-backed inference",E210=""),"Needs reasoning",IF(D210="","Choose a label","OK")))))</f>
        <v/>
      </c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8"/>
      <c r="J211" s="32" t="str">
        <f aca="false">IF(C211="","",IF(AND(G211="Yes",H211=""),"Unchecked AI draft: do not use",IF(AND(D211&lt;&gt;"Unknown",F211=""),"Needs source",IF(AND(D211="Source-backed inference",E211=""),"Needs reasoning",IF(D211="","Choose a label","OK")))))</f>
        <v/>
      </c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8"/>
      <c r="J212" s="32" t="str">
        <f aca="false">IF(C212="","",IF(AND(G212="Yes",H212=""),"Unchecked AI draft: do not use",IF(AND(D212&lt;&gt;"Unknown",F212=""),"Needs source",IF(AND(D212="Source-backed inference",E212=""),"Needs reasoning",IF(D212="","Choose a label","OK")))))</f>
        <v/>
      </c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8"/>
      <c r="J213" s="32" t="str">
        <f aca="false">IF(C213="","",IF(AND(G213="Yes",H213=""),"Unchecked AI draft: do not use",IF(AND(D213&lt;&gt;"Unknown",F213=""),"Needs source",IF(AND(D213="Source-backed inference",E213=""),"Needs reasoning",IF(D213="","Choose a label","OK")))))</f>
        <v/>
      </c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8"/>
      <c r="J214" s="32" t="str">
        <f aca="false">IF(C214="","",IF(AND(G214="Yes",H214=""),"Unchecked AI draft: do not use",IF(AND(D214&lt;&gt;"Unknown",F214=""),"Needs source",IF(AND(D214="Source-backed inference",E214=""),"Needs reasoning",IF(D214="","Choose a label","OK")))))</f>
        <v/>
      </c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8"/>
      <c r="J215" s="32" t="str">
        <f aca="false">IF(C215="","",IF(AND(G215="Yes",H215=""),"Unchecked AI draft: do not use",IF(AND(D215&lt;&gt;"Unknown",F215=""),"Needs source",IF(AND(D215="Source-backed inference",E215=""),"Needs reasoning",IF(D215="","Choose a label","OK")))))</f>
        <v/>
      </c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8"/>
      <c r="J216" s="32" t="str">
        <f aca="false">IF(C216="","",IF(AND(G216="Yes",H216=""),"Unchecked AI draft: do not use",IF(AND(D216&lt;&gt;"Unknown",F216=""),"Needs source",IF(AND(D216="Source-backed inference",E216=""),"Needs reasoning",IF(D216="","Choose a label","OK")))))</f>
        <v/>
      </c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8"/>
      <c r="J217" s="32" t="str">
        <f aca="false">IF(C217="","",IF(AND(G217="Yes",H217=""),"Unchecked AI draft: do not use",IF(AND(D217&lt;&gt;"Unknown",F217=""),"Needs source",IF(AND(D217="Source-backed inference",E217=""),"Needs reasoning",IF(D217="","Choose a label","OK")))))</f>
        <v/>
      </c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8"/>
      <c r="J218" s="32" t="str">
        <f aca="false">IF(C218="","",IF(AND(G218="Yes",H218=""),"Unchecked AI draft: do not use",IF(AND(D218&lt;&gt;"Unknown",F218=""),"Needs source",IF(AND(D218="Source-backed inference",E218=""),"Needs reasoning",IF(D218="","Choose a label","OK")))))</f>
        <v/>
      </c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8"/>
      <c r="J219" s="32" t="str">
        <f aca="false">IF(C219="","",IF(AND(G219="Yes",H219=""),"Unchecked AI draft: do not use",IF(AND(D219&lt;&gt;"Unknown",F219=""),"Needs source",IF(AND(D219="Source-backed inference",E219=""),"Needs reasoning",IF(D219="","Choose a label","OK")))))</f>
        <v/>
      </c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8"/>
      <c r="J220" s="32" t="str">
        <f aca="false">IF(C220="","",IF(AND(G220="Yes",H220=""),"Unchecked AI draft: do not use",IF(AND(D220&lt;&gt;"Unknown",F220=""),"Needs source",IF(AND(D220="Source-backed inference",E220=""),"Needs reasoning",IF(D220="","Choose a label","OK")))))</f>
        <v/>
      </c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8"/>
      <c r="J221" s="32" t="str">
        <f aca="false">IF(C221="","",IF(AND(G221="Yes",H221=""),"Unchecked AI draft: do not use",IF(AND(D221&lt;&gt;"Unknown",F221=""),"Needs source",IF(AND(D221="Source-backed inference",E221=""),"Needs reasoning",IF(D221="","Choose a label","OK")))))</f>
        <v/>
      </c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8"/>
      <c r="J222" s="32" t="str">
        <f aca="false">IF(C222="","",IF(AND(G222="Yes",H222=""),"Unchecked AI draft: do not use",IF(AND(D222&lt;&gt;"Unknown",F222=""),"Needs source",IF(AND(D222="Source-backed inference",E222=""),"Needs reasoning",IF(D222="","Choose a label","OK")))))</f>
        <v/>
      </c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8"/>
      <c r="J223" s="32" t="str">
        <f aca="false">IF(C223="","",IF(AND(G223="Yes",H223=""),"Unchecked AI draft: do not use",IF(AND(D223&lt;&gt;"Unknown",F223=""),"Needs source",IF(AND(D223="Source-backed inference",E223=""),"Needs reasoning",IF(D223="","Choose a label","OK")))))</f>
        <v/>
      </c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8"/>
      <c r="J224" s="32" t="str">
        <f aca="false">IF(C224="","",IF(AND(G224="Yes",H224=""),"Unchecked AI draft: do not use",IF(AND(D224&lt;&gt;"Unknown",F224=""),"Needs source",IF(AND(D224="Source-backed inference",E224=""),"Needs reasoning",IF(D224="","Choose a label","OK")))))</f>
        <v/>
      </c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8"/>
      <c r="J225" s="32" t="str">
        <f aca="false">IF(C225="","",IF(AND(G225="Yes",H225=""),"Unchecked AI draft: do not use",IF(AND(D225&lt;&gt;"Unknown",F225=""),"Needs source",IF(AND(D225="Source-backed inference",E225=""),"Needs reasoning",IF(D225="","Choose a label","OK")))))</f>
        <v/>
      </c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8"/>
      <c r="J226" s="32" t="str">
        <f aca="false">IF(C226="","",IF(AND(G226="Yes",H226=""),"Unchecked AI draft: do not use",IF(AND(D226&lt;&gt;"Unknown",F226=""),"Needs source",IF(AND(D226="Source-backed inference",E226=""),"Needs reasoning",IF(D226="","Choose a label","OK")))))</f>
        <v/>
      </c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8"/>
      <c r="J227" s="32" t="str">
        <f aca="false">IF(C227="","",IF(AND(G227="Yes",H227=""),"Unchecked AI draft: do not use",IF(AND(D227&lt;&gt;"Unknown",F227=""),"Needs source",IF(AND(D227="Source-backed inference",E227=""),"Needs reasoning",IF(D227="","Choose a label","OK")))))</f>
        <v/>
      </c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8"/>
      <c r="J228" s="32" t="str">
        <f aca="false">IF(C228="","",IF(AND(G228="Yes",H228=""),"Unchecked AI draft: do not use",IF(AND(D228&lt;&gt;"Unknown",F228=""),"Needs source",IF(AND(D228="Source-backed inference",E228=""),"Needs reasoning",IF(D228="","Choose a label","OK")))))</f>
        <v/>
      </c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8"/>
      <c r="J229" s="32" t="str">
        <f aca="false">IF(C229="","",IF(AND(G229="Yes",H229=""),"Unchecked AI draft: do not use",IF(AND(D229&lt;&gt;"Unknown",F229=""),"Needs source",IF(AND(D229="Source-backed inference",E229=""),"Needs reasoning",IF(D229="","Choose a label","OK")))))</f>
        <v/>
      </c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8"/>
      <c r="J230" s="32" t="str">
        <f aca="false">IF(C230="","",IF(AND(G230="Yes",H230=""),"Unchecked AI draft: do not use",IF(AND(D230&lt;&gt;"Unknown",F230=""),"Needs source",IF(AND(D230="Source-backed inference",E230=""),"Needs reasoning",IF(D230="","Choose a label","OK")))))</f>
        <v/>
      </c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8"/>
      <c r="J231" s="32" t="str">
        <f aca="false">IF(C231="","",IF(AND(G231="Yes",H231=""),"Unchecked AI draft: do not use",IF(AND(D231&lt;&gt;"Unknown",F231=""),"Needs source",IF(AND(D231="Source-backed inference",E231=""),"Needs reasoning",IF(D231="","Choose a label","OK")))))</f>
        <v/>
      </c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8"/>
      <c r="J232" s="32" t="str">
        <f aca="false">IF(C232="","",IF(AND(G232="Yes",H232=""),"Unchecked AI draft: do not use",IF(AND(D232&lt;&gt;"Unknown",F232=""),"Needs source",IF(AND(D232="Source-backed inference",E232=""),"Needs reasoning",IF(D232="","Choose a label","OK")))))</f>
        <v/>
      </c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8"/>
      <c r="J233" s="32" t="str">
        <f aca="false">IF(C233="","",IF(AND(G233="Yes",H233=""),"Unchecked AI draft: do not use",IF(AND(D233&lt;&gt;"Unknown",F233=""),"Needs source",IF(AND(D233="Source-backed inference",E233=""),"Needs reasoning",IF(D233="","Choose a label","OK")))))</f>
        <v/>
      </c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8"/>
      <c r="J234" s="32" t="str">
        <f aca="false">IF(C234="","",IF(AND(G234="Yes",H234=""),"Unchecked AI draft: do not use",IF(AND(D234&lt;&gt;"Unknown",F234=""),"Needs source",IF(AND(D234="Source-backed inference",E234=""),"Needs reasoning",IF(D234="","Choose a label","OK")))))</f>
        <v/>
      </c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8"/>
      <c r="J235" s="32" t="str">
        <f aca="false">IF(C235="","",IF(AND(G235="Yes",H235=""),"Unchecked AI draft: do not use",IF(AND(D235&lt;&gt;"Unknown",F235=""),"Needs source",IF(AND(D235="Source-backed inference",E235=""),"Needs reasoning",IF(D235="","Choose a label","OK")))))</f>
        <v/>
      </c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8"/>
      <c r="J236" s="32" t="str">
        <f aca="false">IF(C236="","",IF(AND(G236="Yes",H236=""),"Unchecked AI draft: do not use",IF(AND(D236&lt;&gt;"Unknown",F236=""),"Needs source",IF(AND(D236="Source-backed inference",E236=""),"Needs reasoning",IF(D236="","Choose a label","OK")))))</f>
        <v/>
      </c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8"/>
      <c r="J237" s="32" t="str">
        <f aca="false">IF(C237="","",IF(AND(G237="Yes",H237=""),"Unchecked AI draft: do not use",IF(AND(D237&lt;&gt;"Unknown",F237=""),"Needs source",IF(AND(D237="Source-backed inference",E237=""),"Needs reasoning",IF(D237="","Choose a label","OK")))))</f>
        <v/>
      </c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8"/>
      <c r="J238" s="32" t="str">
        <f aca="false">IF(C238="","",IF(AND(G238="Yes",H238=""),"Unchecked AI draft: do not use",IF(AND(D238&lt;&gt;"Unknown",F238=""),"Needs source",IF(AND(D238="Source-backed inference",E238=""),"Needs reasoning",IF(D238="","Choose a label","OK")))))</f>
        <v/>
      </c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8"/>
      <c r="J239" s="32" t="str">
        <f aca="false">IF(C239="","",IF(AND(G239="Yes",H239=""),"Unchecked AI draft: do not use",IF(AND(D239&lt;&gt;"Unknown",F239=""),"Needs source",IF(AND(D239="Source-backed inference",E239=""),"Needs reasoning",IF(D239="","Choose a label","OK")))))</f>
        <v/>
      </c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8"/>
      <c r="J240" s="32" t="str">
        <f aca="false">IF(C240="","",IF(AND(G240="Yes",H240=""),"Unchecked AI draft: do not use",IF(AND(D240&lt;&gt;"Unknown",F240=""),"Needs source",IF(AND(D240="Source-backed inference",E240=""),"Needs reasoning",IF(D240="","Choose a label","OK")))))</f>
        <v/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8"/>
      <c r="J241" s="32" t="str">
        <f aca="false">IF(C241="","",IF(AND(G241="Yes",H241=""),"Unchecked AI draft: do not use",IF(AND(D241&lt;&gt;"Unknown",F241=""),"Needs source",IF(AND(D241="Source-backed inference",E241=""),"Needs reasoning",IF(D241="","Choose a label","OK")))))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8"/>
      <c r="J242" s="32" t="str">
        <f aca="false">IF(C242="","",IF(AND(G242="Yes",H242=""),"Unchecked AI draft: do not use",IF(AND(D242&lt;&gt;"Unknown",F242=""),"Needs source",IF(AND(D242="Source-backed inference",E242=""),"Needs reasoning",IF(D242="","Choose a label","OK")))))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8"/>
      <c r="J243" s="32" t="str">
        <f aca="false">IF(C243="","",IF(AND(G243="Yes",H243=""),"Unchecked AI draft: do not use",IF(AND(D243&lt;&gt;"Unknown",F243=""),"Needs source",IF(AND(D243="Source-backed inference",E243=""),"Needs reasoning",IF(D243="","Choose a label","OK")))))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8"/>
      <c r="J244" s="32" t="str">
        <f aca="false">IF(C244="","",IF(AND(G244="Yes",H244=""),"Unchecked AI draft: do not use",IF(AND(D244&lt;&gt;"Unknown",F244=""),"Needs source",IF(AND(D244="Source-backed inference",E244=""),"Needs reasoning",IF(D244="","Choose a label","OK")))))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8"/>
      <c r="J245" s="32" t="str">
        <f aca="false">IF(C245="","",IF(AND(G245="Yes",H245=""),"Unchecked AI draft: do not use",IF(AND(D245&lt;&gt;"Unknown",F245=""),"Needs source",IF(AND(D245="Source-backed inference",E245=""),"Needs reasoning",IF(D245="","Choose a label","OK")))))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8"/>
      <c r="J246" s="32" t="str">
        <f aca="false">IF(C246="","",IF(AND(G246="Yes",H246=""),"Unchecked AI draft: do not use",IF(AND(D246&lt;&gt;"Unknown",F246=""),"Needs source",IF(AND(D246="Source-backed inference",E246=""),"Needs reasoning",IF(D246="","Choose a label","OK")))))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8"/>
      <c r="J247" s="32" t="str">
        <f aca="false">IF(C247="","",IF(AND(G247="Yes",H247=""),"Unchecked AI draft: do not use",IF(AND(D247&lt;&gt;"Unknown",F247=""),"Needs source",IF(AND(D247="Source-backed inference",E247=""),"Needs reasoning",IF(D247="","Choose a label","OK")))))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8"/>
      <c r="J248" s="32" t="str">
        <f aca="false">IF(C248="","",IF(AND(G248="Yes",H248=""),"Unchecked AI draft: do not use",IF(AND(D248&lt;&gt;"Unknown",F248=""),"Needs source",IF(AND(D248="Source-backed inference",E248=""),"Needs reasoning",IF(D248="","Choose a label","OK")))))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8"/>
      <c r="J249" s="32" t="str">
        <f aca="false">IF(C249="","",IF(AND(G249="Yes",H249=""),"Unchecked AI draft: do not use",IF(AND(D249&lt;&gt;"Unknown",F249=""),"Needs source",IF(AND(D249="Source-backed inference",E249=""),"Needs reasoning",IF(D249="","Choose a label","OK")))))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8"/>
      <c r="J250" s="32" t="str">
        <f aca="false">IF(C250="","",IF(AND(G250="Yes",H250=""),"Unchecked AI draft: do not use",IF(AND(D250&lt;&gt;"Unknown",F250=""),"Needs source",IF(AND(D250="Source-backed inference",E250=""),"Needs reasoning",IF(D250="","Choose a label","OK")))))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8"/>
      <c r="J251" s="32" t="str">
        <f aca="false">IF(C251="","",IF(AND(G251="Yes",H251=""),"Unchecked AI draft: do not use",IF(AND(D251&lt;&gt;"Unknown",F251=""),"Needs source",IF(AND(D251="Source-backed inference",E251=""),"Needs reasoning",IF(D251="","Choose a label","OK")))))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8"/>
      <c r="J252" s="32" t="str">
        <f aca="false">IF(C252="","",IF(AND(G252="Yes",H252=""),"Unchecked AI draft: do not use",IF(AND(D252&lt;&gt;"Unknown",F252=""),"Needs source",IF(AND(D252="Source-backed inference",E252=""),"Needs reasoning",IF(D252="","Choose a label","OK")))))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8"/>
      <c r="J253" s="32" t="str">
        <f aca="false">IF(C253="","",IF(AND(G253="Yes",H253=""),"Unchecked AI draft: do not use",IF(AND(D253&lt;&gt;"Unknown",F253=""),"Needs source",IF(AND(D253="Source-backed inference",E253=""),"Needs reasoning",IF(D253="","Choose a label","OK")))))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8"/>
      <c r="J254" s="32" t="str">
        <f aca="false">IF(C254="","",IF(AND(G254="Yes",H254=""),"Unchecked AI draft: do not use",IF(AND(D254&lt;&gt;"Unknown",F254=""),"Needs source",IF(AND(D254="Source-backed inference",E254=""),"Needs reasoning",IF(D254="","Choose a label","OK")))))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8"/>
      <c r="J255" s="32" t="str">
        <f aca="false">IF(C255="","",IF(AND(G255="Yes",H255=""),"Unchecked AI draft: do not use",IF(AND(D255&lt;&gt;"Unknown",F255=""),"Needs source",IF(AND(D255="Source-backed inference",E255=""),"Needs reasoning",IF(D255="","Choose a label","OK")))))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8"/>
      <c r="J256" s="32" t="str">
        <f aca="false">IF(C256="","",IF(AND(G256="Yes",H256=""),"Unchecked AI draft: do not use",IF(AND(D256&lt;&gt;"Unknown",F256=""),"Needs source",IF(AND(D256="Source-backed inference",E256=""),"Needs reasoning",IF(D256="","Choose a label","OK")))))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8"/>
      <c r="J257" s="32" t="str">
        <f aca="false">IF(C257="","",IF(AND(G257="Yes",H257=""),"Unchecked AI draft: do not use",IF(AND(D257&lt;&gt;"Unknown",F257=""),"Needs source",IF(AND(D257="Source-backed inference",E257=""),"Needs reasoning",IF(D257="","Choose a label","OK")))))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8"/>
      <c r="J258" s="32" t="str">
        <f aca="false">IF(C258="","",IF(AND(G258="Yes",H258=""),"Unchecked AI draft: do not use",IF(AND(D258&lt;&gt;"Unknown",F258=""),"Needs source",IF(AND(D258="Source-backed inference",E258=""),"Needs reasoning",IF(D258="","Choose a label","OK")))))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8"/>
      <c r="J259" s="32" t="str">
        <f aca="false">IF(C259="","",IF(AND(G259="Yes",H259=""),"Unchecked AI draft: do not use",IF(AND(D259&lt;&gt;"Unknown",F259=""),"Needs source",IF(AND(D259="Source-backed inference",E259=""),"Needs reasoning",IF(D259="","Choose a label","OK")))))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8"/>
      <c r="J260" s="32" t="str">
        <f aca="false">IF(C260="","",IF(AND(G260="Yes",H260=""),"Unchecked AI draft: do not use",IF(AND(D260&lt;&gt;"Unknown",F260=""),"Needs source",IF(AND(D260="Source-backed inference",E260=""),"Needs reasoning",IF(D260="","Choose a label","OK")))))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8"/>
      <c r="J261" s="32" t="str">
        <f aca="false">IF(C261="","",IF(AND(G261="Yes",H261=""),"Unchecked AI draft: do not use",IF(AND(D261&lt;&gt;"Unknown",F261=""),"Needs source",IF(AND(D261="Source-backed inference",E261=""),"Needs reasoning",IF(D261="","Choose a label","OK")))))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8"/>
      <c r="J262" s="32" t="str">
        <f aca="false">IF(C262="","",IF(AND(G262="Yes",H262=""),"Unchecked AI draft: do not use",IF(AND(D262&lt;&gt;"Unknown",F262=""),"Needs source",IF(AND(D262="Source-backed inference",E262=""),"Needs reasoning",IF(D262="","Choose a label","OK")))))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8"/>
      <c r="J263" s="32" t="str">
        <f aca="false">IF(C263="","",IF(AND(G263="Yes",H263=""),"Unchecked AI draft: do not use",IF(AND(D263&lt;&gt;"Unknown",F263=""),"Needs source",IF(AND(D263="Source-backed inference",E263=""),"Needs reasoning",IF(D263="","Choose a label","OK")))))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8"/>
      <c r="J264" s="32" t="str">
        <f aca="false">IF(C264="","",IF(AND(G264="Yes",H264=""),"Unchecked AI draft: do not use",IF(AND(D264&lt;&gt;"Unknown",F264=""),"Needs source",IF(AND(D264="Source-backed inference",E264=""),"Needs reasoning",IF(D264="","Choose a label","OK")))))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8"/>
      <c r="J265" s="32" t="str">
        <f aca="false">IF(C265="","",IF(AND(G265="Yes",H265=""),"Unchecked AI draft: do not use",IF(AND(D265&lt;&gt;"Unknown",F265=""),"Needs source",IF(AND(D265="Source-backed inference",E265=""),"Needs reasoning",IF(D265="","Choose a label","OK")))))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8"/>
      <c r="J266" s="32" t="str">
        <f aca="false">IF(C266="","",IF(AND(G266="Yes",H266=""),"Unchecked AI draft: do not use",IF(AND(D266&lt;&gt;"Unknown",F266=""),"Needs source",IF(AND(D266="Source-backed inference",E266=""),"Needs reasoning",IF(D266="","Choose a label","OK")))))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8"/>
      <c r="J267" s="32" t="str">
        <f aca="false">IF(C267="","",IF(AND(G267="Yes",H267=""),"Unchecked AI draft: do not use",IF(AND(D267&lt;&gt;"Unknown",F267=""),"Needs source",IF(AND(D267="Source-backed inference",E267=""),"Needs reasoning",IF(D267="","Choose a label","OK")))))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8"/>
      <c r="J268" s="32" t="str">
        <f aca="false">IF(C268="","",IF(AND(G268="Yes",H268=""),"Unchecked AI draft: do not use",IF(AND(D268&lt;&gt;"Unknown",F268=""),"Needs source",IF(AND(D268="Source-backed inference",E268=""),"Needs reasoning",IF(D268="","Choose a label","OK")))))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8"/>
      <c r="J269" s="32" t="str">
        <f aca="false">IF(C269="","",IF(AND(G269="Yes",H269=""),"Unchecked AI draft: do not use",IF(AND(D269&lt;&gt;"Unknown",F269=""),"Needs source",IF(AND(D269="Source-backed inference",E269=""),"Needs reasoning",IF(D269="","Choose a label","OK")))))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8"/>
      <c r="J270" s="32" t="str">
        <f aca="false">IF(C270="","",IF(AND(G270="Yes",H270=""),"Unchecked AI draft: do not use",IF(AND(D270&lt;&gt;"Unknown",F270=""),"Needs source",IF(AND(D270="Source-backed inference",E270=""),"Needs reasoning",IF(D270="","Choose a label","OK")))))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8"/>
      <c r="J271" s="32" t="str">
        <f aca="false">IF(C271="","",IF(AND(G271="Yes",H271=""),"Unchecked AI draft: do not use",IF(AND(D271&lt;&gt;"Unknown",F271=""),"Needs source",IF(AND(D271="Source-backed inference",E271=""),"Needs reasoning",IF(D271="","Choose a label","OK")))))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8"/>
      <c r="J272" s="32" t="str">
        <f aca="false">IF(C272="","",IF(AND(G272="Yes",H272=""),"Unchecked AI draft: do not use",IF(AND(D272&lt;&gt;"Unknown",F272=""),"Needs source",IF(AND(D272="Source-backed inference",E272=""),"Needs reasoning",IF(D272="","Choose a label","OK")))))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8"/>
      <c r="J273" s="32" t="str">
        <f aca="false">IF(C273="","",IF(AND(G273="Yes",H273=""),"Unchecked AI draft: do not use",IF(AND(D273&lt;&gt;"Unknown",F273=""),"Needs source",IF(AND(D273="Source-backed inference",E273=""),"Needs reasoning",IF(D273="","Choose a label","OK")))))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8"/>
      <c r="J274" s="32" t="str">
        <f aca="false">IF(C274="","",IF(AND(G274="Yes",H274=""),"Unchecked AI draft: do not use",IF(AND(D274&lt;&gt;"Unknown",F274=""),"Needs source",IF(AND(D274="Source-backed inference",E274=""),"Needs reasoning",IF(D274="","Choose a label","OK")))))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8"/>
      <c r="J275" s="32" t="str">
        <f aca="false">IF(C275="","",IF(AND(G275="Yes",H275=""),"Unchecked AI draft: do not use",IF(AND(D275&lt;&gt;"Unknown",F275=""),"Needs source",IF(AND(D275="Source-backed inference",E275=""),"Needs reasoning",IF(D275="","Choose a label","OK")))))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8"/>
      <c r="J276" s="32" t="str">
        <f aca="false">IF(C276="","",IF(AND(G276="Yes",H276=""),"Unchecked AI draft: do not use",IF(AND(D276&lt;&gt;"Unknown",F276=""),"Needs source",IF(AND(D276="Source-backed inference",E276=""),"Needs reasoning",IF(D276="","Choose a label","OK")))))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8"/>
      <c r="J277" s="32" t="str">
        <f aca="false">IF(C277="","",IF(AND(G277="Yes",H277=""),"Unchecked AI draft: do not use",IF(AND(D277&lt;&gt;"Unknown",F277=""),"Needs source",IF(AND(D277="Source-backed inference",E277=""),"Needs reasoning",IF(D277="","Choose a label","OK")))))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8"/>
      <c r="J278" s="32" t="str">
        <f aca="false">IF(C278="","",IF(AND(G278="Yes",H278=""),"Unchecked AI draft: do not use",IF(AND(D278&lt;&gt;"Unknown",F278=""),"Needs source",IF(AND(D278="Source-backed inference",E278=""),"Needs reasoning",IF(D278="","Choose a label","OK")))))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8"/>
      <c r="J279" s="32" t="str">
        <f aca="false">IF(C279="","",IF(AND(G279="Yes",H279=""),"Unchecked AI draft: do not use",IF(AND(D279&lt;&gt;"Unknown",F279=""),"Needs source",IF(AND(D279="Source-backed inference",E279=""),"Needs reasoning",IF(D279="","Choose a label","OK")))))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8"/>
      <c r="J280" s="32" t="str">
        <f aca="false">IF(C280="","",IF(AND(G280="Yes",H280=""),"Unchecked AI draft: do not use",IF(AND(D280&lt;&gt;"Unknown",F280=""),"Needs source",IF(AND(D280="Source-backed inference",E280=""),"Needs reasoning",IF(D280="","Choose a label","OK")))))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8"/>
      <c r="J281" s="32" t="str">
        <f aca="false">IF(C281="","",IF(AND(G281="Yes",H281=""),"Unchecked AI draft: do not use",IF(AND(D281&lt;&gt;"Unknown",F281=""),"Needs source",IF(AND(D281="Source-backed inference",E281=""),"Needs reasoning",IF(D281="","Choose a label","OK")))))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8"/>
      <c r="J282" s="32" t="str">
        <f aca="false">IF(C282="","",IF(AND(G282="Yes",H282=""),"Unchecked AI draft: do not use",IF(AND(D282&lt;&gt;"Unknown",F282=""),"Needs source",IF(AND(D282="Source-backed inference",E282=""),"Needs reasoning",IF(D282="","Choose a label","OK")))))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8"/>
      <c r="J283" s="32" t="str">
        <f aca="false">IF(C283="","",IF(AND(G283="Yes",H283=""),"Unchecked AI draft: do not use",IF(AND(D283&lt;&gt;"Unknown",F283=""),"Needs source",IF(AND(D283="Source-backed inference",E283=""),"Needs reasoning",IF(D283="","Choose a label","OK")))))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8"/>
      <c r="J284" s="32" t="str">
        <f aca="false">IF(C284="","",IF(AND(G284="Yes",H284=""),"Unchecked AI draft: do not use",IF(AND(D284&lt;&gt;"Unknown",F284=""),"Needs source",IF(AND(D284="Source-backed inference",E284=""),"Needs reasoning",IF(D284="","Choose a label","OK")))))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8"/>
      <c r="J285" s="32" t="str">
        <f aca="false">IF(C285="","",IF(AND(G285="Yes",H285=""),"Unchecked AI draft: do not use",IF(AND(D285&lt;&gt;"Unknown",F285=""),"Needs source",IF(AND(D285="Source-backed inference",E285=""),"Needs reasoning",IF(D285="","Choose a label","OK")))))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8"/>
      <c r="J286" s="32" t="str">
        <f aca="false">IF(C286="","",IF(AND(G286="Yes",H286=""),"Unchecked AI draft: do not use",IF(AND(D286&lt;&gt;"Unknown",F286=""),"Needs source",IF(AND(D286="Source-backed inference",E286=""),"Needs reasoning",IF(D286="","Choose a label","OK")))))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8"/>
      <c r="J287" s="32" t="str">
        <f aca="false">IF(C287="","",IF(AND(G287="Yes",H287=""),"Unchecked AI draft: do not use",IF(AND(D287&lt;&gt;"Unknown",F287=""),"Needs source",IF(AND(D287="Source-backed inference",E287=""),"Needs reasoning",IF(D287="","Choose a label","OK")))))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8"/>
      <c r="J288" s="32" t="str">
        <f aca="false">IF(C288="","",IF(AND(G288="Yes",H288=""),"Unchecked AI draft: do not use",IF(AND(D288&lt;&gt;"Unknown",F288=""),"Needs source",IF(AND(D288="Source-backed inference",E288=""),"Needs reasoning",IF(D288="","Choose a label","OK")))))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8"/>
      <c r="J289" s="32" t="str">
        <f aca="false">IF(C289="","",IF(AND(G289="Yes",H289=""),"Unchecked AI draft: do not use",IF(AND(D289&lt;&gt;"Unknown",F289=""),"Needs source",IF(AND(D289="Source-backed inference",E289=""),"Needs reasoning",IF(D289="","Choose a label","OK")))))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8"/>
      <c r="J290" s="32" t="str">
        <f aca="false">IF(C290="","",IF(AND(G290="Yes",H290=""),"Unchecked AI draft: do not use",IF(AND(D290&lt;&gt;"Unknown",F290=""),"Needs source",IF(AND(D290="Source-backed inference",E290=""),"Needs reasoning",IF(D290="","Choose a label","OK")))))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8"/>
      <c r="J291" s="32" t="str">
        <f aca="false">IF(C291="","",IF(AND(G291="Yes",H291=""),"Unchecked AI draft: do not use",IF(AND(D291&lt;&gt;"Unknown",F291=""),"Needs source",IF(AND(D291="Source-backed inference",E291=""),"Needs reasoning",IF(D291="","Choose a label","OK")))))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8"/>
      <c r="J292" s="32" t="str">
        <f aca="false">IF(C292="","",IF(AND(G292="Yes",H292=""),"Unchecked AI draft: do not use",IF(AND(D292&lt;&gt;"Unknown",F292=""),"Needs source",IF(AND(D292="Source-backed inference",E292=""),"Needs reasoning",IF(D292="","Choose a label","OK")))))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8"/>
      <c r="J293" s="32" t="str">
        <f aca="false">IF(C293="","",IF(AND(G293="Yes",H293=""),"Unchecked AI draft: do not use",IF(AND(D293&lt;&gt;"Unknown",F293=""),"Needs source",IF(AND(D293="Source-backed inference",E293=""),"Needs reasoning",IF(D293="","Choose a label","OK")))))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8"/>
      <c r="J294" s="32" t="str">
        <f aca="false">IF(C294="","",IF(AND(G294="Yes",H294=""),"Unchecked AI draft: do not use",IF(AND(D294&lt;&gt;"Unknown",F294=""),"Needs source",IF(AND(D294="Source-backed inference",E294=""),"Needs reasoning",IF(D294="","Choose a label","OK")))))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8"/>
      <c r="J295" s="32" t="str">
        <f aca="false">IF(C295="","",IF(AND(G295="Yes",H295=""),"Unchecked AI draft: do not use",IF(AND(D295&lt;&gt;"Unknown",F295=""),"Needs source",IF(AND(D295="Source-backed inference",E295=""),"Needs reasoning",IF(D295="","Choose a label","OK")))))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8"/>
      <c r="J296" s="32" t="str">
        <f aca="false">IF(C296="","",IF(AND(G296="Yes",H296=""),"Unchecked AI draft: do not use",IF(AND(D296&lt;&gt;"Unknown",F296=""),"Needs source",IF(AND(D296="Source-backed inference",E296=""),"Needs reasoning",IF(D296="","Choose a label","OK")))))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8"/>
      <c r="J297" s="32" t="str">
        <f aca="false">IF(C297="","",IF(AND(G297="Yes",H297=""),"Unchecked AI draft: do not use",IF(AND(D297&lt;&gt;"Unknown",F297=""),"Needs source",IF(AND(D297="Source-backed inference",E297=""),"Needs reasoning",IF(D297="","Choose a label","OK")))))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8"/>
      <c r="J298" s="32" t="str">
        <f aca="false">IF(C298="","",IF(AND(G298="Yes",H298=""),"Unchecked AI draft: do not use",IF(AND(D298&lt;&gt;"Unknown",F298=""),"Needs source",IF(AND(D298="Source-backed inference",E298=""),"Needs reasoning",IF(D298="","Choose a label","OK")))))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8"/>
      <c r="J299" s="32" t="str">
        <f aca="false">IF(C299="","",IF(AND(G299="Yes",H299=""),"Unchecked AI draft: do not use",IF(AND(D299&lt;&gt;"Unknown",F299=""),"Needs source",IF(AND(D299="Source-backed inference",E299=""),"Needs reasoning",IF(D299="","Choose a label","OK")))))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8"/>
      <c r="J300" s="32" t="str">
        <f aca="false">IF(C300="","",IF(AND(G300="Yes",H300=""),"Unchecked AI draft: do not use",IF(AND(D300&lt;&gt;"Unknown",F300=""),"Needs source",IF(AND(D300="Source-backed inference",E300=""),"Needs reasoning",IF(D300="","Choose a label","OK")))))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8"/>
      <c r="J301" s="32" t="str">
        <f aca="false">IF(C301="","",IF(AND(G301="Yes",H301=""),"Unchecked AI draft: do not use",IF(AND(D301&lt;&gt;"Unknown",F301=""),"Needs source",IF(AND(D301="Source-backed inference",E301=""),"Needs reasoning",IF(D301="","Choose a label","OK")))))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8"/>
      <c r="J302" s="32" t="str">
        <f aca="false">IF(C302="","",IF(AND(G302="Yes",H302=""),"Unchecked AI draft: do not use",IF(AND(D302&lt;&gt;"Unknown",F302=""),"Needs source",IF(AND(D302="Source-backed inference",E302=""),"Needs reasoning",IF(D302="","Choose a label","OK")))))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8"/>
      <c r="J303" s="32" t="str">
        <f aca="false">IF(C303="","",IF(AND(G303="Yes",H303=""),"Unchecked AI draft: do not use",IF(AND(D303&lt;&gt;"Unknown",F303=""),"Needs source",IF(AND(D303="Source-backed inference",E303=""),"Needs reasoning",IF(D303="","Choose a label","OK")))))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8"/>
      <c r="J304" s="32" t="str">
        <f aca="false">IF(C304="","",IF(AND(G304="Yes",H304=""),"Unchecked AI draft: do not use",IF(AND(D304&lt;&gt;"Unknown",F304=""),"Needs source",IF(AND(D304="Source-backed inference",E304=""),"Needs reasoning",IF(D304="","Choose a label","OK")))))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8"/>
      <c r="J305" s="32" t="str">
        <f aca="false">IF(C305="","",IF(AND(G305="Yes",H305=""),"Unchecked AI draft: do not use",IF(AND(D305&lt;&gt;"Unknown",F305=""),"Needs source",IF(AND(D305="Source-backed inference",E305=""),"Needs reasoning",IF(D305="","Choose a label","OK")))))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8"/>
      <c r="J306" s="32" t="str">
        <f aca="false">IF(C306="","",IF(AND(G306="Yes",H306=""),"Unchecked AI draft: do not use",IF(AND(D306&lt;&gt;"Unknown",F306=""),"Needs source",IF(AND(D306="Source-backed inference",E306=""),"Needs reasoning",IF(D306="","Choose a label","OK")))))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8"/>
      <c r="J307" s="32" t="str">
        <f aca="false">IF(C307="","",IF(AND(G307="Yes",H307=""),"Unchecked AI draft: do not use",IF(AND(D307&lt;&gt;"Unknown",F307=""),"Needs source",IF(AND(D307="Source-backed inference",E307=""),"Needs reasoning",IF(D307="","Choose a label","OK")))))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8"/>
      <c r="J308" s="32" t="str">
        <f aca="false">IF(C308="","",IF(AND(G308="Yes",H308=""),"Unchecked AI draft: do not use",IF(AND(D308&lt;&gt;"Unknown",F308=""),"Needs source",IF(AND(D308="Source-backed inference",E308=""),"Needs reasoning",IF(D308="","Choose a label","OK")))))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8"/>
      <c r="J309" s="32" t="str">
        <f aca="false">IF(C309="","",IF(AND(G309="Yes",H309=""),"Unchecked AI draft: do not use",IF(AND(D309&lt;&gt;"Unknown",F309=""),"Needs source",IF(AND(D309="Source-backed inference",E309=""),"Needs reasoning",IF(D309="","Choose a label","OK")))))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8"/>
      <c r="J310" s="32" t="str">
        <f aca="false">IF(C310="","",IF(AND(G310="Yes",H310=""),"Unchecked AI draft: do not use",IF(AND(D310&lt;&gt;"Unknown",F310=""),"Needs source",IF(AND(D310="Source-backed inference",E310=""),"Needs reasoning",IF(D310="","Choose a label","OK")))))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8"/>
      <c r="J311" s="32" t="str">
        <f aca="false">IF(C311="","",IF(AND(G311="Yes",H311=""),"Unchecked AI draft: do not use",IF(AND(D311&lt;&gt;"Unknown",F311=""),"Needs source",IF(AND(D311="Source-backed inference",E311=""),"Needs reasoning",IF(D311="","Choose a label","OK")))))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8"/>
      <c r="J312" s="32" t="str">
        <f aca="false">IF(C312="","",IF(AND(G312="Yes",H312=""),"Unchecked AI draft: do not use",IF(AND(D312&lt;&gt;"Unknown",F312=""),"Needs source",IF(AND(D312="Source-backed inference",E312=""),"Needs reasoning",IF(D312="","Choose a label","OK")))))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8"/>
      <c r="J313" s="32" t="str">
        <f aca="false">IF(C313="","",IF(AND(G313="Yes",H313=""),"Unchecked AI draft: do not use",IF(AND(D313&lt;&gt;"Unknown",F313=""),"Needs source",IF(AND(D313="Source-backed inference",E313=""),"Needs reasoning",IF(D313="","Choose a label","OK")))))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8"/>
      <c r="J314" s="32" t="str">
        <f aca="false">IF(C314="","",IF(AND(G314="Yes",H314=""),"Unchecked AI draft: do not use",IF(AND(D314&lt;&gt;"Unknown",F314=""),"Needs source",IF(AND(D314="Source-backed inference",E314=""),"Needs reasoning",IF(D314="","Choose a label","OK")))))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8"/>
      <c r="J315" s="32" t="str">
        <f aca="false">IF(C315="","",IF(AND(G315="Yes",H315=""),"Unchecked AI draft: do not use",IF(AND(D315&lt;&gt;"Unknown",F315=""),"Needs source",IF(AND(D315="Source-backed inference",E315=""),"Needs reasoning",IF(D315="","Choose a label","OK")))))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8"/>
      <c r="J316" s="32" t="str">
        <f aca="false">IF(C316="","",IF(AND(G316="Yes",H316=""),"Unchecked AI draft: do not use",IF(AND(D316&lt;&gt;"Unknown",F316=""),"Needs source",IF(AND(D316="Source-backed inference",E316=""),"Needs reasoning",IF(D316="","Choose a label","OK")))))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8"/>
      <c r="J317" s="32" t="str">
        <f aca="false">IF(C317="","",IF(AND(G317="Yes",H317=""),"Unchecked AI draft: do not use",IF(AND(D317&lt;&gt;"Unknown",F317=""),"Needs source",IF(AND(D317="Source-backed inference",E317=""),"Needs reasoning",IF(D317="","Choose a label","OK")))))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8"/>
      <c r="J318" s="32" t="str">
        <f aca="false">IF(C318="","",IF(AND(G318="Yes",H318=""),"Unchecked AI draft: do not use",IF(AND(D318&lt;&gt;"Unknown",F318=""),"Needs source",IF(AND(D318="Source-backed inference",E318=""),"Needs reasoning",IF(D318="","Choose a label","OK")))))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8"/>
      <c r="J319" s="32" t="str">
        <f aca="false">IF(C319="","",IF(AND(G319="Yes",H319=""),"Unchecked AI draft: do not use",IF(AND(D319&lt;&gt;"Unknown",F319=""),"Needs source",IF(AND(D319="Source-backed inference",E319=""),"Needs reasoning",IF(D319="","Choose a label","OK")))))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8"/>
      <c r="J320" s="32" t="str">
        <f aca="false">IF(C320="","",IF(AND(G320="Yes",H320=""),"Unchecked AI draft: do not use",IF(AND(D320&lt;&gt;"Unknown",F320=""),"Needs source",IF(AND(D320="Source-backed inference",E320=""),"Needs reasoning",IF(D320="","Choose a label","OK")))))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8"/>
      <c r="J321" s="32" t="str">
        <f aca="false">IF(C321="","",IF(AND(G321="Yes",H321=""),"Unchecked AI draft: do not use",IF(AND(D321&lt;&gt;"Unknown",F321=""),"Needs source",IF(AND(D321="Source-backed inference",E321=""),"Needs reasoning",IF(D321="","Choose a label","OK")))))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8"/>
      <c r="J322" s="32" t="str">
        <f aca="false">IF(C322="","",IF(AND(G322="Yes",H322=""),"Unchecked AI draft: do not use",IF(AND(D322&lt;&gt;"Unknown",F322=""),"Needs source",IF(AND(D322="Source-backed inference",E322=""),"Needs reasoning",IF(D322="","Choose a label","OK")))))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8"/>
      <c r="J323" s="32" t="str">
        <f aca="false">IF(C323="","",IF(AND(G323="Yes",H323=""),"Unchecked AI draft: do not use",IF(AND(D323&lt;&gt;"Unknown",F323=""),"Needs source",IF(AND(D323="Source-backed inference",E323=""),"Needs reasoning",IF(D323="","Choose a label","OK")))))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8"/>
      <c r="J324" s="32" t="str">
        <f aca="false">IF(C324="","",IF(AND(G324="Yes",H324=""),"Unchecked AI draft: do not use",IF(AND(D324&lt;&gt;"Unknown",F324=""),"Needs source",IF(AND(D324="Source-backed inference",E324=""),"Needs reasoning",IF(D324="","Choose a label","OK")))))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8"/>
      <c r="J325" s="32" t="str">
        <f aca="false">IF(C325="","",IF(AND(G325="Yes",H325=""),"Unchecked AI draft: do not use",IF(AND(D325&lt;&gt;"Unknown",F325=""),"Needs source",IF(AND(D325="Source-backed inference",E325=""),"Needs reasoning",IF(D325="","Choose a label","OK")))))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8"/>
      <c r="J326" s="32" t="str">
        <f aca="false">IF(C326="","",IF(AND(G326="Yes",H326=""),"Unchecked AI draft: do not use",IF(AND(D326&lt;&gt;"Unknown",F326=""),"Needs source",IF(AND(D326="Source-backed inference",E326=""),"Needs reasoning",IF(D326="","Choose a label","OK")))))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8"/>
      <c r="J327" s="32" t="str">
        <f aca="false">IF(C327="","",IF(AND(G327="Yes",H327=""),"Unchecked AI draft: do not use",IF(AND(D327&lt;&gt;"Unknown",F327=""),"Needs source",IF(AND(D327="Source-backed inference",E327=""),"Needs reasoning",IF(D327="","Choose a label","OK")))))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8"/>
      <c r="J328" s="32" t="str">
        <f aca="false">IF(C328="","",IF(AND(G328="Yes",H328=""),"Unchecked AI draft: do not use",IF(AND(D328&lt;&gt;"Unknown",F328=""),"Needs source",IF(AND(D328="Source-backed inference",E328=""),"Needs reasoning",IF(D328="","Choose a label","OK")))))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8"/>
      <c r="J329" s="32" t="str">
        <f aca="false">IF(C329="","",IF(AND(G329="Yes",H329=""),"Unchecked AI draft: do not use",IF(AND(D329&lt;&gt;"Unknown",F329=""),"Needs source",IF(AND(D329="Source-backed inference",E329=""),"Needs reasoning",IF(D329="","Choose a label","OK")))))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8"/>
      <c r="J330" s="32" t="str">
        <f aca="false">IF(C330="","",IF(AND(G330="Yes",H330=""),"Unchecked AI draft: do not use",IF(AND(D330&lt;&gt;"Unknown",F330=""),"Needs source",IF(AND(D330="Source-backed inference",E330=""),"Needs reasoning",IF(D330="","Choose a label","OK")))))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8"/>
      <c r="J331" s="32" t="str">
        <f aca="false">IF(C331="","",IF(AND(G331="Yes",H331=""),"Unchecked AI draft: do not use",IF(AND(D331&lt;&gt;"Unknown",F331=""),"Needs source",IF(AND(D331="Source-backed inference",E331=""),"Needs reasoning",IF(D331="","Choose a label","OK")))))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8"/>
      <c r="J332" s="32" t="str">
        <f aca="false">IF(C332="","",IF(AND(G332="Yes",H332=""),"Unchecked AI draft: do not use",IF(AND(D332&lt;&gt;"Unknown",F332=""),"Needs source",IF(AND(D332="Source-backed inference",E332=""),"Needs reasoning",IF(D332="","Choose a label","OK")))))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8"/>
      <c r="J333" s="32" t="str">
        <f aca="false">IF(C333="","",IF(AND(G333="Yes",H333=""),"Unchecked AI draft: do not use",IF(AND(D333&lt;&gt;"Unknown",F333=""),"Needs source",IF(AND(D333="Source-backed inference",E333=""),"Needs reasoning",IF(D333="","Choose a label","OK")))))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8"/>
      <c r="J334" s="32" t="str">
        <f aca="false">IF(C334="","",IF(AND(G334="Yes",H334=""),"Unchecked AI draft: do not use",IF(AND(D334&lt;&gt;"Unknown",F334=""),"Needs source",IF(AND(D334="Source-backed inference",E334=""),"Needs reasoning",IF(D334="","Choose a label","OK")))))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8"/>
      <c r="J335" s="32" t="str">
        <f aca="false">IF(C335="","",IF(AND(G335="Yes",H335=""),"Unchecked AI draft: do not use",IF(AND(D335&lt;&gt;"Unknown",F335=""),"Needs source",IF(AND(D335="Source-backed inference",E335=""),"Needs reasoning",IF(D335="","Choose a label","OK")))))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8"/>
      <c r="J336" s="32" t="str">
        <f aca="false">IF(C336="","",IF(AND(G336="Yes",H336=""),"Unchecked AI draft: do not use",IF(AND(D336&lt;&gt;"Unknown",F336=""),"Needs source",IF(AND(D336="Source-backed inference",E336=""),"Needs reasoning",IF(D336="","Choose a label","OK")))))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8"/>
      <c r="J337" s="32" t="str">
        <f aca="false">IF(C337="","",IF(AND(G337="Yes",H337=""),"Unchecked AI draft: do not use",IF(AND(D337&lt;&gt;"Unknown",F337=""),"Needs source",IF(AND(D337="Source-backed inference",E337=""),"Needs reasoning",IF(D337="","Choose a label","OK")))))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8"/>
      <c r="J338" s="32" t="str">
        <f aca="false">IF(C338="","",IF(AND(G338="Yes",H338=""),"Unchecked AI draft: do not use",IF(AND(D338&lt;&gt;"Unknown",F338=""),"Needs source",IF(AND(D338="Source-backed inference",E338=""),"Needs reasoning",IF(D338="","Choose a label","OK")))))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8"/>
      <c r="J339" s="32" t="str">
        <f aca="false">IF(C339="","",IF(AND(G339="Yes",H339=""),"Unchecked AI draft: do not use",IF(AND(D339&lt;&gt;"Unknown",F339=""),"Needs source",IF(AND(D339="Source-backed inference",E339=""),"Needs reasoning",IF(D339="","Choose a label","OK")))))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8"/>
      <c r="J340" s="32" t="str">
        <f aca="false">IF(C340="","",IF(AND(G340="Yes",H340=""),"Unchecked AI draft: do not use",IF(AND(D340&lt;&gt;"Unknown",F340=""),"Needs source",IF(AND(D340="Source-backed inference",E340=""),"Needs reasoning",IF(D340="","Choose a label","OK")))))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8"/>
      <c r="J341" s="32" t="str">
        <f aca="false">IF(C341="","",IF(AND(G341="Yes",H341=""),"Unchecked AI draft: do not use",IF(AND(D341&lt;&gt;"Unknown",F341=""),"Needs source",IF(AND(D341="Source-backed inference",E341=""),"Needs reasoning",IF(D341="","Choose a label","OK")))))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8"/>
      <c r="J342" s="32" t="str">
        <f aca="false">IF(C342="","",IF(AND(G342="Yes",H342=""),"Unchecked AI draft: do not use",IF(AND(D342&lt;&gt;"Unknown",F342=""),"Needs source",IF(AND(D342="Source-backed inference",E342=""),"Needs reasoning",IF(D342="","Choose a label","OK")))))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8"/>
      <c r="J343" s="32" t="str">
        <f aca="false">IF(C343="","",IF(AND(G343="Yes",H343=""),"Unchecked AI draft: do not use",IF(AND(D343&lt;&gt;"Unknown",F343=""),"Needs source",IF(AND(D343="Source-backed inference",E343=""),"Needs reasoning",IF(D343="","Choose a label","OK")))))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8"/>
      <c r="J344" s="32" t="str">
        <f aca="false">IF(C344="","",IF(AND(G344="Yes",H344=""),"Unchecked AI draft: do not use",IF(AND(D344&lt;&gt;"Unknown",F344=""),"Needs source",IF(AND(D344="Source-backed inference",E344=""),"Needs reasoning",IF(D344="","Choose a label","OK")))))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8"/>
      <c r="J345" s="32" t="str">
        <f aca="false">IF(C345="","",IF(AND(G345="Yes",H345=""),"Unchecked AI draft: do not use",IF(AND(D345&lt;&gt;"Unknown",F345=""),"Needs source",IF(AND(D345="Source-backed inference",E345=""),"Needs reasoning",IF(D345="","Choose a label","OK")))))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8"/>
      <c r="J346" s="32" t="str">
        <f aca="false">IF(C346="","",IF(AND(G346="Yes",H346=""),"Unchecked AI draft: do not use",IF(AND(D346&lt;&gt;"Unknown",F346=""),"Needs source",IF(AND(D346="Source-backed inference",E346=""),"Needs reasoning",IF(D346="","Choose a label","OK")))))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8"/>
      <c r="J347" s="32" t="str">
        <f aca="false">IF(C347="","",IF(AND(G347="Yes",H347=""),"Unchecked AI draft: do not use",IF(AND(D347&lt;&gt;"Unknown",F347=""),"Needs source",IF(AND(D347="Source-backed inference",E347=""),"Needs reasoning",IF(D347="","Choose a label","OK")))))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8"/>
      <c r="J348" s="32" t="str">
        <f aca="false">IF(C348="","",IF(AND(G348="Yes",H348=""),"Unchecked AI draft: do not use",IF(AND(D348&lt;&gt;"Unknown",F348=""),"Needs source",IF(AND(D348="Source-backed inference",E348=""),"Needs reasoning",IF(D348="","Choose a label","OK")))))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8"/>
      <c r="J349" s="32" t="str">
        <f aca="false">IF(C349="","",IF(AND(G349="Yes",H349=""),"Unchecked AI draft: do not use",IF(AND(D349&lt;&gt;"Unknown",F349=""),"Needs source",IF(AND(D349="Source-backed inference",E349=""),"Needs reasoning",IF(D349="","Choose a label","OK")))))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8"/>
      <c r="J350" s="32" t="str">
        <f aca="false">IF(C350="","",IF(AND(G350="Yes",H350=""),"Unchecked AI draft: do not use",IF(AND(D350&lt;&gt;"Unknown",F350=""),"Needs source",IF(AND(D350="Source-backed inference",E350=""),"Needs reasoning",IF(D350="","Choose a label","OK")))))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8"/>
      <c r="J351" s="32" t="str">
        <f aca="false">IF(C351="","",IF(AND(G351="Yes",H351=""),"Unchecked AI draft: do not use",IF(AND(D351&lt;&gt;"Unknown",F351=""),"Needs source",IF(AND(D351="Source-backed inference",E351=""),"Needs reasoning",IF(D351="","Choose a label","OK")))))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8"/>
      <c r="J352" s="32" t="str">
        <f aca="false">IF(C352="","",IF(AND(G352="Yes",H352=""),"Unchecked AI draft: do not use",IF(AND(D352&lt;&gt;"Unknown",F352=""),"Needs source",IF(AND(D352="Source-backed inference",E352=""),"Needs reasoning",IF(D352="","Choose a label","OK")))))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8"/>
      <c r="J353" s="32" t="str">
        <f aca="false">IF(C353="","",IF(AND(G353="Yes",H353=""),"Unchecked AI draft: do not use",IF(AND(D353&lt;&gt;"Unknown",F353=""),"Needs source",IF(AND(D353="Source-backed inference",E353=""),"Needs reasoning",IF(D353="","Choose a label","OK")))))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8"/>
      <c r="J354" s="32" t="str">
        <f aca="false">IF(C354="","",IF(AND(G354="Yes",H354=""),"Unchecked AI draft: do not use",IF(AND(D354&lt;&gt;"Unknown",F354=""),"Needs source",IF(AND(D354="Source-backed inference",E354=""),"Needs reasoning",IF(D354="","Choose a label","OK")))))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8"/>
      <c r="J355" s="32" t="str">
        <f aca="false">IF(C355="","",IF(AND(G355="Yes",H355=""),"Unchecked AI draft: do not use",IF(AND(D355&lt;&gt;"Unknown",F355=""),"Needs source",IF(AND(D355="Source-backed inference",E355=""),"Needs reasoning",IF(D355="","Choose a label","OK")))))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8"/>
      <c r="J356" s="32" t="str">
        <f aca="false">IF(C356="","",IF(AND(G356="Yes",H356=""),"Unchecked AI draft: do not use",IF(AND(D356&lt;&gt;"Unknown",F356=""),"Needs source",IF(AND(D356="Source-backed inference",E356=""),"Needs reasoning",IF(D356="","Choose a label","OK")))))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8"/>
      <c r="J357" s="32" t="str">
        <f aca="false">IF(C357="","",IF(AND(G357="Yes",H357=""),"Unchecked AI draft: do not use",IF(AND(D357&lt;&gt;"Unknown",F357=""),"Needs source",IF(AND(D357="Source-backed inference",E357=""),"Needs reasoning",IF(D357="","Choose a label","OK")))))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8"/>
      <c r="J358" s="32" t="str">
        <f aca="false">IF(C358="","",IF(AND(G358="Yes",H358=""),"Unchecked AI draft: do not use",IF(AND(D358&lt;&gt;"Unknown",F358=""),"Needs source",IF(AND(D358="Source-backed inference",E358=""),"Needs reasoning",IF(D358="","Choose a label","OK")))))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8"/>
      <c r="J359" s="32" t="str">
        <f aca="false">IF(C359="","",IF(AND(G359="Yes",H359=""),"Unchecked AI draft: do not use",IF(AND(D359&lt;&gt;"Unknown",F359=""),"Needs source",IF(AND(D359="Source-backed inference",E359=""),"Needs reasoning",IF(D359="","Choose a label","OK")))))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8"/>
      <c r="J360" s="32" t="str">
        <f aca="false">IF(C360="","",IF(AND(G360="Yes",H360=""),"Unchecked AI draft: do not use",IF(AND(D360&lt;&gt;"Unknown",F360=""),"Needs source",IF(AND(D360="Source-backed inference",E360=""),"Needs reasoning",IF(D360="","Choose a label","OK")))))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8"/>
      <c r="J361" s="32" t="str">
        <f aca="false">IF(C361="","",IF(AND(G361="Yes",H361=""),"Unchecked AI draft: do not use",IF(AND(D361&lt;&gt;"Unknown",F361=""),"Needs source",IF(AND(D361="Source-backed inference",E361=""),"Needs reasoning",IF(D361="","Choose a label","OK")))))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8"/>
      <c r="J362" s="32" t="str">
        <f aca="false">IF(C362="","",IF(AND(G362="Yes",H362=""),"Unchecked AI draft: do not use",IF(AND(D362&lt;&gt;"Unknown",F362=""),"Needs source",IF(AND(D362="Source-backed inference",E362=""),"Needs reasoning",IF(D362="","Choose a label","OK")))))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8"/>
      <c r="J363" s="32" t="str">
        <f aca="false">IF(C363="","",IF(AND(G363="Yes",H363=""),"Unchecked AI draft: do not use",IF(AND(D363&lt;&gt;"Unknown",F363=""),"Needs source",IF(AND(D363="Source-backed inference",E363=""),"Needs reasoning",IF(D363="","Choose a label","OK")))))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8"/>
      <c r="J364" s="32" t="str">
        <f aca="false">IF(C364="","",IF(AND(G364="Yes",H364=""),"Unchecked AI draft: do not use",IF(AND(D364&lt;&gt;"Unknown",F364=""),"Needs source",IF(AND(D364="Source-backed inference",E364=""),"Needs reasoning",IF(D364="","Choose a label","OK")))))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8"/>
      <c r="J365" s="32" t="str">
        <f aca="false">IF(C365="","",IF(AND(G365="Yes",H365=""),"Unchecked AI draft: do not use",IF(AND(D365&lt;&gt;"Unknown",F365=""),"Needs source",IF(AND(D365="Source-backed inference",E365=""),"Needs reasoning",IF(D365="","Choose a label","OK")))))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8"/>
      <c r="J366" s="32" t="str">
        <f aca="false">IF(C366="","",IF(AND(G366="Yes",H366=""),"Unchecked AI draft: do not use",IF(AND(D366&lt;&gt;"Unknown",F366=""),"Needs source",IF(AND(D366="Source-backed inference",E366=""),"Needs reasoning",IF(D366="","Choose a label","OK")))))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8"/>
      <c r="J367" s="32" t="str">
        <f aca="false">IF(C367="","",IF(AND(G367="Yes",H367=""),"Unchecked AI draft: do not use",IF(AND(D367&lt;&gt;"Unknown",F367=""),"Needs source",IF(AND(D367="Source-backed inference",E367=""),"Needs reasoning",IF(D367="","Choose a label","OK")))))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8"/>
      <c r="J368" s="32" t="str">
        <f aca="false">IF(C368="","",IF(AND(G368="Yes",H368=""),"Unchecked AI draft: do not use",IF(AND(D368&lt;&gt;"Unknown",F368=""),"Needs source",IF(AND(D368="Source-backed inference",E368=""),"Needs reasoning",IF(D368="","Choose a label","OK")))))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8"/>
      <c r="J369" s="32" t="str">
        <f aca="false">IF(C369="","",IF(AND(G369="Yes",H369=""),"Unchecked AI draft: do not use",IF(AND(D369&lt;&gt;"Unknown",F369=""),"Needs source",IF(AND(D369="Source-backed inference",E369=""),"Needs reasoning",IF(D369="","Choose a label","OK")))))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8"/>
      <c r="J370" s="32" t="str">
        <f aca="false">IF(C370="","",IF(AND(G370="Yes",H370=""),"Unchecked AI draft: do not use",IF(AND(D370&lt;&gt;"Unknown",F370=""),"Needs source",IF(AND(D370="Source-backed inference",E370=""),"Needs reasoning",IF(D370="","Choose a label","OK")))))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8"/>
      <c r="J371" s="32" t="str">
        <f aca="false">IF(C371="","",IF(AND(G371="Yes",H371=""),"Unchecked AI draft: do not use",IF(AND(D371&lt;&gt;"Unknown",F371=""),"Needs source",IF(AND(D371="Source-backed inference",E371=""),"Needs reasoning",IF(D371="","Choose a label","OK")))))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8"/>
      <c r="J372" s="32" t="str">
        <f aca="false">IF(C372="","",IF(AND(G372="Yes",H372=""),"Unchecked AI draft: do not use",IF(AND(D372&lt;&gt;"Unknown",F372=""),"Needs source",IF(AND(D372="Source-backed inference",E372=""),"Needs reasoning",IF(D372="","Choose a label","OK")))))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8"/>
      <c r="J373" s="32" t="str">
        <f aca="false">IF(C373="","",IF(AND(G373="Yes",H373=""),"Unchecked AI draft: do not use",IF(AND(D373&lt;&gt;"Unknown",F373=""),"Needs source",IF(AND(D373="Source-backed inference",E373=""),"Needs reasoning",IF(D373="","Choose a label","OK")))))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8"/>
      <c r="J374" s="32" t="str">
        <f aca="false">IF(C374="","",IF(AND(G374="Yes",H374=""),"Unchecked AI draft: do not use",IF(AND(D374&lt;&gt;"Unknown",F374=""),"Needs source",IF(AND(D374="Source-backed inference",E374=""),"Needs reasoning",IF(D374="","Choose a label","OK")))))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8"/>
      <c r="J375" s="32" t="str">
        <f aca="false">IF(C375="","",IF(AND(G375="Yes",H375=""),"Unchecked AI draft: do not use",IF(AND(D375&lt;&gt;"Unknown",F375=""),"Needs source",IF(AND(D375="Source-backed inference",E375=""),"Needs reasoning",IF(D375="","Choose a label","OK")))))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8"/>
      <c r="J376" s="32" t="str">
        <f aca="false">IF(C376="","",IF(AND(G376="Yes",H376=""),"Unchecked AI draft: do not use",IF(AND(D376&lt;&gt;"Unknown",F376=""),"Needs source",IF(AND(D376="Source-backed inference",E376=""),"Needs reasoning",IF(D376="","Choose a label","OK")))))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8"/>
      <c r="J377" s="32" t="str">
        <f aca="false">IF(C377="","",IF(AND(G377="Yes",H377=""),"Unchecked AI draft: do not use",IF(AND(D377&lt;&gt;"Unknown",F377=""),"Needs source",IF(AND(D377="Source-backed inference",E377=""),"Needs reasoning",IF(D377="","Choose a label","OK")))))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8"/>
      <c r="J378" s="32" t="str">
        <f aca="false">IF(C378="","",IF(AND(G378="Yes",H378=""),"Unchecked AI draft: do not use",IF(AND(D378&lt;&gt;"Unknown",F378=""),"Needs source",IF(AND(D378="Source-backed inference",E378=""),"Needs reasoning",IF(D378="","Choose a label","OK")))))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8"/>
      <c r="J379" s="32" t="str">
        <f aca="false">IF(C379="","",IF(AND(G379="Yes",H379=""),"Unchecked AI draft: do not use",IF(AND(D379&lt;&gt;"Unknown",F379=""),"Needs source",IF(AND(D379="Source-backed inference",E379=""),"Needs reasoning",IF(D379="","Choose a label","OK")))))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8"/>
      <c r="J380" s="32" t="str">
        <f aca="false">IF(C380="","",IF(AND(G380="Yes",H380=""),"Unchecked AI draft: do not use",IF(AND(D380&lt;&gt;"Unknown",F380=""),"Needs source",IF(AND(D380="Source-backed inference",E380=""),"Needs reasoning",IF(D380="","Choose a label","OK")))))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8"/>
      <c r="J381" s="32" t="str">
        <f aca="false">IF(C381="","",IF(AND(G381="Yes",H381=""),"Unchecked AI draft: do not use",IF(AND(D381&lt;&gt;"Unknown",F381=""),"Needs source",IF(AND(D381="Source-backed inference",E381=""),"Needs reasoning",IF(D381="","Choose a label","OK")))))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8"/>
      <c r="J382" s="32" t="str">
        <f aca="false">IF(C382="","",IF(AND(G382="Yes",H382=""),"Unchecked AI draft: do not use",IF(AND(D382&lt;&gt;"Unknown",F382=""),"Needs source",IF(AND(D382="Source-backed inference",E382=""),"Needs reasoning",IF(D382="","Choose a label","OK")))))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8"/>
      <c r="J383" s="32" t="str">
        <f aca="false">IF(C383="","",IF(AND(G383="Yes",H383=""),"Unchecked AI draft: do not use",IF(AND(D383&lt;&gt;"Unknown",F383=""),"Needs source",IF(AND(D383="Source-backed inference",E383=""),"Needs reasoning",IF(D383="","Choose a label","OK")))))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8"/>
      <c r="J384" s="32" t="str">
        <f aca="false">IF(C384="","",IF(AND(G384="Yes",H384=""),"Unchecked AI draft: do not use",IF(AND(D384&lt;&gt;"Unknown",F384=""),"Needs source",IF(AND(D384="Source-backed inference",E384=""),"Needs reasoning",IF(D384="","Choose a label","OK")))))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8"/>
      <c r="J385" s="32" t="str">
        <f aca="false">IF(C385="","",IF(AND(G385="Yes",H385=""),"Unchecked AI draft: do not use",IF(AND(D385&lt;&gt;"Unknown",F385=""),"Needs source",IF(AND(D385="Source-backed inference",E385=""),"Needs reasoning",IF(D385="","Choose a label","OK")))))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8"/>
      <c r="J386" s="32" t="str">
        <f aca="false">IF(C386="","",IF(AND(G386="Yes",H386=""),"Unchecked AI draft: do not use",IF(AND(D386&lt;&gt;"Unknown",F386=""),"Needs source",IF(AND(D386="Source-backed inference",E386=""),"Needs reasoning",IF(D386="","Choose a label","OK")))))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8"/>
      <c r="J387" s="32" t="str">
        <f aca="false">IF(C387="","",IF(AND(G387="Yes",H387=""),"Unchecked AI draft: do not use",IF(AND(D387&lt;&gt;"Unknown",F387=""),"Needs source",IF(AND(D387="Source-backed inference",E387=""),"Needs reasoning",IF(D387="","Choose a label","OK")))))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8"/>
      <c r="J388" s="32" t="str">
        <f aca="false">IF(C388="","",IF(AND(G388="Yes",H388=""),"Unchecked AI draft: do not use",IF(AND(D388&lt;&gt;"Unknown",F388=""),"Needs source",IF(AND(D388="Source-backed inference",E388=""),"Needs reasoning",IF(D388="","Choose a label","OK")))))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8"/>
      <c r="J389" s="32" t="str">
        <f aca="false">IF(C389="","",IF(AND(G389="Yes",H389=""),"Unchecked AI draft: do not use",IF(AND(D389&lt;&gt;"Unknown",F389=""),"Needs source",IF(AND(D389="Source-backed inference",E389=""),"Needs reasoning",IF(D389="","Choose a label","OK")))))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8"/>
      <c r="J390" s="32" t="str">
        <f aca="false">IF(C390="","",IF(AND(G390="Yes",H390=""),"Unchecked AI draft: do not use",IF(AND(D390&lt;&gt;"Unknown",F390=""),"Needs source",IF(AND(D390="Source-backed inference",E390=""),"Needs reasoning",IF(D390="","Choose a label","OK")))))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8"/>
      <c r="J391" s="32" t="str">
        <f aca="false">IF(C391="","",IF(AND(G391="Yes",H391=""),"Unchecked AI draft: do not use",IF(AND(D391&lt;&gt;"Unknown",F391=""),"Needs source",IF(AND(D391="Source-backed inference",E391=""),"Needs reasoning",IF(D391="","Choose a label","OK")))))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8"/>
      <c r="J392" s="32" t="str">
        <f aca="false">IF(C392="","",IF(AND(G392="Yes",H392=""),"Unchecked AI draft: do not use",IF(AND(D392&lt;&gt;"Unknown",F392=""),"Needs source",IF(AND(D392="Source-backed inference",E392=""),"Needs reasoning",IF(D392="","Choose a label","OK")))))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8"/>
      <c r="J393" s="32" t="str">
        <f aca="false">IF(C393="","",IF(AND(G393="Yes",H393=""),"Unchecked AI draft: do not use",IF(AND(D393&lt;&gt;"Unknown",F393=""),"Needs source",IF(AND(D393="Source-backed inference",E393=""),"Needs reasoning",IF(D393="","Choose a label","OK")))))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8"/>
      <c r="J394" s="32" t="str">
        <f aca="false">IF(C394="","",IF(AND(G394="Yes",H394=""),"Unchecked AI draft: do not use",IF(AND(D394&lt;&gt;"Unknown",F394=""),"Needs source",IF(AND(D394="Source-backed inference",E394=""),"Needs reasoning",IF(D394="","Choose a label","OK")))))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8"/>
      <c r="J395" s="32" t="str">
        <f aca="false">IF(C395="","",IF(AND(G395="Yes",H395=""),"Unchecked AI draft: do not use",IF(AND(D395&lt;&gt;"Unknown",F395=""),"Needs source",IF(AND(D395="Source-backed inference",E395=""),"Needs reasoning",IF(D395="","Choose a label","OK")))))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8"/>
      <c r="J396" s="32" t="str">
        <f aca="false">IF(C396="","",IF(AND(G396="Yes",H396=""),"Unchecked AI draft: do not use",IF(AND(D396&lt;&gt;"Unknown",F396=""),"Needs source",IF(AND(D396="Source-backed inference",E396=""),"Needs reasoning",IF(D396="","Choose a label","OK")))))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8"/>
      <c r="J397" s="32" t="str">
        <f aca="false">IF(C397="","",IF(AND(G397="Yes",H397=""),"Unchecked AI draft: do not use",IF(AND(D397&lt;&gt;"Unknown",F397=""),"Needs source",IF(AND(D397="Source-backed inference",E397=""),"Needs reasoning",IF(D397="","Choose a label","OK")))))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8"/>
      <c r="J398" s="32" t="str">
        <f aca="false">IF(C398="","",IF(AND(G398="Yes",H398=""),"Unchecked AI draft: do not use",IF(AND(D398&lt;&gt;"Unknown",F398=""),"Needs source",IF(AND(D398="Source-backed inference",E398=""),"Needs reasoning",IF(D398="","Choose a label","OK")))))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8"/>
      <c r="J399" s="32" t="str">
        <f aca="false">IF(C399="","",IF(AND(G399="Yes",H399=""),"Unchecked AI draft: do not use",IF(AND(D399&lt;&gt;"Unknown",F399=""),"Needs source",IF(AND(D399="Source-backed inference",E399=""),"Needs reasoning",IF(D399="","Choose a label","OK")))))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8"/>
      <c r="J400" s="32" t="str">
        <f aca="false">IF(C400="","",IF(AND(G400="Yes",H400=""),"Unchecked AI draft: do not use",IF(AND(D400&lt;&gt;"Unknown",F400=""),"Needs source",IF(AND(D400="Source-backed inference",E400=""),"Needs reasoning",IF(D400="","Choose a label","OK")))))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8"/>
      <c r="J401" s="32" t="str">
        <f aca="false">IF(C401="","",IF(AND(G401="Yes",H401=""),"Unchecked AI draft: do not use",IF(AND(D401&lt;&gt;"Unknown",F401=""),"Needs source",IF(AND(D401="Source-backed inference",E401=""),"Needs reasoning",IF(D401="","Choose a label","OK")))))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8"/>
      <c r="J402" s="32" t="str">
        <f aca="false">IF(C402="","",IF(AND(G402="Yes",H402=""),"Unchecked AI draft: do not use",IF(AND(D402&lt;&gt;"Unknown",F402=""),"Needs source",IF(AND(D402="Source-backed inference",E402=""),"Needs reasoning",IF(D402="","Choose a label","OK")))))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8"/>
      <c r="J403" s="32" t="str">
        <f aca="false">IF(C403="","",IF(AND(G403="Yes",H403=""),"Unchecked AI draft: do not use",IF(AND(D403&lt;&gt;"Unknown",F403=""),"Needs source",IF(AND(D403="Source-backed inference",E403=""),"Needs reasoning",IF(D403="","Choose a label","OK")))))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8"/>
      <c r="J404" s="32" t="str">
        <f aca="false">IF(C404="","",IF(AND(G404="Yes",H404=""),"Unchecked AI draft: do not use",IF(AND(D404&lt;&gt;"Unknown",F404=""),"Needs source",IF(AND(D404="Source-backed inference",E404=""),"Needs reasoning",IF(D404="","Choose a label","OK")))))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8"/>
      <c r="J405" s="32" t="str">
        <f aca="false">IF(C405="","",IF(AND(G405="Yes",H405=""),"Unchecked AI draft: do not use",IF(AND(D405&lt;&gt;"Unknown",F405=""),"Needs source",IF(AND(D405="Source-backed inference",E405=""),"Needs reasoning",IF(D405="","Choose a label","OK")))))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8"/>
      <c r="J406" s="32" t="str">
        <f aca="false">IF(C406="","",IF(AND(G406="Yes",H406=""),"Unchecked AI draft: do not use",IF(AND(D406&lt;&gt;"Unknown",F406=""),"Needs source",IF(AND(D406="Source-backed inference",E406=""),"Needs reasoning",IF(D406="","Choose a label","OK")))))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8"/>
      <c r="J407" s="32" t="str">
        <f aca="false">IF(C407="","",IF(AND(G407="Yes",H407=""),"Unchecked AI draft: do not use",IF(AND(D407&lt;&gt;"Unknown",F407=""),"Needs source",IF(AND(D407="Source-backed inference",E407=""),"Needs reasoning",IF(D407="","Choose a label","OK")))))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8"/>
      <c r="J408" s="32" t="str">
        <f aca="false">IF(C408="","",IF(AND(G408="Yes",H408=""),"Unchecked AI draft: do not use",IF(AND(D408&lt;&gt;"Unknown",F408=""),"Needs source",IF(AND(D408="Source-backed inference",E408=""),"Needs reasoning",IF(D408="","Choose a label","OK")))))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8"/>
      <c r="J409" s="32" t="str">
        <f aca="false">IF(C409="","",IF(AND(G409="Yes",H409=""),"Unchecked AI draft: do not use",IF(AND(D409&lt;&gt;"Unknown",F409=""),"Needs source",IF(AND(D409="Source-backed inference",E409=""),"Needs reasoning",IF(D409="","Choose a label","OK")))))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8"/>
      <c r="J410" s="32" t="str">
        <f aca="false">IF(C410="","",IF(AND(G410="Yes",H410=""),"Unchecked AI draft: do not use",IF(AND(D410&lt;&gt;"Unknown",F410=""),"Needs source",IF(AND(D410="Source-backed inference",E410=""),"Needs reasoning",IF(D410="","Choose a label","OK")))))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8"/>
      <c r="J411" s="32" t="str">
        <f aca="false">IF(C411="","",IF(AND(G411="Yes",H411=""),"Unchecked AI draft: do not use",IF(AND(D411&lt;&gt;"Unknown",F411=""),"Needs source",IF(AND(D411="Source-backed inference",E411=""),"Needs reasoning",IF(D411="","Choose a label","OK")))))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8"/>
      <c r="J412" s="32" t="str">
        <f aca="false">IF(C412="","",IF(AND(G412="Yes",H412=""),"Unchecked AI draft: do not use",IF(AND(D412&lt;&gt;"Unknown",F412=""),"Needs source",IF(AND(D412="Source-backed inference",E412=""),"Needs reasoning",IF(D412="","Choose a label","OK")))))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8"/>
      <c r="J413" s="32" t="str">
        <f aca="false">IF(C413="","",IF(AND(G413="Yes",H413=""),"Unchecked AI draft: do not use",IF(AND(D413&lt;&gt;"Unknown",F413=""),"Needs source",IF(AND(D413="Source-backed inference",E413=""),"Needs reasoning",IF(D413="","Choose a label","OK")))))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8"/>
      <c r="J414" s="32" t="str">
        <f aca="false">IF(C414="","",IF(AND(G414="Yes",H414=""),"Unchecked AI draft: do not use",IF(AND(D414&lt;&gt;"Unknown",F414=""),"Needs source",IF(AND(D414="Source-backed inference",E414=""),"Needs reasoning",IF(D414="","Choose a label","OK")))))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8"/>
      <c r="J415" s="32" t="str">
        <f aca="false">IF(C415="","",IF(AND(G415="Yes",H415=""),"Unchecked AI draft: do not use",IF(AND(D415&lt;&gt;"Unknown",F415=""),"Needs source",IF(AND(D415="Source-backed inference",E415=""),"Needs reasoning",IF(D415="","Choose a label","OK")))))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8"/>
      <c r="J416" s="32" t="str">
        <f aca="false">IF(C416="","",IF(AND(G416="Yes",H416=""),"Unchecked AI draft: do not use",IF(AND(D416&lt;&gt;"Unknown",F416=""),"Needs source",IF(AND(D416="Source-backed inference",E416=""),"Needs reasoning",IF(D416="","Choose a label","OK")))))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8"/>
      <c r="J417" s="32" t="str">
        <f aca="false">IF(C417="","",IF(AND(G417="Yes",H417=""),"Unchecked AI draft: do not use",IF(AND(D417&lt;&gt;"Unknown",F417=""),"Needs source",IF(AND(D417="Source-backed inference",E417=""),"Needs reasoning",IF(D417="","Choose a label","OK")))))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8"/>
      <c r="J418" s="32" t="str">
        <f aca="false">IF(C418="","",IF(AND(G418="Yes",H418=""),"Unchecked AI draft: do not use",IF(AND(D418&lt;&gt;"Unknown",F418=""),"Needs source",IF(AND(D418="Source-backed inference",E418=""),"Needs reasoning",IF(D418="","Choose a label","OK")))))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8"/>
      <c r="J419" s="32" t="str">
        <f aca="false">IF(C419="","",IF(AND(G419="Yes",H419=""),"Unchecked AI draft: do not use",IF(AND(D419&lt;&gt;"Unknown",F419=""),"Needs source",IF(AND(D419="Source-backed inference",E419=""),"Needs reasoning",IF(D419="","Choose a label","OK")))))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8"/>
      <c r="J420" s="32" t="str">
        <f aca="false">IF(C420="","",IF(AND(G420="Yes",H420=""),"Unchecked AI draft: do not use",IF(AND(D420&lt;&gt;"Unknown",F420=""),"Needs source",IF(AND(D420="Source-backed inference",E420=""),"Needs reasoning",IF(D420="","Choose a label","OK")))))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8"/>
      <c r="J421" s="32" t="str">
        <f aca="false">IF(C421="","",IF(AND(G421="Yes",H421=""),"Unchecked AI draft: do not use",IF(AND(D421&lt;&gt;"Unknown",F421=""),"Needs source",IF(AND(D421="Source-backed inference",E421=""),"Needs reasoning",IF(D421="","Choose a label","OK")))))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8"/>
      <c r="J422" s="32" t="str">
        <f aca="false">IF(C422="","",IF(AND(G422="Yes",H422=""),"Unchecked AI draft: do not use",IF(AND(D422&lt;&gt;"Unknown",F422=""),"Needs source",IF(AND(D422="Source-backed inference",E422=""),"Needs reasoning",IF(D422="","Choose a label","OK")))))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8"/>
      <c r="J423" s="32" t="str">
        <f aca="false">IF(C423="","",IF(AND(G423="Yes",H423=""),"Unchecked AI draft: do not use",IF(AND(D423&lt;&gt;"Unknown",F423=""),"Needs source",IF(AND(D423="Source-backed inference",E423=""),"Needs reasoning",IF(D423="","Choose a label","OK")))))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8"/>
      <c r="J424" s="32" t="str">
        <f aca="false">IF(C424="","",IF(AND(G424="Yes",H424=""),"Unchecked AI draft: do not use",IF(AND(D424&lt;&gt;"Unknown",F424=""),"Needs source",IF(AND(D424="Source-backed inference",E424=""),"Needs reasoning",IF(D424="","Choose a label","OK")))))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8"/>
      <c r="J425" s="32" t="str">
        <f aca="false">IF(C425="","",IF(AND(G425="Yes",H425=""),"Unchecked AI draft: do not use",IF(AND(D425&lt;&gt;"Unknown",F425=""),"Needs source",IF(AND(D425="Source-backed inference",E425=""),"Needs reasoning",IF(D425="","Choose a label","OK")))))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8"/>
      <c r="J426" s="32" t="str">
        <f aca="false">IF(C426="","",IF(AND(G426="Yes",H426=""),"Unchecked AI draft: do not use",IF(AND(D426&lt;&gt;"Unknown",F426=""),"Needs source",IF(AND(D426="Source-backed inference",E426=""),"Needs reasoning",IF(D426="","Choose a label","OK")))))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8"/>
      <c r="J427" s="32" t="str">
        <f aca="false">IF(C427="","",IF(AND(G427="Yes",H427=""),"Unchecked AI draft: do not use",IF(AND(D427&lt;&gt;"Unknown",F427=""),"Needs source",IF(AND(D427="Source-backed inference",E427=""),"Needs reasoning",IF(D427="","Choose a label","OK")))))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8"/>
      <c r="J428" s="32" t="str">
        <f aca="false">IF(C428="","",IF(AND(G428="Yes",H428=""),"Unchecked AI draft: do not use",IF(AND(D428&lt;&gt;"Unknown",F428=""),"Needs source",IF(AND(D428="Source-backed inference",E428=""),"Needs reasoning",IF(D428="","Choose a label","OK")))))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8"/>
      <c r="J429" s="32" t="str">
        <f aca="false">IF(C429="","",IF(AND(G429="Yes",H429=""),"Unchecked AI draft: do not use",IF(AND(D429&lt;&gt;"Unknown",F429=""),"Needs source",IF(AND(D429="Source-backed inference",E429=""),"Needs reasoning",IF(D429="","Choose a label","OK")))))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8"/>
      <c r="J430" s="32" t="str">
        <f aca="false">IF(C430="","",IF(AND(G430="Yes",H430=""),"Unchecked AI draft: do not use",IF(AND(D430&lt;&gt;"Unknown",F430=""),"Needs source",IF(AND(D430="Source-backed inference",E430=""),"Needs reasoning",IF(D430="","Choose a label","OK")))))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8"/>
      <c r="J431" s="32" t="str">
        <f aca="false">IF(C431="","",IF(AND(G431="Yes",H431=""),"Unchecked AI draft: do not use",IF(AND(D431&lt;&gt;"Unknown",F431=""),"Needs source",IF(AND(D431="Source-backed inference",E431=""),"Needs reasoning",IF(D431="","Choose a label","OK")))))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8"/>
      <c r="J432" s="32" t="str">
        <f aca="false">IF(C432="","",IF(AND(G432="Yes",H432=""),"Unchecked AI draft: do not use",IF(AND(D432&lt;&gt;"Unknown",F432=""),"Needs source",IF(AND(D432="Source-backed inference",E432=""),"Needs reasoning",IF(D432="","Choose a label","OK")))))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8"/>
      <c r="J433" s="32" t="str">
        <f aca="false">IF(C433="","",IF(AND(G433="Yes",H433=""),"Unchecked AI draft: do not use",IF(AND(D433&lt;&gt;"Unknown",F433=""),"Needs source",IF(AND(D433="Source-backed inference",E433=""),"Needs reasoning",IF(D433="","Choose a label","OK")))))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8"/>
      <c r="J434" s="32" t="str">
        <f aca="false">IF(C434="","",IF(AND(G434="Yes",H434=""),"Unchecked AI draft: do not use",IF(AND(D434&lt;&gt;"Unknown",F434=""),"Needs source",IF(AND(D434="Source-backed inference",E434=""),"Needs reasoning",IF(D434="","Choose a label","OK")))))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8"/>
      <c r="J435" s="32" t="str">
        <f aca="false">IF(C435="","",IF(AND(G435="Yes",H435=""),"Unchecked AI draft: do not use",IF(AND(D435&lt;&gt;"Unknown",F435=""),"Needs source",IF(AND(D435="Source-backed inference",E435=""),"Needs reasoning",IF(D435="","Choose a label","OK")))))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8"/>
      <c r="J436" s="32" t="str">
        <f aca="false">IF(C436="","",IF(AND(G436="Yes",H436=""),"Unchecked AI draft: do not use",IF(AND(D436&lt;&gt;"Unknown",F436=""),"Needs source",IF(AND(D436="Source-backed inference",E436=""),"Needs reasoning",IF(D436="","Choose a label","OK")))))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8"/>
      <c r="J437" s="32" t="str">
        <f aca="false">IF(C437="","",IF(AND(G437="Yes",H437=""),"Unchecked AI draft: do not use",IF(AND(D437&lt;&gt;"Unknown",F437=""),"Needs source",IF(AND(D437="Source-backed inference",E437=""),"Needs reasoning",IF(D437="","Choose a label","OK")))))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8"/>
      <c r="J438" s="32" t="str">
        <f aca="false">IF(C438="","",IF(AND(G438="Yes",H438=""),"Unchecked AI draft: do not use",IF(AND(D438&lt;&gt;"Unknown",F438=""),"Needs source",IF(AND(D438="Source-backed inference",E438=""),"Needs reasoning",IF(D438="","Choose a label","OK")))))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8"/>
      <c r="J439" s="32" t="str">
        <f aca="false">IF(C439="","",IF(AND(G439="Yes",H439=""),"Unchecked AI draft: do not use",IF(AND(D439&lt;&gt;"Unknown",F439=""),"Needs source",IF(AND(D439="Source-backed inference",E439=""),"Needs reasoning",IF(D439="","Choose a label","OK")))))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8"/>
      <c r="J440" s="32" t="str">
        <f aca="false">IF(C440="","",IF(AND(G440="Yes",H440=""),"Unchecked AI draft: do not use",IF(AND(D440&lt;&gt;"Unknown",F440=""),"Needs source",IF(AND(D440="Source-backed inference",E440=""),"Needs reasoning",IF(D440="","Choose a label","OK")))))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8"/>
      <c r="J441" s="32" t="str">
        <f aca="false">IF(C441="","",IF(AND(G441="Yes",H441=""),"Unchecked AI draft: do not use",IF(AND(D441&lt;&gt;"Unknown",F441=""),"Needs source",IF(AND(D441="Source-backed inference",E441=""),"Needs reasoning",IF(D441="","Choose a label","OK")))))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8"/>
      <c r="J442" s="32" t="str">
        <f aca="false">IF(C442="","",IF(AND(G442="Yes",H442=""),"Unchecked AI draft: do not use",IF(AND(D442&lt;&gt;"Unknown",F442=""),"Needs source",IF(AND(D442="Source-backed inference",E442=""),"Needs reasoning",IF(D442="","Choose a label","OK")))))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8"/>
      <c r="J443" s="32" t="str">
        <f aca="false">IF(C443="","",IF(AND(G443="Yes",H443=""),"Unchecked AI draft: do not use",IF(AND(D443&lt;&gt;"Unknown",F443=""),"Needs source",IF(AND(D443="Source-backed inference",E443=""),"Needs reasoning",IF(D443="","Choose a label","OK")))))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8"/>
      <c r="J444" s="32" t="str">
        <f aca="false">IF(C444="","",IF(AND(G444="Yes",H444=""),"Unchecked AI draft: do not use",IF(AND(D444&lt;&gt;"Unknown",F444=""),"Needs source",IF(AND(D444="Source-backed inference",E444=""),"Needs reasoning",IF(D444="","Choose a label","OK")))))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8"/>
      <c r="J445" s="32" t="str">
        <f aca="false">IF(C445="","",IF(AND(G445="Yes",H445=""),"Unchecked AI draft: do not use",IF(AND(D445&lt;&gt;"Unknown",F445=""),"Needs source",IF(AND(D445="Source-backed inference",E445=""),"Needs reasoning",IF(D445="","Choose a label","OK")))))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8"/>
      <c r="J446" s="32" t="str">
        <f aca="false">IF(C446="","",IF(AND(G446="Yes",H446=""),"Unchecked AI draft: do not use",IF(AND(D446&lt;&gt;"Unknown",F446=""),"Needs source",IF(AND(D446="Source-backed inference",E446=""),"Needs reasoning",IF(D446="","Choose a label","OK")))))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8"/>
      <c r="J447" s="32" t="str">
        <f aca="false">IF(C447="","",IF(AND(G447="Yes",H447=""),"Unchecked AI draft: do not use",IF(AND(D447&lt;&gt;"Unknown",F447=""),"Needs source",IF(AND(D447="Source-backed inference",E447=""),"Needs reasoning",IF(D447="","Choose a label","OK")))))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8"/>
      <c r="J448" s="32" t="str">
        <f aca="false">IF(C448="","",IF(AND(G448="Yes",H448=""),"Unchecked AI draft: do not use",IF(AND(D448&lt;&gt;"Unknown",F448=""),"Needs source",IF(AND(D448="Source-backed inference",E448=""),"Needs reasoning",IF(D448="","Choose a label","OK")))))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8"/>
      <c r="J449" s="32" t="str">
        <f aca="false">IF(C449="","",IF(AND(G449="Yes",H449=""),"Unchecked AI draft: do not use",IF(AND(D449&lt;&gt;"Unknown",F449=""),"Needs source",IF(AND(D449="Source-backed inference",E449=""),"Needs reasoning",IF(D449="","Choose a label","OK")))))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8"/>
      <c r="J450" s="32" t="str">
        <f aca="false">IF(C450="","",IF(AND(G450="Yes",H450=""),"Unchecked AI draft: do not use",IF(AND(D450&lt;&gt;"Unknown",F450=""),"Needs source",IF(AND(D450="Source-backed inference",E450=""),"Needs reasoning",IF(D450="","Choose a label","OK")))))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8"/>
      <c r="J451" s="32" t="str">
        <f aca="false">IF(C451="","",IF(AND(G451="Yes",H451=""),"Unchecked AI draft: do not use",IF(AND(D451&lt;&gt;"Unknown",F451=""),"Needs source",IF(AND(D451="Source-backed inference",E451=""),"Needs reasoning",IF(D451="","Choose a label","OK")))))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8"/>
      <c r="J452" s="32" t="str">
        <f aca="false">IF(C452="","",IF(AND(G452="Yes",H452=""),"Unchecked AI draft: do not use",IF(AND(D452&lt;&gt;"Unknown",F452=""),"Needs source",IF(AND(D452="Source-backed inference",E452=""),"Needs reasoning",IF(D452="","Choose a label","OK")))))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8"/>
      <c r="J453" s="32" t="str">
        <f aca="false">IF(C453="","",IF(AND(G453="Yes",H453=""),"Unchecked AI draft: do not use",IF(AND(D453&lt;&gt;"Unknown",F453=""),"Needs source",IF(AND(D453="Source-backed inference",E453=""),"Needs reasoning",IF(D453="","Choose a label","OK")))))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8"/>
      <c r="J454" s="32" t="str">
        <f aca="false">IF(C454="","",IF(AND(G454="Yes",H454=""),"Unchecked AI draft: do not use",IF(AND(D454&lt;&gt;"Unknown",F454=""),"Needs source",IF(AND(D454="Source-backed inference",E454=""),"Needs reasoning",IF(D454="","Choose a label","OK")))))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8"/>
      <c r="J455" s="32" t="str">
        <f aca="false">IF(C455="","",IF(AND(G455="Yes",H455=""),"Unchecked AI draft: do not use",IF(AND(D455&lt;&gt;"Unknown",F455=""),"Needs source",IF(AND(D455="Source-backed inference",E455=""),"Needs reasoning",IF(D455="","Choose a label","OK")))))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8"/>
      <c r="J456" s="32" t="str">
        <f aca="false">IF(C456="","",IF(AND(G456="Yes",H456=""),"Unchecked AI draft: do not use",IF(AND(D456&lt;&gt;"Unknown",F456=""),"Needs source",IF(AND(D456="Source-backed inference",E456=""),"Needs reasoning",IF(D456="","Choose a label","OK")))))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8"/>
      <c r="J457" s="32" t="str">
        <f aca="false">IF(C457="","",IF(AND(G457="Yes",H457=""),"Unchecked AI draft: do not use",IF(AND(D457&lt;&gt;"Unknown",F457=""),"Needs source",IF(AND(D457="Source-backed inference",E457=""),"Needs reasoning",IF(D457="","Choose a label","OK")))))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8"/>
      <c r="J458" s="32" t="str">
        <f aca="false">IF(C458="","",IF(AND(G458="Yes",H458=""),"Unchecked AI draft: do not use",IF(AND(D458&lt;&gt;"Unknown",F458=""),"Needs source",IF(AND(D458="Source-backed inference",E458=""),"Needs reasoning",IF(D458="","Choose a label","OK")))))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8"/>
      <c r="J459" s="32" t="str">
        <f aca="false">IF(C459="","",IF(AND(G459="Yes",H459=""),"Unchecked AI draft: do not use",IF(AND(D459&lt;&gt;"Unknown",F459=""),"Needs source",IF(AND(D459="Source-backed inference",E459=""),"Needs reasoning",IF(D459="","Choose a label","OK")))))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8"/>
      <c r="J460" s="32" t="str">
        <f aca="false">IF(C460="","",IF(AND(G460="Yes",H460=""),"Unchecked AI draft: do not use",IF(AND(D460&lt;&gt;"Unknown",F460=""),"Needs source",IF(AND(D460="Source-backed inference",E460=""),"Needs reasoning",IF(D460="","Choose a label","OK")))))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8"/>
      <c r="J461" s="32" t="str">
        <f aca="false">IF(C461="","",IF(AND(G461="Yes",H461=""),"Unchecked AI draft: do not use",IF(AND(D461&lt;&gt;"Unknown",F461=""),"Needs source",IF(AND(D461="Source-backed inference",E461=""),"Needs reasoning",IF(D461="","Choose a label","OK")))))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8"/>
      <c r="J462" s="32" t="str">
        <f aca="false">IF(C462="","",IF(AND(G462="Yes",H462=""),"Unchecked AI draft: do not use",IF(AND(D462&lt;&gt;"Unknown",F462=""),"Needs source",IF(AND(D462="Source-backed inference",E462=""),"Needs reasoning",IF(D462="","Choose a label","OK")))))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8"/>
      <c r="J463" s="32" t="str">
        <f aca="false">IF(C463="","",IF(AND(G463="Yes",H463=""),"Unchecked AI draft: do not use",IF(AND(D463&lt;&gt;"Unknown",F463=""),"Needs source",IF(AND(D463="Source-backed inference",E463=""),"Needs reasoning",IF(D463="","Choose a label","OK")))))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8"/>
      <c r="J464" s="32" t="str">
        <f aca="false">IF(C464="","",IF(AND(G464="Yes",H464=""),"Unchecked AI draft: do not use",IF(AND(D464&lt;&gt;"Unknown",F464=""),"Needs source",IF(AND(D464="Source-backed inference",E464=""),"Needs reasoning",IF(D464="","Choose a label","OK")))))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8"/>
      <c r="J465" s="32" t="str">
        <f aca="false">IF(C465="","",IF(AND(G465="Yes",H465=""),"Unchecked AI draft: do not use",IF(AND(D465&lt;&gt;"Unknown",F465=""),"Needs source",IF(AND(D465="Source-backed inference",E465=""),"Needs reasoning",IF(D465="","Choose a label","OK")))))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8"/>
      <c r="J466" s="32" t="str">
        <f aca="false">IF(C466="","",IF(AND(G466="Yes",H466=""),"Unchecked AI draft: do not use",IF(AND(D466&lt;&gt;"Unknown",F466=""),"Needs source",IF(AND(D466="Source-backed inference",E466=""),"Needs reasoning",IF(D466="","Choose a label","OK")))))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8"/>
      <c r="J467" s="32" t="str">
        <f aca="false">IF(C467="","",IF(AND(G467="Yes",H467=""),"Unchecked AI draft: do not use",IF(AND(D467&lt;&gt;"Unknown",F467=""),"Needs source",IF(AND(D467="Source-backed inference",E467=""),"Needs reasoning",IF(D467="","Choose a label","OK")))))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8"/>
      <c r="J468" s="32" t="str">
        <f aca="false">IF(C468="","",IF(AND(G468="Yes",H468=""),"Unchecked AI draft: do not use",IF(AND(D468&lt;&gt;"Unknown",F468=""),"Needs source",IF(AND(D468="Source-backed inference",E468=""),"Needs reasoning",IF(D468="","Choose a label","OK")))))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8"/>
      <c r="J469" s="32" t="str">
        <f aca="false">IF(C469="","",IF(AND(G469="Yes",H469=""),"Unchecked AI draft: do not use",IF(AND(D469&lt;&gt;"Unknown",F469=""),"Needs source",IF(AND(D469="Source-backed inference",E469=""),"Needs reasoning",IF(D469="","Choose a label","OK")))))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8"/>
      <c r="J470" s="32" t="str">
        <f aca="false">IF(C470="","",IF(AND(G470="Yes",H470=""),"Unchecked AI draft: do not use",IF(AND(D470&lt;&gt;"Unknown",F470=""),"Needs source",IF(AND(D470="Source-backed inference",E470=""),"Needs reasoning",IF(D470="","Choose a label","OK")))))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8"/>
      <c r="J471" s="32" t="str">
        <f aca="false">IF(C471="","",IF(AND(G471="Yes",H471=""),"Unchecked AI draft: do not use",IF(AND(D471&lt;&gt;"Unknown",F471=""),"Needs source",IF(AND(D471="Source-backed inference",E471=""),"Needs reasoning",IF(D471="","Choose a label","OK")))))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8"/>
      <c r="J472" s="32" t="str">
        <f aca="false">IF(C472="","",IF(AND(G472="Yes",H472=""),"Unchecked AI draft: do not use",IF(AND(D472&lt;&gt;"Unknown",F472=""),"Needs source",IF(AND(D472="Source-backed inference",E472=""),"Needs reasoning",IF(D472="","Choose a label","OK")))))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8"/>
      <c r="J473" s="32" t="str">
        <f aca="false">IF(C473="","",IF(AND(G473="Yes",H473=""),"Unchecked AI draft: do not use",IF(AND(D473&lt;&gt;"Unknown",F473=""),"Needs source",IF(AND(D473="Source-backed inference",E473=""),"Needs reasoning",IF(D473="","Choose a label","OK")))))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8"/>
      <c r="J474" s="32" t="str">
        <f aca="false">IF(C474="","",IF(AND(G474="Yes",H474=""),"Unchecked AI draft: do not use",IF(AND(D474&lt;&gt;"Unknown",F474=""),"Needs source",IF(AND(D474="Source-backed inference",E474=""),"Needs reasoning",IF(D474="","Choose a label","OK")))))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8"/>
      <c r="J475" s="32" t="str">
        <f aca="false">IF(C475="","",IF(AND(G475="Yes",H475=""),"Unchecked AI draft: do not use",IF(AND(D475&lt;&gt;"Unknown",F475=""),"Needs source",IF(AND(D475="Source-backed inference",E475=""),"Needs reasoning",IF(D475="","Choose a label","OK")))))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8"/>
      <c r="J476" s="32" t="str">
        <f aca="false">IF(C476="","",IF(AND(G476="Yes",H476=""),"Unchecked AI draft: do not use",IF(AND(D476&lt;&gt;"Unknown",F476=""),"Needs source",IF(AND(D476="Source-backed inference",E476=""),"Needs reasoning",IF(D476="","Choose a label","OK")))))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8"/>
      <c r="J477" s="32" t="str">
        <f aca="false">IF(C477="","",IF(AND(G477="Yes",H477=""),"Unchecked AI draft: do not use",IF(AND(D477&lt;&gt;"Unknown",F477=""),"Needs source",IF(AND(D477="Source-backed inference",E477=""),"Needs reasoning",IF(D477="","Choose a label","OK")))))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8"/>
      <c r="J478" s="32" t="str">
        <f aca="false">IF(C478="","",IF(AND(G478="Yes",H478=""),"Unchecked AI draft: do not use",IF(AND(D478&lt;&gt;"Unknown",F478=""),"Needs source",IF(AND(D478="Source-backed inference",E478=""),"Needs reasoning",IF(D478="","Choose a label","OK")))))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8"/>
      <c r="J479" s="32" t="str">
        <f aca="false">IF(C479="","",IF(AND(G479="Yes",H479=""),"Unchecked AI draft: do not use",IF(AND(D479&lt;&gt;"Unknown",F479=""),"Needs source",IF(AND(D479="Source-backed inference",E479=""),"Needs reasoning",IF(D479="","Choose a label","OK")))))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8"/>
      <c r="J480" s="32" t="str">
        <f aca="false">IF(C480="","",IF(AND(G480="Yes",H480=""),"Unchecked AI draft: do not use",IF(AND(D480&lt;&gt;"Unknown",F480=""),"Needs source",IF(AND(D480="Source-backed inference",E480=""),"Needs reasoning",IF(D480="","Choose a label","OK")))))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8"/>
      <c r="J481" s="32" t="str">
        <f aca="false">IF(C481="","",IF(AND(G481="Yes",H481=""),"Unchecked AI draft: do not use",IF(AND(D481&lt;&gt;"Unknown",F481=""),"Needs source",IF(AND(D481="Source-backed inference",E481=""),"Needs reasoning",IF(D481="","Choose a label","OK")))))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8"/>
      <c r="J482" s="32" t="str">
        <f aca="false">IF(C482="","",IF(AND(G482="Yes",H482=""),"Unchecked AI draft: do not use",IF(AND(D482&lt;&gt;"Unknown",F482=""),"Needs source",IF(AND(D482="Source-backed inference",E482=""),"Needs reasoning",IF(D482="","Choose a label","OK")))))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8"/>
      <c r="J483" s="32" t="str">
        <f aca="false">IF(C483="","",IF(AND(G483="Yes",H483=""),"Unchecked AI draft: do not use",IF(AND(D483&lt;&gt;"Unknown",F483=""),"Needs source",IF(AND(D483="Source-backed inference",E483=""),"Needs reasoning",IF(D483="","Choose a label","OK")))))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8"/>
      <c r="J484" s="32" t="str">
        <f aca="false">IF(C484="","",IF(AND(G484="Yes",H484=""),"Unchecked AI draft: do not use",IF(AND(D484&lt;&gt;"Unknown",F484=""),"Needs source",IF(AND(D484="Source-backed inference",E484=""),"Needs reasoning",IF(D484="","Choose a label","OK")))))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8"/>
      <c r="J485" s="32" t="str">
        <f aca="false">IF(C485="","",IF(AND(G485="Yes",H485=""),"Unchecked AI draft: do not use",IF(AND(D485&lt;&gt;"Unknown",F485=""),"Needs source",IF(AND(D485="Source-backed inference",E485=""),"Needs reasoning",IF(D485="","Choose a label","OK")))))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8"/>
      <c r="J486" s="32" t="str">
        <f aca="false">IF(C486="","",IF(AND(G486="Yes",H486=""),"Unchecked AI draft: do not use",IF(AND(D486&lt;&gt;"Unknown",F486=""),"Needs source",IF(AND(D486="Source-backed inference",E486=""),"Needs reasoning",IF(D486="","Choose a label","OK")))))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8"/>
      <c r="J487" s="32" t="str">
        <f aca="false">IF(C487="","",IF(AND(G487="Yes",H487=""),"Unchecked AI draft: do not use",IF(AND(D487&lt;&gt;"Unknown",F487=""),"Needs source",IF(AND(D487="Source-backed inference",E487=""),"Needs reasoning",IF(D487="","Choose a label","OK")))))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8"/>
      <c r="J488" s="32" t="str">
        <f aca="false">IF(C488="","",IF(AND(G488="Yes",H488=""),"Unchecked AI draft: do not use",IF(AND(D488&lt;&gt;"Unknown",F488=""),"Needs source",IF(AND(D488="Source-backed inference",E488=""),"Needs reasoning",IF(D488="","Choose a label","OK")))))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8"/>
      <c r="J489" s="32" t="str">
        <f aca="false">IF(C489="","",IF(AND(G489="Yes",H489=""),"Unchecked AI draft: do not use",IF(AND(D489&lt;&gt;"Unknown",F489=""),"Needs source",IF(AND(D489="Source-backed inference",E489=""),"Needs reasoning",IF(D489="","Choose a label","OK")))))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8"/>
      <c r="J490" s="32" t="str">
        <f aca="false">IF(C490="","",IF(AND(G490="Yes",H490=""),"Unchecked AI draft: do not use",IF(AND(D490&lt;&gt;"Unknown",F490=""),"Needs source",IF(AND(D490="Source-backed inference",E490=""),"Needs reasoning",IF(D490="","Choose a label","OK")))))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8"/>
      <c r="J491" s="32" t="str">
        <f aca="false">IF(C491="","",IF(AND(G491="Yes",H491=""),"Unchecked AI draft: do not use",IF(AND(D491&lt;&gt;"Unknown",F491=""),"Needs source",IF(AND(D491="Source-backed inference",E491=""),"Needs reasoning",IF(D491="","Choose a label","OK")))))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8"/>
      <c r="J492" s="32" t="str">
        <f aca="false">IF(C492="","",IF(AND(G492="Yes",H492=""),"Unchecked AI draft: do not use",IF(AND(D492&lt;&gt;"Unknown",F492=""),"Needs source",IF(AND(D492="Source-backed inference",E492=""),"Needs reasoning",IF(D492="","Choose a label","OK")))))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8"/>
      <c r="J493" s="32" t="str">
        <f aca="false">IF(C493="","",IF(AND(G493="Yes",H493=""),"Unchecked AI draft: do not use",IF(AND(D493&lt;&gt;"Unknown",F493=""),"Needs source",IF(AND(D493="Source-backed inference",E493=""),"Needs reasoning",IF(D493="","Choose a label","OK")))))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8"/>
      <c r="J494" s="32" t="str">
        <f aca="false">IF(C494="","",IF(AND(G494="Yes",H494=""),"Unchecked AI draft: do not use",IF(AND(D494&lt;&gt;"Unknown",F494=""),"Needs source",IF(AND(D494="Source-backed inference",E494=""),"Needs reasoning",IF(D494="","Choose a label","OK")))))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8"/>
      <c r="J495" s="32" t="str">
        <f aca="false">IF(C495="","",IF(AND(G495="Yes",H495=""),"Unchecked AI draft: do not use",IF(AND(D495&lt;&gt;"Unknown",F495=""),"Needs source",IF(AND(D495="Source-backed inference",E495=""),"Needs reasoning",IF(D495="","Choose a label","OK")))))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8"/>
      <c r="J496" s="32" t="str">
        <f aca="false">IF(C496="","",IF(AND(G496="Yes",H496=""),"Unchecked AI draft: do not use",IF(AND(D496&lt;&gt;"Unknown",F496=""),"Needs source",IF(AND(D496="Source-backed inference",E496=""),"Needs reasoning",IF(D496="","Choose a label","OK")))))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8"/>
      <c r="J497" s="32" t="str">
        <f aca="false">IF(C497="","",IF(AND(G497="Yes",H497=""),"Unchecked AI draft: do not use",IF(AND(D497&lt;&gt;"Unknown",F497=""),"Needs source",IF(AND(D497="Source-backed inference",E497=""),"Needs reasoning",IF(D497="","Choose a label","OK")))))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8"/>
      <c r="J498" s="32" t="str">
        <f aca="false">IF(C498="","",IF(AND(G498="Yes",H498=""),"Unchecked AI draft: do not use",IF(AND(D498&lt;&gt;"Unknown",F498=""),"Needs source",IF(AND(D498="Source-backed inference",E498=""),"Needs reasoning",IF(D498="","Choose a label","OK")))))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8"/>
      <c r="J499" s="32" t="str">
        <f aca="false">IF(C499="","",IF(AND(G499="Yes",H499=""),"Unchecked AI draft: do not use",IF(AND(D499&lt;&gt;"Unknown",F499=""),"Needs source",IF(AND(D499="Source-backed inference",E499=""),"Needs reasoning",IF(D499="","Choose a label","OK")))))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8"/>
      <c r="J500" s="32" t="str">
        <f aca="false">IF(C500="","",IF(AND(G500="Yes",H500=""),"Unchecked AI draft: do not use",IF(AND(D500&lt;&gt;"Unknown",F500=""),"Needs source",IF(AND(D500="Source-backed inference",E500=""),"Needs reasoning",IF(D500="","Choose a label","OK")))))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8"/>
      <c r="J501" s="32" t="str">
        <f aca="false">IF(C501="","",IF(AND(G501="Yes",H501=""),"Unchecked AI draft: do not use",IF(AND(D501&lt;&gt;"Unknown",F501=""),"Needs source",IF(AND(D501="Source-backed inference",E501=""),"Needs reasoning",IF(D501="","Choose a label","OK")))))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8"/>
      <c r="J502" s="32" t="str">
        <f aca="false">IF(C502="","",IF(AND(G502="Yes",H502=""),"Unchecked AI draft: do not use",IF(AND(D502&lt;&gt;"Unknown",F502=""),"Needs source",IF(AND(D502="Source-backed inference",E502=""),"Needs reasoning",IF(D502="","Choose a label","OK")))))</f>
        <v/>
      </c>
    </row>
  </sheetData>
  <mergeCells count="1">
    <mergeCell ref="A1:J1"/>
  </mergeCells>
  <dataValidations count="5">
    <dataValidation allowBlank="true" error="Choose a value from the list." errorStyle="stop" errorTitle="Not in the list" operator="between" showDropDown="false" showErrorMessage="false" showInputMessage="false" sqref="A3:A502" type="list">
      <formula1>R_Company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B3:B502" type="list">
      <formula1>L_Criterion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D3:D502" type="list">
      <formula1>L_Label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G3:G502" type="list">
      <formula1>L_YesNo</formula1>
      <formula2>0</formula2>
    </dataValidation>
    <dataValidation allowBlank="true" error="Choose a value from the list." errorStyle="stop" errorTitle="Not in the list" operator="between" showDropDown="false" showErrorMessage="false" showInputMessage="false" sqref="H3:H502" type="list">
      <formula1>R_TeamName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F99"/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30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5" hidden="false" customHeight="false" outlineLevel="0" collapsed="false">
      <c r="A1" s="23" t="s">
        <v>378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15" hidden="false" customHeight="false" outlineLevel="0" collapsed="false">
      <c r="A2" s="17" t="s">
        <v>163</v>
      </c>
      <c r="B2" s="17" t="s">
        <v>379</v>
      </c>
      <c r="C2" s="17" t="s">
        <v>35</v>
      </c>
      <c r="D2" s="17" t="s">
        <v>380</v>
      </c>
      <c r="E2" s="17" t="s">
        <v>381</v>
      </c>
      <c r="F2" s="17" t="s">
        <v>382</v>
      </c>
      <c r="G2" s="17" t="s">
        <v>361</v>
      </c>
      <c r="H2" s="17" t="s">
        <v>359</v>
      </c>
      <c r="I2" s="17" t="s">
        <v>275</v>
      </c>
      <c r="J2" s="17" t="s">
        <v>27</v>
      </c>
      <c r="K2" s="17" t="s">
        <v>28</v>
      </c>
      <c r="L2" s="17" t="s">
        <v>383</v>
      </c>
      <c r="M2" s="17" t="s">
        <v>46</v>
      </c>
      <c r="N2" s="17" t="s">
        <v>339</v>
      </c>
      <c r="O2" s="17" t="s">
        <v>342</v>
      </c>
      <c r="P2" s="17" t="s">
        <v>343</v>
      </c>
      <c r="Q2" s="17" t="s">
        <v>345</v>
      </c>
      <c r="R2" s="17" t="s">
        <v>274</v>
      </c>
      <c r="S2" s="17" t="s">
        <v>384</v>
      </c>
    </row>
    <row r="3" customFormat="false" ht="15" hidden="false" customHeight="false" outlineLevel="0" collapsed="false">
      <c r="A3" s="16" t="s">
        <v>193</v>
      </c>
      <c r="B3" s="16" t="s">
        <v>225</v>
      </c>
      <c r="C3" s="16" t="n">
        <v>0</v>
      </c>
      <c r="D3" s="16" t="s">
        <v>126</v>
      </c>
      <c r="E3" s="16" t="s">
        <v>126</v>
      </c>
      <c r="F3" s="16" t="s">
        <v>265</v>
      </c>
      <c r="G3" s="16" t="s">
        <v>368</v>
      </c>
      <c r="H3" s="16" t="s">
        <v>165</v>
      </c>
      <c r="I3" s="16" t="s">
        <v>291</v>
      </c>
      <c r="J3" s="16" t="s">
        <v>329</v>
      </c>
      <c r="K3" s="16" t="s">
        <v>61</v>
      </c>
      <c r="L3" s="16" t="s">
        <v>322</v>
      </c>
      <c r="M3" s="16" t="s">
        <v>323</v>
      </c>
      <c r="N3" s="16" t="s">
        <v>73</v>
      </c>
      <c r="O3" s="16" t="s">
        <v>120</v>
      </c>
      <c r="P3" s="16" t="s">
        <v>350</v>
      </c>
      <c r="Q3" s="16" t="s">
        <v>349</v>
      </c>
      <c r="R3" s="16" t="s">
        <v>385</v>
      </c>
      <c r="S3" s="16" t="s">
        <v>126</v>
      </c>
    </row>
    <row r="4" customFormat="false" ht="15" hidden="false" customHeight="false" outlineLevel="0" collapsed="false">
      <c r="A4" s="16" t="s">
        <v>386</v>
      </c>
      <c r="B4" s="16" t="s">
        <v>234</v>
      </c>
      <c r="C4" s="16" t="n">
        <v>1</v>
      </c>
      <c r="D4" s="16" t="s">
        <v>132</v>
      </c>
      <c r="E4" s="16" t="s">
        <v>132</v>
      </c>
      <c r="F4" s="16" t="s">
        <v>261</v>
      </c>
      <c r="G4" s="16" t="s">
        <v>371</v>
      </c>
      <c r="H4" s="16" t="s">
        <v>168</v>
      </c>
      <c r="I4" s="16" t="s">
        <v>286</v>
      </c>
      <c r="J4" s="16" t="s">
        <v>326</v>
      </c>
      <c r="K4" s="16" t="s">
        <v>62</v>
      </c>
      <c r="L4" s="16" t="s">
        <v>334</v>
      </c>
      <c r="M4" s="16" t="s">
        <v>387</v>
      </c>
      <c r="N4" s="16" t="s">
        <v>75</v>
      </c>
      <c r="O4" s="16" t="s">
        <v>293</v>
      </c>
      <c r="P4" s="16" t="s">
        <v>356</v>
      </c>
      <c r="Q4" s="16" t="s">
        <v>387</v>
      </c>
      <c r="R4" s="16" t="s">
        <v>290</v>
      </c>
      <c r="S4" s="16" t="s">
        <v>126</v>
      </c>
    </row>
    <row r="5" customFormat="false" ht="15" hidden="false" customHeight="false" outlineLevel="0" collapsed="false">
      <c r="A5" s="16" t="s">
        <v>242</v>
      </c>
      <c r="B5" s="16" t="s">
        <v>215</v>
      </c>
      <c r="C5" s="16" t="n">
        <v>2</v>
      </c>
      <c r="D5" s="8"/>
      <c r="E5" s="16" t="s">
        <v>292</v>
      </c>
      <c r="F5" s="16" t="s">
        <v>388</v>
      </c>
      <c r="G5" s="16" t="s">
        <v>292</v>
      </c>
      <c r="H5" s="16" t="s">
        <v>171</v>
      </c>
      <c r="I5" s="8"/>
      <c r="J5" s="16" t="s">
        <v>338</v>
      </c>
      <c r="K5" s="16" t="s">
        <v>63</v>
      </c>
      <c r="L5" s="16" t="s">
        <v>330</v>
      </c>
      <c r="M5" s="16" t="s">
        <v>389</v>
      </c>
      <c r="N5" s="16" t="s">
        <v>77</v>
      </c>
      <c r="O5" s="16" t="s">
        <v>354</v>
      </c>
      <c r="P5" s="16" t="s">
        <v>347</v>
      </c>
      <c r="Q5" s="16" t="s">
        <v>390</v>
      </c>
      <c r="R5" s="16" t="s">
        <v>391</v>
      </c>
      <c r="S5" s="16" t="s">
        <v>126</v>
      </c>
    </row>
    <row r="6" customFormat="false" ht="15" hidden="false" customHeight="false" outlineLevel="0" collapsed="false">
      <c r="A6" s="16" t="s">
        <v>392</v>
      </c>
      <c r="B6" s="16" t="s">
        <v>194</v>
      </c>
      <c r="C6" s="8"/>
      <c r="D6" s="8"/>
      <c r="E6" s="8"/>
      <c r="F6" s="16" t="s">
        <v>268</v>
      </c>
      <c r="G6" s="8"/>
      <c r="H6" s="16" t="s">
        <v>174</v>
      </c>
      <c r="I6" s="8"/>
      <c r="J6" s="16" t="s">
        <v>320</v>
      </c>
      <c r="K6" s="16" t="s">
        <v>64</v>
      </c>
      <c r="L6" s="8"/>
      <c r="M6" s="16" t="s">
        <v>292</v>
      </c>
      <c r="N6" s="16" t="s">
        <v>79</v>
      </c>
      <c r="O6" s="16" t="s">
        <v>63</v>
      </c>
      <c r="P6" s="8"/>
      <c r="Q6" s="16" t="s">
        <v>352</v>
      </c>
      <c r="R6" s="16" t="s">
        <v>285</v>
      </c>
      <c r="S6" s="16" t="s">
        <v>126</v>
      </c>
    </row>
    <row r="7" customFormat="false" ht="15" hidden="false" customHeight="false" outlineLevel="0" collapsed="false">
      <c r="A7" s="16" t="s">
        <v>393</v>
      </c>
      <c r="B7" s="16" t="s">
        <v>292</v>
      </c>
      <c r="C7" s="8"/>
      <c r="D7" s="8"/>
      <c r="E7" s="8"/>
      <c r="F7" s="16" t="s">
        <v>394</v>
      </c>
      <c r="G7" s="8"/>
      <c r="H7" s="16" t="s">
        <v>36</v>
      </c>
      <c r="I7" s="8"/>
      <c r="J7" s="16" t="s">
        <v>395</v>
      </c>
      <c r="K7" s="16" t="s">
        <v>65</v>
      </c>
      <c r="L7" s="8"/>
      <c r="M7" s="8"/>
      <c r="N7" s="16" t="s">
        <v>81</v>
      </c>
      <c r="O7" s="16" t="s">
        <v>151</v>
      </c>
      <c r="P7" s="8"/>
      <c r="Q7" s="8"/>
      <c r="R7" s="16" t="s">
        <v>396</v>
      </c>
      <c r="S7" s="16" t="s">
        <v>126</v>
      </c>
    </row>
    <row r="8" customFormat="false" ht="15" hidden="false" customHeight="false" outlineLevel="0" collapsed="false">
      <c r="A8" s="16" t="s">
        <v>205</v>
      </c>
      <c r="B8" s="8"/>
      <c r="C8" s="8"/>
      <c r="D8" s="8"/>
      <c r="E8" s="8"/>
      <c r="F8" s="16" t="s">
        <v>258</v>
      </c>
      <c r="G8" s="8"/>
      <c r="H8" s="16" t="s">
        <v>374</v>
      </c>
      <c r="I8" s="8"/>
      <c r="J8" s="16" t="s">
        <v>397</v>
      </c>
      <c r="K8" s="16" t="s">
        <v>321</v>
      </c>
      <c r="L8" s="8"/>
      <c r="M8" s="8"/>
      <c r="N8" s="16" t="s">
        <v>83</v>
      </c>
      <c r="O8" s="16" t="s">
        <v>86</v>
      </c>
      <c r="P8" s="8"/>
      <c r="Q8" s="8"/>
      <c r="R8" s="16" t="s">
        <v>300</v>
      </c>
      <c r="S8" s="16" t="s">
        <v>126</v>
      </c>
    </row>
    <row r="9" customFormat="false" ht="15" hidden="false" customHeight="false" outlineLevel="0" collapsed="false">
      <c r="A9" s="16" t="s">
        <v>214</v>
      </c>
      <c r="B9" s="8"/>
      <c r="C9" s="8"/>
      <c r="D9" s="8"/>
      <c r="E9" s="8"/>
      <c r="F9" s="8"/>
      <c r="G9" s="8"/>
      <c r="H9" s="8"/>
      <c r="I9" s="8"/>
      <c r="J9" s="16" t="s">
        <v>398</v>
      </c>
      <c r="K9" s="16" t="s">
        <v>339</v>
      </c>
      <c r="L9" s="8"/>
      <c r="M9" s="8"/>
      <c r="N9" s="16" t="s">
        <v>85</v>
      </c>
      <c r="O9" s="8"/>
      <c r="P9" s="8"/>
      <c r="Q9" s="8"/>
      <c r="R9" s="16" t="s">
        <v>399</v>
      </c>
      <c r="S9" s="16" t="s">
        <v>126</v>
      </c>
    </row>
    <row r="10" customFormat="false" ht="15" hidden="false" customHeight="false" outlineLevel="0" collapsed="false">
      <c r="A10" s="16" t="s">
        <v>400</v>
      </c>
      <c r="B10" s="8"/>
      <c r="C10" s="8"/>
      <c r="D10" s="8"/>
      <c r="E10" s="8"/>
      <c r="F10" s="8"/>
      <c r="G10" s="8"/>
      <c r="H10" s="8"/>
      <c r="I10" s="8"/>
      <c r="J10" s="16" t="s">
        <v>401</v>
      </c>
      <c r="K10" s="16" t="s">
        <v>66</v>
      </c>
      <c r="L10" s="8"/>
      <c r="M10" s="8"/>
      <c r="N10" s="16" t="s">
        <v>86</v>
      </c>
      <c r="O10" s="8"/>
      <c r="P10" s="8"/>
      <c r="Q10" s="8"/>
      <c r="R10" s="16" t="s">
        <v>402</v>
      </c>
      <c r="S10" s="16" t="s">
        <v>126</v>
      </c>
    </row>
    <row r="11" customFormat="false" ht="15" hidden="false" customHeight="false" outlineLevel="0" collapsed="false">
      <c r="A11" s="16" t="s">
        <v>250</v>
      </c>
      <c r="B11" s="8"/>
      <c r="C11" s="8"/>
      <c r="D11" s="8"/>
      <c r="E11" s="8"/>
      <c r="F11" s="8"/>
      <c r="G11" s="8"/>
      <c r="H11" s="8"/>
      <c r="I11" s="8"/>
      <c r="J11" s="16" t="s">
        <v>334</v>
      </c>
      <c r="K11" s="8"/>
      <c r="L11" s="8"/>
      <c r="M11" s="8"/>
      <c r="N11" s="8"/>
      <c r="O11" s="8"/>
      <c r="P11" s="8"/>
      <c r="Q11" s="8"/>
      <c r="R11" s="16" t="s">
        <v>403</v>
      </c>
      <c r="S11" s="16" t="s">
        <v>126</v>
      </c>
    </row>
    <row r="12" customFormat="false" ht="15" hidden="false" customHeight="false" outlineLevel="0" collapsed="false">
      <c r="A12" s="16" t="s">
        <v>224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6" t="s">
        <v>404</v>
      </c>
      <c r="S12" s="16" t="s">
        <v>126</v>
      </c>
    </row>
    <row r="13" customFormat="false" ht="15" hidden="false" customHeight="false" outlineLevel="0" collapsed="false">
      <c r="A13" s="16" t="s">
        <v>405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6" t="s">
        <v>406</v>
      </c>
      <c r="S13" s="16" t="s">
        <v>126</v>
      </c>
    </row>
    <row r="14" customFormat="false" ht="15" hidden="false" customHeight="false" outlineLevel="0" collapsed="false">
      <c r="A14" s="16" t="s">
        <v>233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6" t="s">
        <v>407</v>
      </c>
      <c r="S14" s="16" t="s">
        <v>126</v>
      </c>
    </row>
    <row r="15" customFormat="false" ht="15" hidden="false" customHeight="false" outlineLevel="0" collapsed="false">
      <c r="A15" s="16" t="s">
        <v>86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6" t="s">
        <v>296</v>
      </c>
      <c r="S15" s="16" t="s">
        <v>126</v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6" t="s">
        <v>408</v>
      </c>
      <c r="S16" s="16" t="s">
        <v>126</v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6" t="s">
        <v>409</v>
      </c>
      <c r="S17" s="16" t="s">
        <v>132</v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6" t="s">
        <v>86</v>
      </c>
      <c r="S18" s="16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2026-10-12T17:01:38Z</dcterms:created>
  <dc:creator>openpyxl</dc:creator>
  <dc:description/>
  <dc:language>en-US</dc:language>
  <cp:lastModifiedBy/>
  <dcterms:modified xsi:type="dcterms:W3CDTF">2026-10-12T17:01:42Z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